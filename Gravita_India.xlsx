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ms-excel.sheet.macroEnabled.main+xml"/>
  <Override PartName="/xl/vbaProject.bin" ContentType="application/vnd.ms-office.vbaProject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ummary" sheetId="1" state="visible" r:id="rId4"/>
    <sheet name="Valuation" sheetId="2" state="visible" r:id="rId5"/>
    <sheet name="Financial" sheetId="3" state="visible" r:id="rId6"/>
    <sheet name="Charts" sheetId="4" state="visible" r:id="rId7"/>
    <sheet name="Segments" sheetId="5" state="visible" r:id="rId8"/>
    <sheet name="Estimates" sheetId="6" state="visible" r:id="rId9"/>
    <sheet name="Fin_Summary" sheetId="7" state="visible" r:id="rId10"/>
    <sheet name="Operational_Data" sheetId="8" state="visible" r:id="rId11"/>
    <sheet name="Op_Charts" sheetId="9" state="visible" r:id="rId12"/>
    <sheet name="Timeline" sheetId="10" state="visible" r:id="rId13"/>
    <sheet name="Peer_Compare" sheetId="11" state="visible" r:id="rId14"/>
    <sheet name="Governance" sheetId="12" state="visible" r:id="rId15"/>
    <sheet name="Earnings_Forecast" sheetId="13" state="visible" r:id="rId16"/>
    <sheet name="Financials_Table" sheetId="14" state="visible" r:id="rId17"/>
    <sheet name="Valuations_Table" sheetId="15" state="visible" r:id="rId18"/>
    <sheet name="Key_Risks" sheetId="16" state="visible" r:id="rId19"/>
    <sheet name="Customization" sheetId="17" state="visible" r:id="rId20"/>
    <sheet name="Data Sheet" sheetId="18" state="visible" r:id="rId21"/>
    <sheet name="Lookup" sheetId="19" state="hidden" r:id="rId22"/>
  </sheets>
  <definedNames>
    <definedName function="false" hidden="false" name="UPDATE" vbProcedure="false">'Data Sheet'!$E$1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16" authorId="0">
      <text>
        <r>
          <rPr>
            <sz val="10"/>
            <rFont val="Arial"/>
            <family val="2"/>
          </rPr>
          <t xml:space="preserve">Cost of Equity = Risk-Free Rate of Return + Beta * (Market Rate of Return - Risk-Free Rate of Return)</t>
        </r>
      </text>
    </comment>
    <comment ref="J22" authorId="0">
      <text>
        <r>
          <rPr>
            <sz val="10"/>
            <rFont val="Arial"/>
            <family val="2"/>
          </rPr>
          <t xml:space="preserve">Sumit Poddar:
Increase in interest rates 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U71" authorId="0">
      <text>
        <r>
          <rPr>
            <sz val="10"/>
            <rFont val="Arial"/>
            <family val="2"/>
          </rPr>
          <t xml:space="preserve">SP : Change based on Outlook</t>
        </r>
      </text>
    </comment>
    <comment ref="U73" authorId="0">
      <text>
        <r>
          <rPr>
            <sz val="10"/>
            <rFont val="Arial"/>
            <family val="2"/>
          </rPr>
          <t xml:space="preserve">SP : Change based on Outlook</t>
        </r>
      </text>
    </comment>
  </commentList>
</comments>
</file>

<file path=xl/sharedStrings.xml><?xml version="1.0" encoding="utf-8"?>
<sst xmlns="http://schemas.openxmlformats.org/spreadsheetml/2006/main" count="5962" uniqueCount="5510">
  <si>
    <t xml:space="preserve">INR Cr</t>
  </si>
  <si>
    <t xml:space="preserve">Particulars</t>
  </si>
  <si>
    <t xml:space="preserve">FY22A</t>
  </si>
  <si>
    <t xml:space="preserve">FY23A</t>
  </si>
  <si>
    <t xml:space="preserve">FY24E</t>
  </si>
  <si>
    <t xml:space="preserve">FY25E</t>
  </si>
  <si>
    <t xml:space="preserve">Revenue </t>
  </si>
  <si>
    <t xml:space="preserve">Net Revenue</t>
  </si>
  <si>
    <t xml:space="preserve">EBITDA</t>
  </si>
  <si>
    <t xml:space="preserve">% Chg y-o-y</t>
  </si>
  <si>
    <t xml:space="preserve">EBITDA Margin</t>
  </si>
  <si>
    <t xml:space="preserve">PAT</t>
  </si>
  <si>
    <t xml:space="preserve">EBITDA Margin (%)</t>
  </si>
  <si>
    <t xml:space="preserve">PAT Margin </t>
  </si>
  <si>
    <t xml:space="preserve">Net Profit</t>
  </si>
  <si>
    <t xml:space="preserve">EPS</t>
  </si>
  <si>
    <t xml:space="preserve">EPS (RS)</t>
  </si>
  <si>
    <t xml:space="preserve">BVPS</t>
  </si>
  <si>
    <t xml:space="preserve">EPS % Chg</t>
  </si>
  <si>
    <t xml:space="preserve">PE</t>
  </si>
  <si>
    <t xml:space="preserve">P/E (X)</t>
  </si>
  <si>
    <t xml:space="preserve">P/B</t>
  </si>
  <si>
    <t xml:space="preserve">EV/EBITDA(X)</t>
  </si>
  <si>
    <t xml:space="preserve">EV/EBITDA</t>
  </si>
  <si>
    <t xml:space="preserve">P/BV</t>
  </si>
  <si>
    <t xml:space="preserve">RoE</t>
  </si>
  <si>
    <t xml:space="preserve">BV/SHARE</t>
  </si>
  <si>
    <t xml:space="preserve">RoCE</t>
  </si>
  <si>
    <t xml:space="preserve">ROE</t>
  </si>
  <si>
    <t xml:space="preserve">RoIC</t>
  </si>
  <si>
    <t xml:space="preserve">ROCE</t>
  </si>
  <si>
    <t xml:space="preserve">WC Sales %</t>
  </si>
  <si>
    <t xml:space="preserve">OCF / EBITDA</t>
  </si>
  <si>
    <t xml:space="preserve">DCF Value</t>
  </si>
  <si>
    <t xml:space="preserve">10 year </t>
  </si>
  <si>
    <t xml:space="preserve">3 year</t>
  </si>
  <si>
    <t xml:space="preserve">4th - 7th</t>
  </si>
  <si>
    <t xml:space="preserve">8th -10th </t>
  </si>
  <si>
    <t xml:space="preserve">DCF (Rs Cr)</t>
  </si>
  <si>
    <t xml:space="preserve">Hi</t>
  </si>
  <si>
    <t xml:space="preserve">Low</t>
  </si>
  <si>
    <t xml:space="preserve">Avg</t>
  </si>
  <si>
    <t xml:space="preserve">Median</t>
  </si>
  <si>
    <t xml:space="preserve">FY22</t>
  </si>
  <si>
    <t xml:space="preserve">FY23</t>
  </si>
  <si>
    <t xml:space="preserve">FY24</t>
  </si>
  <si>
    <t xml:space="preserve">FY25</t>
  </si>
  <si>
    <t xml:space="preserve">FY26</t>
  </si>
  <si>
    <t xml:space="preserve">FY27</t>
  </si>
  <si>
    <t xml:space="preserve">FY28</t>
  </si>
  <si>
    <t xml:space="preserve">FY29</t>
  </si>
  <si>
    <t xml:space="preserve">FY30</t>
  </si>
  <si>
    <t xml:space="preserve">FY31</t>
  </si>
  <si>
    <t xml:space="preserve">FY32</t>
  </si>
  <si>
    <t xml:space="preserve">Revenues</t>
  </si>
  <si>
    <t xml:space="preserve">% yoy growth</t>
  </si>
  <si>
    <t xml:space="preserve">EBITDA margin</t>
  </si>
  <si>
    <t xml:space="preserve">CFO/EBITDA</t>
  </si>
  <si>
    <t xml:space="preserve">CFO</t>
  </si>
  <si>
    <t xml:space="preserve">Fixed asset turns</t>
  </si>
  <si>
    <t xml:space="preserve">Capex</t>
  </si>
  <si>
    <t xml:space="preserve">FCFF</t>
  </si>
  <si>
    <t xml:space="preserve">Discounting factor</t>
  </si>
  <si>
    <t xml:space="preserve">Terminal value</t>
  </si>
  <si>
    <t xml:space="preserve">WACC calculations</t>
  </si>
  <si>
    <t xml:space="preserve">Cost of Equity</t>
  </si>
  <si>
    <t xml:space="preserve">DCF Valuations </t>
  </si>
  <si>
    <t xml:space="preserve">Mcap</t>
  </si>
  <si>
    <t xml:space="preserve">Debt</t>
  </si>
  <si>
    <t xml:space="preserve">Discount rate (WACC Below)</t>
  </si>
  <si>
    <t xml:space="preserve">% of value</t>
  </si>
  <si>
    <t xml:space="preserve">CMP</t>
  </si>
  <si>
    <t xml:space="preserve">Debt:Equity</t>
  </si>
  <si>
    <t xml:space="preserve">Risk-Free Return</t>
  </si>
  <si>
    <t xml:space="preserve">Terminal growth rate</t>
  </si>
  <si>
    <t xml:space="preserve">Cost of debt</t>
  </si>
  <si>
    <t xml:space="preserve">Beta </t>
  </si>
  <si>
    <t xml:space="preserve">Discounted Terminal Value </t>
  </si>
  <si>
    <t xml:space="preserve">High range</t>
  </si>
  <si>
    <t xml:space="preserve">Tax rate </t>
  </si>
  <si>
    <t xml:space="preserve">Market Return</t>
  </si>
  <si>
    <t xml:space="preserve">NPV of FCFF</t>
  </si>
  <si>
    <t xml:space="preserve">PE 3Y</t>
  </si>
  <si>
    <t xml:space="preserve">PE 5Y</t>
  </si>
  <si>
    <t xml:space="preserve">Cost of equity</t>
  </si>
  <si>
    <t xml:space="preserve">Net (Debt)/Cash </t>
  </si>
  <si>
    <t xml:space="preserve">EV/E 3Y</t>
  </si>
  <si>
    <t xml:space="preserve">EV/E 5Y</t>
  </si>
  <si>
    <t xml:space="preserve">WACC</t>
  </si>
  <si>
    <t xml:space="preserve">Inc in Int Rate </t>
  </si>
  <si>
    <t xml:space="preserve">NPV</t>
  </si>
  <si>
    <t xml:space="preserve">P/S 3Y</t>
  </si>
  <si>
    <t xml:space="preserve">P/S 5Y</t>
  </si>
  <si>
    <t xml:space="preserve">O/s Equity Shares</t>
  </si>
  <si>
    <t xml:space="preserve">DCF Price </t>
  </si>
  <si>
    <t xml:space="preserve">DCF</t>
  </si>
  <si>
    <t xml:space="preserve">Shree Ganeshaya Namah - TIKONA CAPITAL</t>
  </si>
  <si>
    <t xml:space="preserve">Assumptions</t>
  </si>
  <si>
    <t xml:space="preserve">TTM</t>
  </si>
  <si>
    <t xml:space="preserve">3 Yr  Proj
CAGR</t>
  </si>
  <si>
    <t xml:space="preserve">3 Yr 
CAGR</t>
  </si>
  <si>
    <t xml:space="preserve">5 Yr 
CAGR</t>
  </si>
  <si>
    <t xml:space="preserve">9Yr 
CAGR</t>
  </si>
  <si>
    <t xml:space="preserve">Mkt Price</t>
  </si>
  <si>
    <t xml:space="preserve">INR</t>
  </si>
  <si>
    <t xml:space="preserve">Cr</t>
  </si>
  <si>
    <t xml:space="preserve">Enterprise Value</t>
  </si>
  <si>
    <t xml:space="preserve">Revenue</t>
  </si>
  <si>
    <t xml:space="preserve">Growth (YoY)</t>
  </si>
  <si>
    <t xml:space="preserve">Gross Profits </t>
  </si>
  <si>
    <t xml:space="preserve">Other Income</t>
  </si>
  <si>
    <t xml:space="preserve">Depreciation</t>
  </si>
  <si>
    <t xml:space="preserve">Interest</t>
  </si>
  <si>
    <t xml:space="preserve">PBT</t>
  </si>
  <si>
    <t xml:space="preserve">Tax</t>
  </si>
  <si>
    <t xml:space="preserve">DPS</t>
  </si>
  <si>
    <t xml:space="preserve">RATIOS</t>
  </si>
  <si>
    <t xml:space="preserve">GPM</t>
  </si>
  <si>
    <t xml:space="preserve">%</t>
  </si>
  <si>
    <t xml:space="preserve">EBITDAM</t>
  </si>
  <si>
    <t xml:space="preserve">Depn / Net Assets</t>
  </si>
  <si>
    <t xml:space="preserve">Interest /Total Debt </t>
  </si>
  <si>
    <t xml:space="preserve">Tax Rate </t>
  </si>
  <si>
    <t xml:space="preserve">PAT Margins </t>
  </si>
  <si>
    <t xml:space="preserve">Payout Ratio</t>
  </si>
  <si>
    <t xml:space="preserve">Growth - YoY</t>
  </si>
  <si>
    <t xml:space="preserve">GP growth </t>
  </si>
  <si>
    <t xml:space="preserve">PAT </t>
  </si>
  <si>
    <t xml:space="preserve">BALANCE SHEET</t>
  </si>
  <si>
    <t xml:space="preserve">Networth</t>
  </si>
  <si>
    <t xml:space="preserve">Total Debt</t>
  </si>
  <si>
    <t xml:space="preserve">CAPITAL EMPLOYED </t>
  </si>
  <si>
    <t xml:space="preserve">DEPLOYED AS </t>
  </si>
  <si>
    <t xml:space="preserve">Net Block</t>
  </si>
  <si>
    <t xml:space="preserve">Capital WIP</t>
  </si>
  <si>
    <t xml:space="preserve">Investments</t>
  </si>
  <si>
    <t xml:space="preserve">  Other Assets</t>
  </si>
  <si>
    <t xml:space="preserve">  Other Liabilities</t>
  </si>
  <si>
    <t xml:space="preserve">Working Capital </t>
  </si>
  <si>
    <t xml:space="preserve">CHECK</t>
  </si>
  <si>
    <t xml:space="preserve">Capital Employed </t>
  </si>
  <si>
    <t xml:space="preserve">CASH FLOWS </t>
  </si>
  <si>
    <t xml:space="preserve">Capital Exp</t>
  </si>
  <si>
    <t xml:space="preserve">FCF to Equity</t>
  </si>
  <si>
    <t xml:space="preserve">Receivable Days</t>
  </si>
  <si>
    <t xml:space="preserve">No</t>
  </si>
  <si>
    <t xml:space="preserve">Inventory Days </t>
  </si>
  <si>
    <t xml:space="preserve">Working Cap Days </t>
  </si>
  <si>
    <t xml:space="preserve">Working Cap/Sales</t>
  </si>
  <si>
    <t xml:space="preserve">Asset Turnover </t>
  </si>
  <si>
    <t xml:space="preserve">x</t>
  </si>
  <si>
    <t xml:space="preserve">OCF/EBITDA</t>
  </si>
  <si>
    <t xml:space="preserve">FCF/PAT</t>
  </si>
  <si>
    <t xml:space="preserve">Debt Equity </t>
  </si>
  <si>
    <t xml:space="preserve">Interest Coverage</t>
  </si>
  <si>
    <t xml:space="preserve">Performance Ratios</t>
  </si>
  <si>
    <t xml:space="preserve">ROIC</t>
  </si>
  <si>
    <t xml:space="preserve">OCF/Cap Emp</t>
  </si>
  <si>
    <t xml:space="preserve">Earnings/share</t>
  </si>
  <si>
    <t xml:space="preserve">Dividend/share</t>
  </si>
  <si>
    <t xml:space="preserve">Book Value/share</t>
  </si>
  <si>
    <t xml:space="preserve">Sales/share </t>
  </si>
  <si>
    <t xml:space="preserve">Cash/share</t>
  </si>
  <si>
    <t xml:space="preserve">Valuations </t>
  </si>
  <si>
    <t xml:space="preserve">Price/Earnings</t>
  </si>
  <si>
    <t xml:space="preserve">Price/Book</t>
  </si>
  <si>
    <t xml:space="preserve">Price/Sales</t>
  </si>
  <si>
    <t xml:space="preserve">EV/Sales</t>
  </si>
  <si>
    <t xml:space="preserve">QUARTERLY</t>
  </si>
  <si>
    <t xml:space="preserve">forecast</t>
  </si>
  <si>
    <t xml:space="preserve">Revenue Qtr</t>
  </si>
  <si>
    <t xml:space="preserve">Growth (QoQ)</t>
  </si>
  <si>
    <t xml:space="preserve">EBITDA Qtr</t>
  </si>
  <si>
    <t xml:space="preserve">EBITDAM Qtr</t>
  </si>
  <si>
    <t xml:space="preserve">PAT Qtr</t>
  </si>
  <si>
    <t xml:space="preserve">PAT Qtr Margin</t>
  </si>
  <si>
    <t xml:space="preserve">YoY Growth</t>
  </si>
  <si>
    <t xml:space="preserve">2 Yr CAGR</t>
  </si>
  <si>
    <t xml:space="preserve">Revenue Qtr - YoY Growth</t>
  </si>
  <si>
    <t xml:space="preserve">EBITDA Qtr - YoY Growth</t>
  </si>
  <si>
    <t xml:space="preserve">PAT Qtr - YoY Growth</t>
  </si>
  <si>
    <t xml:space="preserve">Sector - </t>
  </si>
  <si>
    <t xml:space="preserve">Target Price - </t>
  </si>
  <si>
    <t xml:space="preserve">Upside - </t>
  </si>
  <si>
    <t xml:space="preserve">52 H/L</t>
  </si>
  <si>
    <t xml:space="preserve">Avg. daily value traded</t>
  </si>
  <si>
    <t xml:space="preserve">Free Float %</t>
  </si>
  <si>
    <t xml:space="preserve">Financial Summary</t>
  </si>
  <si>
    <t xml:space="preserve">FY26E</t>
  </si>
  <si>
    <t xml:space="preserve">FY27E</t>
  </si>
  <si>
    <t xml:space="preserve">FY28E</t>
  </si>
  <si>
    <t xml:space="preserve">Pledge</t>
  </si>
  <si>
    <t xml:space="preserve">Managerial Remuneration</t>
  </si>
  <si>
    <t xml:space="preserve">Auditors Remuneration</t>
  </si>
  <si>
    <t xml:space="preserve"> - Audit Work </t>
  </si>
  <si>
    <t xml:space="preserve">- Non- Audit Work</t>
  </si>
  <si>
    <t xml:space="preserve">Board of directors</t>
  </si>
  <si>
    <t xml:space="preserve">Nos</t>
  </si>
  <si>
    <t xml:space="preserve">Independent Directors</t>
  </si>
  <si>
    <t xml:space="preserve">PBIT</t>
  </si>
  <si>
    <t xml:space="preserve">DEVIATION</t>
  </si>
  <si>
    <t xml:space="preserve">SEGMENT REVENUE </t>
  </si>
  <si>
    <t xml:space="preserve">Banking Finance Insurance</t>
  </si>
  <si>
    <t xml:space="preserve">Communication, Media and Technology</t>
  </si>
  <si>
    <t xml:space="preserve">Retail and Consumer Packing Goods</t>
  </si>
  <si>
    <t xml:space="preserve">Life Sciences and Healthcare</t>
  </si>
  <si>
    <t xml:space="preserve">Manufacturing</t>
  </si>
  <si>
    <t xml:space="preserve">Others</t>
  </si>
  <si>
    <t xml:space="preserve">TOTAL </t>
  </si>
  <si>
    <t xml:space="preserve">SEGMENT PBIT</t>
  </si>
  <si>
    <t xml:space="preserve">Unallocated</t>
  </si>
  <si>
    <t xml:space="preserve">SEGMENT CAPITAL EMPLOYED</t>
  </si>
  <si>
    <t xml:space="preserve">Retail and Distribution</t>
  </si>
  <si>
    <t xml:space="preserve">https://goindiastocks.com/GIA/stockDashboard?Fincode=</t>
  </si>
  <si>
    <t xml:space="preserve">GRAVITA INDIA LIMITED  |  FINANCIAL SUMMARY  |  INR Crores (unless stated)</t>
  </si>
  <si>
    <t xml:space="preserve">TIKONA CAPITAL FINSERV PVT. LTD.  |  Institutional Equity Research  |  Sources: Screener.in, Company Annual Reports</t>
  </si>
  <si>
    <t xml:space="preserve">Particulars (INR Cr)</t>
  </si>
  <si>
    <t xml:space="preserve">FY21A</t>
  </si>
  <si>
    <t xml:space="preserve">FY24A</t>
  </si>
  <si>
    <t xml:space="preserve">FY25A</t>
  </si>
  <si>
    <t xml:space="preserve">P &amp; L ACCOUNT</t>
  </si>
  <si>
    <t xml:space="preserve">Revenue Growth (%)</t>
  </si>
  <si>
    <t xml:space="preserve">EBIT</t>
  </si>
  <si>
    <t xml:space="preserve">Interest &amp; Finance Costs</t>
  </si>
  <si>
    <t xml:space="preserve">PAT (Reported)</t>
  </si>
  <si>
    <t xml:space="preserve">PAT Margin (%)</t>
  </si>
  <si>
    <t xml:space="preserve">PAT Growth (%)</t>
  </si>
  <si>
    <t xml:space="preserve">EPS (INR)</t>
  </si>
  <si>
    <t xml:space="preserve">DPS (INR)</t>
  </si>
  <si>
    <t xml:space="preserve">Net Worth</t>
  </si>
  <si>
    <t xml:space="preserve">Capital Employed</t>
  </si>
  <si>
    <t xml:space="preserve">Net Fixed Assets</t>
  </si>
  <si>
    <t xml:space="preserve">Working Capital</t>
  </si>
  <si>
    <t xml:space="preserve">Debt/Equity (x)</t>
  </si>
  <si>
    <t xml:space="preserve">CASH FLOWS</t>
  </si>
  <si>
    <t xml:space="preserve">Free Cash Flow</t>
  </si>
  <si>
    <t xml:space="preserve">CFO / EBITDA (%)</t>
  </si>
  <si>
    <t xml:space="preserve">KEY RATIOS</t>
  </si>
  <si>
    <t xml:space="preserve">ROE (%)</t>
  </si>
  <si>
    <t xml:space="preserve">ROCE (%)</t>
  </si>
  <si>
    <t xml:space="preserve">Debtor Days</t>
  </si>
  <si>
    <t xml:space="preserve">Inventory Days</t>
  </si>
  <si>
    <t xml:space="preserve">VALUATIONS (at CMP ₹1,539)</t>
  </si>
  <si>
    <t xml:space="preserve">P/E (x)</t>
  </si>
  <si>
    <t xml:space="preserve">P/B (x)</t>
  </si>
  <si>
    <t xml:space="preserve">P/S (x)</t>
  </si>
  <si>
    <t xml:space="preserve">EV/EBITDA (x)</t>
  </si>
  <si>
    <t xml:space="preserve">GRAVITA INDIA LIMITED  |  OPERATIONAL DATA (LAST 5 YEARS)  |  Source: Annual Reports, Company Filings</t>
  </si>
  <si>
    <t xml:space="preserve">Note: Volume data in Metric Tonnes (MT). FY26E-FY28E are Tikona Capital estimates.</t>
  </si>
  <si>
    <t xml:space="preserve">Metric / FY</t>
  </si>
  <si>
    <t xml:space="preserve">VOLUME DATA (MT)</t>
  </si>
  <si>
    <t xml:space="preserve">Lead Recycling Volume (MT)</t>
  </si>
  <si>
    <t xml:space="preserve">Aluminium Recycling Volume (MT)</t>
  </si>
  <si>
    <t xml:space="preserve">Plastic Recycling Volume (MT)</t>
  </si>
  <si>
    <t xml:space="preserve">Total Recycled Volume (MT)</t>
  </si>
  <si>
    <t xml:space="preserve">CAPACITY &amp; UTILISATION</t>
  </si>
  <si>
    <t xml:space="preserve">Capacity Utilisation (%)</t>
  </si>
  <si>
    <t xml:space="preserve">Countries of Operation</t>
  </si>
  <si>
    <t xml:space="preserve">Plants - India</t>
  </si>
  <si>
    <t xml:space="preserve">Plants - Overseas</t>
  </si>
  <si>
    <t xml:space="preserve">Total Plants</t>
  </si>
  <si>
    <t xml:space="preserve">REVENUE MIX (%)</t>
  </si>
  <si>
    <t xml:space="preserve">Lead Segment Revenue %</t>
  </si>
  <si>
    <t xml:space="preserve">Aluminium Segment Revenue %</t>
  </si>
  <si>
    <t xml:space="preserve">Plastic Segment Revenue %</t>
  </si>
  <si>
    <t xml:space="preserve">Turnkey / Others %</t>
  </si>
  <si>
    <t xml:space="preserve">GEOGRAPHY MIX (%)</t>
  </si>
  <si>
    <t xml:space="preserve">India Revenue %</t>
  </si>
  <si>
    <t xml:space="preserve">International Revenue %</t>
  </si>
  <si>
    <t xml:space="preserve">FINANCIAL PRODUCTIVITY</t>
  </si>
  <si>
    <t xml:space="preserve">Revenue / Employee (₹ Lakh)</t>
  </si>
  <si>
    <t xml:space="preserve">EBITDA / Tonne (₹)</t>
  </si>
  <si>
    <t xml:space="preserve">Revenue / Tonne (₹)</t>
  </si>
  <si>
    <t xml:space="preserve">Capex / Tonne (₹)</t>
  </si>
  <si>
    <t xml:space="preserve">GRAVITA INDIA  |  OPERATIONAL CHARTS  |  FY21–FY28E</t>
  </si>
  <si>
    <t xml:space="preserve">Year</t>
  </si>
  <si>
    <t xml:space="preserve">FY21</t>
  </si>
  <si>
    <t xml:space="preserve">EBITDA%</t>
  </si>
  <si>
    <t xml:space="preserve">PAT%</t>
  </si>
  <si>
    <t xml:space="preserve">Lead MT</t>
  </si>
  <si>
    <t xml:space="preserve">Aluminium MT</t>
  </si>
  <si>
    <t xml:space="preserve">Plastic MT</t>
  </si>
  <si>
    <t xml:space="preserve">ROE%</t>
  </si>
  <si>
    <t xml:space="preserve">ROCE%</t>
  </si>
  <si>
    <t xml:space="preserve">FCF</t>
  </si>
  <si>
    <t xml:space="preserve">GRAVITA INDIA LIMITED  |  CORPORATE TIMELINE OF MAJOR EVENTS</t>
  </si>
  <si>
    <t xml:space="preserve">Key milestones in Gravita's journey from a small lead recycler to India's largest multi-metal recycler</t>
  </si>
  <si>
    <t xml:space="preserve">Event Category</t>
  </si>
  <si>
    <t xml:space="preserve">Description</t>
  </si>
  <si>
    <t xml:space="preserve">Impact</t>
  </si>
  <si>
    <t xml:space="preserve">1992</t>
  </si>
  <si>
    <t xml:space="preserve">Founding</t>
  </si>
  <si>
    <t xml:space="preserve">Gravita India incorporated in Jaipur, Rajasthan. Founded by Shyam Sunder Agrawal. Started with lead recycling from battery scrap — a single facility, single product model.</t>
  </si>
  <si>
    <t xml:space="preserve">Foundation</t>
  </si>
  <si>
    <t xml:space="preserve">2000</t>
  </si>
  <si>
    <t xml:space="preserve">Domestic Expansion</t>
  </si>
  <si>
    <t xml:space="preserve">First major capacity expansion in lead recycling. Established network for battery scrap procurement across Rajasthan. Revenue reached ₹50 Cr mark.</t>
  </si>
  <si>
    <t xml:space="preserve">Scale-up</t>
  </si>
  <si>
    <t xml:space="preserve">2005</t>
  </si>
  <si>
    <t xml:space="preserve">International Foray</t>
  </si>
  <si>
    <t xml:space="preserve">Commenced overseas operations in Africa — set up turnkey plants and JVs in Ghana &amp; Senegal. First Indian company to export lead recycling technology globally.</t>
  </si>
  <si>
    <t xml:space="preserve">Global Expansion</t>
  </si>
  <si>
    <t xml:space="preserve">2010</t>
  </si>
  <si>
    <t xml:space="preserve">IPO</t>
  </si>
  <si>
    <t xml:space="preserve">Listed on BSE &amp; NSE via IPO at ₹125/share. Raised ₹85 Cr for capacity expansion. Market Cap at listing: ~₹350 Cr. Became first organised listed lead recycler in India.</t>
  </si>
  <si>
    <t xml:space="preserve">Capital Market</t>
  </si>
  <si>
    <t xml:space="preserve">2013</t>
  </si>
  <si>
    <t xml:space="preserve">Aluminium Vertical</t>
  </si>
  <si>
    <t xml:space="preserve">Forayed into aluminium recycling — diversifying away from pure lead play. Set up first aluminium recycling facility. Strategic pivot to multi-metal recycler.</t>
  </si>
  <si>
    <t xml:space="preserve">Diversification</t>
  </si>
  <si>
    <t xml:space="preserve">2015</t>
  </si>
  <si>
    <t xml:space="preserve">Africa Hub</t>
  </si>
  <si>
    <t xml:space="preserve">Established African operations hub with plants in 6+ countries. Revenue from international operations reached ~40%. Built brand as global sustainable recycler.</t>
  </si>
  <si>
    <t xml:space="preserve">Geographic Diversity</t>
  </si>
  <si>
    <t xml:space="preserve">2017</t>
  </si>
  <si>
    <t xml:space="preserve">Plastic Recycling Entry</t>
  </si>
  <si>
    <t xml:space="preserve">Added plastic recycling as third vertical. Set up plastic processing units. Began positioning as an ESG-compliant multi-material circular economy play.</t>
  </si>
  <si>
    <t xml:space="preserve">New Vertical</t>
  </si>
  <si>
    <t xml:space="preserve">2019</t>
  </si>
  <si>
    <t xml:space="preserve">₹1,000 Cr Revenue Milestone</t>
  </si>
  <si>
    <t xml:space="preserve">Revenue crossed ₹1,000 Crore mark. EBITDA at ₹62 Cr. Company had plants in 25+ countries. Promoted as pure-play circular economy company.</t>
  </si>
  <si>
    <t xml:space="preserve">Revenue Milestone</t>
  </si>
  <si>
    <t xml:space="preserve">2021</t>
  </si>
  <si>
    <t xml:space="preserve">Vision 2025 Launch</t>
  </si>
  <si>
    <t xml:space="preserve">Announced Vision 2025 — target of ₹5,000 Cr revenue and 25% ROCE. Accelerated capex cycle across all verticals. PAT grew from ₹37 Cr (FY20) to ₹57 Cr (FY21).</t>
  </si>
  <si>
    <t xml:space="preserve">Strategic Plan</t>
  </si>
  <si>
    <t xml:space="preserve">2022</t>
  </si>
  <si>
    <t xml:space="preserve">₹2,000 Cr Breakthrough</t>
  </si>
  <si>
    <t xml:space="preserve">Revenue doubled to ₹2,216 Cr. PAT surged to ₹148 Cr (+160% YoY). BWMR (Battery Waste Mgmt Rules) enacted — structural tailwind for organised recyclers. Stock multibagger.</t>
  </si>
  <si>
    <t xml:space="preserve">Earnings Inflection</t>
  </si>
  <si>
    <t xml:space="preserve">2023</t>
  </si>
  <si>
    <t xml:space="preserve">Battery Waste Rules Tailwind</t>
  </si>
  <si>
    <t xml:space="preserve">BWMR mandated 30% battery collection — directly benefiting Gravita. Crossed 2.5 lakh MT recycling volumes. Revenue ₹2,801 Cr. Investor interest surged; stock re-rated.</t>
  </si>
  <si>
    <t xml:space="preserve">Regulatory Tailwind</t>
  </si>
  <si>
    <t xml:space="preserve">2024</t>
  </si>
  <si>
    <t xml:space="preserve">Vision 2029 + QIP</t>
  </si>
  <si>
    <t xml:space="preserve">Announced Vision 2029: 25%+ revenue CAGR, 35%+ PAT CAGR, 25% ROCE target. Raised ₹500 Cr via QIP for expansion. Promoted EPR services &amp; lithium-ion battery recycling plans.</t>
  </si>
  <si>
    <t xml:space="preserve">Next Phase Strategy</t>
  </si>
  <si>
    <t xml:space="preserve">Capacity Expansion</t>
  </si>
  <si>
    <t xml:space="preserve">Major capex cycle — lead capacity to 3 lakh MT, aluminium to 50,000 MT. New plants in India (Mundra SEZ), Europe (Netherlands pilot), and Asia. Revenue ₹3,161 Cr.</t>
  </si>
  <si>
    <t xml:space="preserve">Capacity</t>
  </si>
  <si>
    <t xml:space="preserve">2025</t>
  </si>
  <si>
    <t xml:space="preserve">New Verticals</t>
  </si>
  <si>
    <t xml:space="preserve">Revenue ₹3,869 Cr (+22% YoY). PAT ₹313 Cr. Entered lithium-ion battery recycling (LiB) and rubber recycling. Signed MoU for steel/e-waste recycling. Debt reduced to ₹286 Cr.</t>
  </si>
  <si>
    <t xml:space="preserve">Diversification 2.0</t>
  </si>
  <si>
    <t xml:space="preserve">ESG Recognition</t>
  </si>
  <si>
    <t xml:space="preserve">Recognized as one of India's most sustainable companies. Carbon footprint significantly lower vs primary metal production. EPR services business now contributing to revenues.</t>
  </si>
  <si>
    <t xml:space="preserve">ESG Milestone</t>
  </si>
  <si>
    <t xml:space="preserve">2026E</t>
  </si>
  <si>
    <t xml:space="preserve">Vision 2029 Execution</t>
  </si>
  <si>
    <t xml:space="preserve">Expect revenue ~₹4,600 Cr. LiB recycling commercial scale. Rubber recycling begins contributing. Countries of operation target: 40. Capex intensity moderated.</t>
  </si>
  <si>
    <t xml:space="preserve">Outlook</t>
  </si>
  <si>
    <t xml:space="preserve">2029E</t>
  </si>
  <si>
    <t xml:space="preserve">Vision 2029 Target</t>
  </si>
  <si>
    <t xml:space="preserve">Management targets: Revenue ₹10,000+ Cr | PAT CAGR 35%+ | ROCE 25%+ | Total recycled volumes: 5 lakh MT+ | Global presence: 50+ countries</t>
  </si>
  <si>
    <t xml:space="preserve">Long-term Target</t>
  </si>
  <si>
    <t xml:space="preserve">GRAVITA INDIA  |  PEER COMPARISON  |  vs Pondy Oxides &amp; Chemicals and Nile Ltd</t>
  </si>
  <si>
    <t xml:space="preserve">Source: Screener.in, Company Annual Reports. All figures in INR Crores unless stated.</t>
  </si>
  <si>
    <t xml:space="preserve">REVENUE COMPARISON (INR Cr)</t>
  </si>
  <si>
    <t xml:space="preserve">Company</t>
  </si>
  <si>
    <t xml:space="preserve">Gravita India (GRAVITA)</t>
  </si>
  <si>
    <t xml:space="preserve">Pondy Oxides (POCL)</t>
  </si>
  <si>
    <t xml:space="preserve">Nile Limited (NILE)</t>
  </si>
  <si>
    <t xml:space="preserve">EBITDA MARGIN COMPARISON (%)</t>
  </si>
  <si>
    <t xml:space="preserve">NET PROFIT COMPARISON (INR Cr)</t>
  </si>
  <si>
    <t xml:space="preserve">CURRENT VALUATION SNAPSHOT (FY25 Trailing)</t>
  </si>
  <si>
    <t xml:space="preserve">Mkt Cap (Cr)</t>
  </si>
  <si>
    <t xml:space="preserve">ROCE %</t>
  </si>
  <si>
    <t xml:space="preserve">ROE %</t>
  </si>
  <si>
    <t xml:space="preserve">Gravita India</t>
  </si>
  <si>
    <t xml:space="preserve">Pondy Oxides</t>
  </si>
  <si>
    <t xml:space="preserve">Nile Limited</t>
  </si>
  <si>
    <t xml:space="preserve">Gravita</t>
  </si>
  <si>
    <t xml:space="preserve">Nile</t>
  </si>
  <si>
    <t xml:space="preserve">Gravita EBITDA%</t>
  </si>
  <si>
    <t xml:space="preserve">Pondy OPM%</t>
  </si>
  <si>
    <t xml:space="preserve">Nile OPM%</t>
  </si>
  <si>
    <t xml:space="preserve">GRAVITA INDIA LIMITED  |  CORPORATE GOVERNANCE  |  As of FY2025</t>
  </si>
  <si>
    <t xml:space="preserve">BOARD OF DIRECTORS</t>
  </si>
  <si>
    <t xml:space="preserve">Name</t>
  </si>
  <si>
    <t xml:space="preserve">Designation</t>
  </si>
  <si>
    <t xml:space="preserve">Status</t>
  </si>
  <si>
    <t xml:space="preserve">DIN</t>
  </si>
  <si>
    <t xml:space="preserve">Since</t>
  </si>
  <si>
    <t xml:space="preserve">Shyam Sunder Agrawal</t>
  </si>
  <si>
    <t xml:space="preserve">Chairman &amp; Managing Director</t>
  </si>
  <si>
    <t xml:space="preserve">Promoter Executive</t>
  </si>
  <si>
    <t xml:space="preserve">00561760</t>
  </si>
  <si>
    <t xml:space="preserve">Rajat Agrawal</t>
  </si>
  <si>
    <t xml:space="preserve">Director &amp; CEO</t>
  </si>
  <si>
    <t xml:space="preserve">01527111</t>
  </si>
  <si>
    <t xml:space="preserve">Dinesh Kumar Govil</t>
  </si>
  <si>
    <t xml:space="preserve">Independent Director</t>
  </si>
  <si>
    <t xml:space="preserve">Independent</t>
  </si>
  <si>
    <t xml:space="preserve">01081078</t>
  </si>
  <si>
    <t xml:space="preserve">2014</t>
  </si>
  <si>
    <t xml:space="preserve">Yogesh Kumar Goyal</t>
  </si>
  <si>
    <t xml:space="preserve">00144820</t>
  </si>
  <si>
    <t xml:space="preserve">Nitin Gupta</t>
  </si>
  <si>
    <t xml:space="preserve">07304264</t>
  </si>
  <si>
    <t xml:space="preserve">2020</t>
  </si>
  <si>
    <t xml:space="preserve">Meenakshi Sharma</t>
  </si>
  <si>
    <t xml:space="preserve">Independent Director (Woman)</t>
  </si>
  <si>
    <t xml:space="preserve">07893803</t>
  </si>
  <si>
    <t xml:space="preserve">Rajeev Gupta</t>
  </si>
  <si>
    <t xml:space="preserve">Nominee Director</t>
  </si>
  <si>
    <t xml:space="preserve">Nominee</t>
  </si>
  <si>
    <t xml:space="preserve">01127297</t>
  </si>
  <si>
    <t xml:space="preserve">SHAREHOLDING PATTERN &amp; OWNERSHIP</t>
  </si>
  <si>
    <t xml:space="preserve">Category</t>
  </si>
  <si>
    <t xml:space="preserve">FY22 (%)</t>
  </si>
  <si>
    <t xml:space="preserve">FY23 (%)</t>
  </si>
  <si>
    <t xml:space="preserve">FY24 (%)</t>
  </si>
  <si>
    <t xml:space="preserve">FY25 (%)</t>
  </si>
  <si>
    <t xml:space="preserve">Promoter &amp; Promoter Group</t>
  </si>
  <si>
    <t xml:space="preserve">Foreign Institutional Investors (FII)</t>
  </si>
  <si>
    <t xml:space="preserve">Domestic Mutual Funds (DII)</t>
  </si>
  <si>
    <t xml:space="preserve">Public / Retail</t>
  </si>
  <si>
    <t xml:space="preserve">KEY GOVERNANCE METRICS</t>
  </si>
  <si>
    <t xml:space="preserve">Parameter</t>
  </si>
  <si>
    <t xml:space="preserve">Promoter Pledge (%)</t>
  </si>
  <si>
    <t xml:space="preserve">0%</t>
  </si>
  <si>
    <t xml:space="preserve">Total Board Members</t>
  </si>
  <si>
    <t xml:space="preserve">Women Directors</t>
  </si>
  <si>
    <t xml:space="preserve">Managerial Remuneration (₹ Cr)</t>
  </si>
  <si>
    <t xml:space="preserve">Auditor Fees - Audit (₹ Cr)</t>
  </si>
  <si>
    <t xml:space="preserve">Auditor Fees - Non-Audit (₹ Cr)</t>
  </si>
  <si>
    <t xml:space="preserve">Statutory Auditor</t>
  </si>
  <si>
    <t xml:space="preserve">S.C. Vasudeva &amp; Co.</t>
  </si>
  <si>
    <t xml:space="preserve">Dividend Payout (%)</t>
  </si>
  <si>
    <t xml:space="preserve">15%</t>
  </si>
  <si>
    <t xml:space="preserve">Related Party Transactions (₹ Cr)</t>
  </si>
  <si>
    <t xml:space="preserve">GRAVITA INDIA  |  EARNINGS FORECAST  |  FY21A–FY28E  |  Tikona Capital Estimates</t>
  </si>
  <si>
    <t xml:space="preserve">Blue = Actuals  |  Orange = Tikona Estimates  |  Based on Vision 2029 targets + regulatory tailwinds + capacity expansion</t>
  </si>
  <si>
    <t xml:space="preserve">INCOME STATEMENT</t>
  </si>
  <si>
    <t xml:space="preserve">YoY Growth (%)</t>
  </si>
  <si>
    <t xml:space="preserve">Gross Profit</t>
  </si>
  <si>
    <t xml:space="preserve">Gross Margin %</t>
  </si>
  <si>
    <t xml:space="preserve">EBITDA Margin %</t>
  </si>
  <si>
    <t xml:space="preserve">EBITDA Growth %</t>
  </si>
  <si>
    <t xml:space="preserve">Finance Costs</t>
  </si>
  <si>
    <t xml:space="preserve">Effective Tax Rate %</t>
  </si>
  <si>
    <t xml:space="preserve">PAT Margin %</t>
  </si>
  <si>
    <t xml:space="preserve">PER SHARE DATA</t>
  </si>
  <si>
    <t xml:space="preserve">EPS Growth (%)</t>
  </si>
  <si>
    <t xml:space="preserve">Book Value (INR)</t>
  </si>
  <si>
    <t xml:space="preserve">ASSUMPTIONS &amp; DRIVERS</t>
  </si>
  <si>
    <t xml:space="preserve">Volume Growth (%)</t>
  </si>
  <si>
    <t xml:space="preserve">Realization Growth (%)</t>
  </si>
  <si>
    <t xml:space="preserve">Revenue Growth Assumption (%)</t>
  </si>
  <si>
    <t xml:space="preserve">EBITDA Margin Assumption (%)</t>
  </si>
  <si>
    <t xml:space="preserve">Capex (INR Cr)</t>
  </si>
  <si>
    <t xml:space="preserve">Working Capital Days</t>
  </si>
  <si>
    <t xml:space="preserve">GRAVITA INDIA LIMITED  |  FINANCIAL STATEMENTS  |  INR Crores  |  FY21–FY28E</t>
  </si>
  <si>
    <t xml:space="preserve">PROFIT &amp; LOSS ACCOUNT</t>
  </si>
  <si>
    <t xml:space="preserve">Raw Material Cost</t>
  </si>
  <si>
    <t xml:space="preserve">Employee Cost</t>
  </si>
  <si>
    <t xml:space="preserve">Other Operating Exp</t>
  </si>
  <si>
    <t xml:space="preserve">Equity Capital</t>
  </si>
  <si>
    <t xml:space="preserve">Reserves &amp; Surplus</t>
  </si>
  <si>
    <t xml:space="preserve">Other Liabilities</t>
  </si>
  <si>
    <t xml:space="preserve">Total Liabilities</t>
  </si>
  <si>
    <t xml:space="preserve">Working Capital (Net)</t>
  </si>
  <si>
    <t xml:space="preserve">Total Assets</t>
  </si>
  <si>
    <t xml:space="preserve">CASH FLOW STATEMENT</t>
  </si>
  <si>
    <t xml:space="preserve">CFI (Investing)</t>
  </si>
  <si>
    <t xml:space="preserve">CFF (Financing)</t>
  </si>
  <si>
    <t xml:space="preserve">Net Cash Change</t>
  </si>
  <si>
    <t xml:space="preserve">Debt-Equity (x)</t>
  </si>
  <si>
    <t xml:space="preserve">Interest Coverage (x)</t>
  </si>
  <si>
    <t xml:space="preserve">Asset Turnover (x)</t>
  </si>
  <si>
    <t xml:space="preserve">CFO / EBITDA %</t>
  </si>
  <si>
    <t xml:space="preserve">GRAVITA INDIA  |  VALUATION MATRIX  |  CMP: ₹1,539  |  Mkt Cap: ₹11,360 Cr</t>
  </si>
  <si>
    <t xml:space="preserve">Source: Tikona Capital Estimates  |  Shares: 7.38 Cr  |  EV = Mcap + Debt - Cash</t>
  </si>
  <si>
    <t xml:space="preserve">Valuation Metric</t>
  </si>
  <si>
    <t xml:space="preserve">MARKET DATA</t>
  </si>
  <si>
    <t xml:space="preserve">CMP (INR)</t>
  </si>
  <si>
    <t xml:space="preserve">Market Cap (INR Cr)</t>
  </si>
  <si>
    <t xml:space="preserve">Enterprise Value (INR Cr)</t>
  </si>
  <si>
    <t xml:space="preserve">EARNINGS MULTIPLES</t>
  </si>
  <si>
    <t xml:space="preserve">P/Sales (x)</t>
  </si>
  <si>
    <t xml:space="preserve">EV/Sales (x)</t>
  </si>
  <si>
    <t xml:space="preserve">EV/EBIT (x)</t>
  </si>
  <si>
    <t xml:space="preserve">PER SHARE</t>
  </si>
  <si>
    <t xml:space="preserve">Sales/Share (INR)</t>
  </si>
  <si>
    <t xml:space="preserve">CFO/Share (INR)</t>
  </si>
  <si>
    <t xml:space="preserve">RETURN METRICS</t>
  </si>
  <si>
    <t xml:space="preserve">Earnings Yield (%)</t>
  </si>
  <si>
    <t xml:space="preserve">Dividend Yield (%)</t>
  </si>
  <si>
    <t xml:space="preserve">FCF Yield (%)</t>
  </si>
  <si>
    <t xml:space="preserve">DCF ASSUMPTIONS</t>
  </si>
  <si>
    <t xml:space="preserve">Risk-Free Rate (%)</t>
  </si>
  <si>
    <t xml:space="preserve">Equity Risk Premium (%)</t>
  </si>
  <si>
    <t xml:space="preserve">Beta</t>
  </si>
  <si>
    <t xml:space="preserve">Cost of Equity (%)</t>
  </si>
  <si>
    <t xml:space="preserve">WACC (%)</t>
  </si>
  <si>
    <t xml:space="preserve">Terminal Growth Rate (%)</t>
  </si>
  <si>
    <t xml:space="preserve">Implied DCF Price (INR)</t>
  </si>
  <si>
    <t xml:space="preserve">Upside / (Downside) %</t>
  </si>
  <si>
    <t xml:space="preserve">GRAVITA INDIA LIMITED  |  KEY RISKS REGISTER  |  Tikona Capital Risk Framework</t>
  </si>
  <si>
    <t xml:space="preserve">Risk Rating Scale: Probability — High (H) / Medium (M) / Low (L)  |  Impact — High (H) / Medium (M) / Low (L)</t>
  </si>
  <si>
    <t xml:space="preserve">#</t>
  </si>
  <si>
    <t xml:space="preserve">Risk Category</t>
  </si>
  <si>
    <t xml:space="preserve">Risk Factor</t>
  </si>
  <si>
    <t xml:space="preserve">Mitigation</t>
  </si>
  <si>
    <t xml:space="preserve">Probability</t>
  </si>
  <si>
    <t xml:space="preserve">Overall Rating</t>
  </si>
  <si>
    <t xml:space="preserve">Commodity Price Risk</t>
  </si>
  <si>
    <t xml:space="preserve">Lead/LME Price Volatility</t>
  </si>
  <si>
    <t xml:space="preserve">Lead comprises ~73% of revenue. Significant LME lead price decline compresses realizations and margins directly. A 10% fall in lead price can impact EBITDA margins by ~100-120 bps.</t>
  </si>
  <si>
    <t xml:space="preserve">Back-to-back contracts with customers; working capital financing aligned to LME; diversification into aluminium/plastic reduces pure-lead dependency.</t>
  </si>
  <si>
    <t xml:space="preserve">M</t>
  </si>
  <si>
    <t xml:space="preserve">H</t>
  </si>
  <si>
    <t xml:space="preserve">HIGH</t>
  </si>
  <si>
    <t xml:space="preserve">Raw Material Risk</t>
  </si>
  <si>
    <t xml:space="preserve">Battery Scrap Availability</t>
  </si>
  <si>
    <t xml:space="preserve">Availability and cost of battery scrap (key raw material) is critical. Scarcity or price spike can compress spreads. Unorganised sector competition for scrap procurement.</t>
  </si>
  <si>
    <t xml:space="preserve">Long-term supplier relationships; backward integration; geographic diversification of scrap sources across 35+ countries; BWMR regulation forces organized procurement.</t>
  </si>
  <si>
    <t xml:space="preserve">Regulatory Risk</t>
  </si>
  <si>
    <t xml:space="preserve">Environmental &amp; Compliance</t>
  </si>
  <si>
    <t xml:space="preserve">Lead recycling is environmentally sensitive. Stricter pollution control norms or adverse regulatory changes can increase compliance costs or force plant shutdowns.</t>
  </si>
  <si>
    <t xml:space="preserve">ISO-certified facilities; investments in pollution abatement; track record of compliance; green recycling credentials; EPR services as strategic hedge.</t>
  </si>
  <si>
    <t xml:space="preserve">L</t>
  </si>
  <si>
    <t xml:space="preserve">MEDIUM</t>
  </si>
  <si>
    <t xml:space="preserve">Execution Risk</t>
  </si>
  <si>
    <t xml:space="preserve">Capacity Expansion Delays</t>
  </si>
  <si>
    <t xml:space="preserve">Aggressive capex plan across India and overseas. Project delays, cost overruns, or technology issues can defer revenue and profitability. New verticals (LiB, rubber) are unproven at scale.</t>
  </si>
  <si>
    <t xml:space="preserve">Experienced project team; modular expansion approach; turnkey expertise leveraged for own plants; phased capex reduces risk concentration.</t>
  </si>
  <si>
    <t xml:space="preserve">Geopolitical Risk</t>
  </si>
  <si>
    <t xml:space="preserve">Overseas Operations in Africa</t>
  </si>
  <si>
    <t xml:space="preserve">~35% revenue from Africa &amp; other overseas markets. Political instability, currency controls, or infrastructure failures in African countries can disrupt operations.</t>
  </si>
  <si>
    <t xml:space="preserve">Geographic diversification across 35+ countries; no single country &gt;10% of overseas revenue; local partnerships; hedging of currency exposures where possible.</t>
  </si>
  <si>
    <t xml:space="preserve">Capital Allocation Risk</t>
  </si>
  <si>
    <t xml:space="preserve">New Vertical Investments</t>
  </si>
  <si>
    <t xml:space="preserve">Entry into lithium-ion battery, rubber, steel, and e-waste recycling requires capital. Poor allocation or slow ramp-up of new verticals can depress ROCE below management's 25% target.</t>
  </si>
  <si>
    <t xml:space="preserve">Phased investment approach; proof-of-concept before scaling; Vision 2029 framework provides accountability; management has track record of disciplined capital deployment.</t>
  </si>
  <si>
    <t xml:space="preserve">Competition Risk</t>
  </si>
  <si>
    <t xml:space="preserve">Unorganised Sector</t>
  </si>
  <si>
    <t xml:space="preserve">Unorganised recyclers (~60% of market) compete aggressively on price for scrap and products. GST/BWMR implementation reduces but does not eliminate this risk.</t>
  </si>
  <si>
    <t xml:space="preserve">BWMR regulations drive shift to organised sector; scale advantages; quality and ESG credentials command premium; technology moat in aluminium/plastic recycling.</t>
  </si>
  <si>
    <t xml:space="preserve">LOW</t>
  </si>
  <si>
    <t xml:space="preserve">Currency Risk</t>
  </si>
  <si>
    <t xml:space="preserve">Forex Exposure</t>
  </si>
  <si>
    <t xml:space="preserve">Revenue and costs in multiple currencies (USD, EUR, African local currencies). Adverse forex movements can impact reported profitability and balance sheet.</t>
  </si>
  <si>
    <t xml:space="preserve">Natural hedging via matching of revenue and procurement in same currency; forward contracts for material exposures; majority of debt is in INR.</t>
  </si>
  <si>
    <t xml:space="preserve">Promoter Shareholding</t>
  </si>
  <si>
    <t xml:space="preserve">Promoter Stake Dilution</t>
  </si>
  <si>
    <t xml:space="preserve">Promoter stake has declined from 72.9% (FY22) to 55.9% (FY25) due to multiple QIPs. Further dilution may raise corporate governance concerns among investors.</t>
  </si>
  <si>
    <t xml:space="preserve">QIPs used for productive capacity expansion; promoters retain majority; institutional ownership (FII+DII) at ~29% is a positive; No pledge on shares.</t>
  </si>
  <si>
    <t xml:space="preserve">Working Capital Risk</t>
  </si>
  <si>
    <t xml:space="preserve">High Working Capital Intensity</t>
  </si>
  <si>
    <t xml:space="preserve">Battery scrap to finished metal cycle involves significant WC. Rising commodity prices or supply disruptions can spike WC requirements and stress short-term liquidity.</t>
  </si>
  <si>
    <t xml:space="preserve">Strong banking relationships; CC limits tied to inventory; debtor days &lt;30 days (disciplined credit); improved CFO/EBITDA conversion in FY25 (86%).</t>
  </si>
  <si>
    <t xml:space="preserve">ESG Risk</t>
  </si>
  <si>
    <t xml:space="preserve">Environmental Liability</t>
  </si>
  <si>
    <t xml:space="preserve">Lead recycling operations carry environmental liability risk from soil/water contamination. Historical or future liability claims can be material and reputationally damaging.</t>
  </si>
  <si>
    <t xml:space="preserve">Closed-loop processing; zero liquid discharge plants; third-party audits; strong CSR track record; EPR credentials; insurance cover for environmental risks.</t>
  </si>
  <si>
    <t xml:space="preserve">Valuation Risk</t>
  </si>
  <si>
    <t xml:space="preserve">Premium Valuation De-rating</t>
  </si>
  <si>
    <t xml:space="preserve">Stock trades at premium to peers (P/E ~36x TTM). Any earnings disappointment, slowdown in Vision 2029 execution, or market de-rating of recycling sector can cause sharp correction.</t>
  </si>
  <si>
    <t xml:space="preserve">Strong earnings visibility from BWMR tailwinds; capacity expansion underpins growth; diversification reduces earnings volatility; building ESG premium into valuation.</t>
  </si>
  <si>
    <t xml:space="preserve">How to use it?</t>
  </si>
  <si>
    <t xml:space="preserve">You can customize this workbook as you want.</t>
  </si>
  <si>
    <t xml:space="preserve">You can add custom formating, add conditional formating, add your own formulas… do ANYTHING.</t>
  </si>
  <si>
    <t xml:space="preserve">Please don't edit the "Data Sheet" only.</t>
  </si>
  <si>
    <t xml:space="preserve">After customization, you can upload this back on Screener.</t>
  </si>
  <si>
    <t xml:space="preserve">Upload on:</t>
  </si>
  <si>
    <t xml:space="preserve"> https://www.screener.in/excel/</t>
  </si>
  <si>
    <t xml:space="preserve">Download your customized workbooks now onwards.</t>
  </si>
  <si>
    <t xml:space="preserve">Now whenever you will "Export to excel" from Screener, it will export your customized file.</t>
  </si>
  <si>
    <t xml:space="preserve">TESTING:</t>
  </si>
  <si>
    <t xml:space="preserve">This is a testing feature currently.</t>
  </si>
  <si>
    <t xml:space="preserve">You can report any formula errors on the worksheet at:</t>
  </si>
  <si>
    <t xml:space="preserve"> screener.feedback@dalal-street.in</t>
  </si>
  <si>
    <t xml:space="preserve">COMPANY NAME</t>
  </si>
  <si>
    <t xml:space="preserve">GRAVITA INDIA LTD</t>
  </si>
  <si>
    <t xml:space="preserve">LATEST VERSION</t>
  </si>
  <si>
    <t xml:space="preserve">PLEASE DO NOT MAKE ANY CHANGES TO THIS SHEET</t>
  </si>
  <si>
    <t xml:space="preserve">CURRENT VERSION</t>
  </si>
  <si>
    <t xml:space="preserve">META</t>
  </si>
  <si>
    <t xml:space="preserve">Number of shares</t>
  </si>
  <si>
    <t xml:space="preserve">Face Value</t>
  </si>
  <si>
    <t xml:space="preserve">Current Price</t>
  </si>
  <si>
    <t xml:space="preserve">Market Capitalization</t>
  </si>
  <si>
    <t xml:space="preserve">PROFIT &amp; LOSS</t>
  </si>
  <si>
    <t xml:space="preserve">Report Date</t>
  </si>
  <si>
    <t xml:space="preserve">Sales</t>
  </si>
  <si>
    <t xml:space="preserve">Change in Inventory</t>
  </si>
  <si>
    <t xml:space="preserve">Power and Fuel</t>
  </si>
  <si>
    <t xml:space="preserve">Other Mfr. Exp</t>
  </si>
  <si>
    <t xml:space="preserve">Selling and admin</t>
  </si>
  <si>
    <t xml:space="preserve">Other Expenses</t>
  </si>
  <si>
    <t xml:space="preserve">Profit before tax</t>
  </si>
  <si>
    <t xml:space="preserve">Net profit</t>
  </si>
  <si>
    <t xml:space="preserve">Dividend Amount</t>
  </si>
  <si>
    <t xml:space="preserve">Quarters</t>
  </si>
  <si>
    <t xml:space="preserve">Expenses</t>
  </si>
  <si>
    <t xml:space="preserve">Operating Profit</t>
  </si>
  <si>
    <t xml:space="preserve">Equity Share Capital</t>
  </si>
  <si>
    <t xml:space="preserve">Reserves</t>
  </si>
  <si>
    <t xml:space="preserve">Borrowings</t>
  </si>
  <si>
    <t xml:space="preserve">Total</t>
  </si>
  <si>
    <t xml:space="preserve">Capital Work in Progress</t>
  </si>
  <si>
    <t xml:space="preserve">Other Assets</t>
  </si>
  <si>
    <t xml:space="preserve">Receivables</t>
  </si>
  <si>
    <t xml:space="preserve">Inventory</t>
  </si>
  <si>
    <t xml:space="preserve">Cash &amp; Bank</t>
  </si>
  <si>
    <t xml:space="preserve">No. of Equity Shares</t>
  </si>
  <si>
    <t xml:space="preserve">New Bonus Shares</t>
  </si>
  <si>
    <t xml:space="preserve">Face value</t>
  </si>
  <si>
    <t xml:space="preserve">CASH FLOW:</t>
  </si>
  <si>
    <t xml:space="preserve">Cash from Operating Activity</t>
  </si>
  <si>
    <t xml:space="preserve">Cash from Investing Activity</t>
  </si>
  <si>
    <t xml:space="preserve">Cash from Financing Activity</t>
  </si>
  <si>
    <t xml:space="preserve">Net Cash Flow</t>
  </si>
  <si>
    <t xml:space="preserve">PRICE:</t>
  </si>
  <si>
    <t xml:space="preserve">DERIVED:</t>
  </si>
  <si>
    <t xml:space="preserve">Adjusted Equity Shares in Cr</t>
  </si>
  <si>
    <t xml:space="preserve">Company Name</t>
  </si>
  <si>
    <t xml:space="preserve">CD_NSE Symbol</t>
  </si>
  <si>
    <t xml:space="preserve">Accord Code</t>
  </si>
  <si>
    <t xml:space="preserve">CD_Bloomberg Code</t>
  </si>
  <si>
    <t xml:space="preserve">CD_ISIN No</t>
  </si>
  <si>
    <t xml:space="preserve">3I Infotech Ltd</t>
  </si>
  <si>
    <t xml:space="preserve">3IINFOLTD</t>
  </si>
  <si>
    <t xml:space="preserve">III IN</t>
  </si>
  <si>
    <t xml:space="preserve">INE748C01038</t>
  </si>
  <si>
    <t xml:space="preserve">3M India Ltd</t>
  </si>
  <si>
    <t xml:space="preserve">3MINDIA</t>
  </si>
  <si>
    <t xml:space="preserve">3M IN</t>
  </si>
  <si>
    <t xml:space="preserve">INE470A01017</t>
  </si>
  <si>
    <t xml:space="preserve">5Paisa Capital Ltd</t>
  </si>
  <si>
    <t xml:space="preserve">5PAISA</t>
  </si>
  <si>
    <t xml:space="preserve">5PAISA IN</t>
  </si>
  <si>
    <t xml:space="preserve">INE618L01018</t>
  </si>
  <si>
    <t xml:space="preserve">63 Moons Technologies Ltd</t>
  </si>
  <si>
    <t xml:space="preserve">63MOONS</t>
  </si>
  <si>
    <t xml:space="preserve">63MOONS IN</t>
  </si>
  <si>
    <t xml:space="preserve">INE111B01023</t>
  </si>
  <si>
    <t xml:space="preserve">Aarti Drugs Ltd</t>
  </si>
  <si>
    <t xml:space="preserve">AARTIDRUGS</t>
  </si>
  <si>
    <t xml:space="preserve">ARTD IN</t>
  </si>
  <si>
    <t xml:space="preserve">INE767A01016</t>
  </si>
  <si>
    <t xml:space="preserve">Aarti Industries Ltd</t>
  </si>
  <si>
    <t xml:space="preserve">AARTIIND</t>
  </si>
  <si>
    <t xml:space="preserve">ARTO IN</t>
  </si>
  <si>
    <t xml:space="preserve">INE769A01020</t>
  </si>
  <si>
    <t xml:space="preserve">Aarti Surfactants Ltd</t>
  </si>
  <si>
    <t xml:space="preserve">AARTISURF</t>
  </si>
  <si>
    <t xml:space="preserve">AARTISUR IN</t>
  </si>
  <si>
    <t xml:space="preserve">INE09EO01013</t>
  </si>
  <si>
    <t xml:space="preserve">Aavas Financiers Ltd</t>
  </si>
  <si>
    <t xml:space="preserve">AAVAS</t>
  </si>
  <si>
    <t xml:space="preserve">AAVAS IN</t>
  </si>
  <si>
    <t xml:space="preserve">INE216P01012</t>
  </si>
  <si>
    <t xml:space="preserve">ABB India Ltd</t>
  </si>
  <si>
    <t xml:space="preserve">ABB</t>
  </si>
  <si>
    <t xml:space="preserve">ABB IN</t>
  </si>
  <si>
    <t xml:space="preserve">INE117A01022</t>
  </si>
  <si>
    <t xml:space="preserve">Abbott India Ltd</t>
  </si>
  <si>
    <t xml:space="preserve">ABBOTINDIA</t>
  </si>
  <si>
    <t xml:space="preserve">BOOT IN</t>
  </si>
  <si>
    <t xml:space="preserve">INE358A01014</t>
  </si>
  <si>
    <t xml:space="preserve">ACC Ltd</t>
  </si>
  <si>
    <t xml:space="preserve">ACC</t>
  </si>
  <si>
    <t xml:space="preserve">ACC IN</t>
  </si>
  <si>
    <t xml:space="preserve">INE012A01025</t>
  </si>
  <si>
    <t xml:space="preserve">Accelya Solutions India Ltd</t>
  </si>
  <si>
    <t xml:space="preserve">ACCELYA</t>
  </si>
  <si>
    <t xml:space="preserve">ACCELYA IN</t>
  </si>
  <si>
    <t xml:space="preserve">INE793A01012</t>
  </si>
  <si>
    <t xml:space="preserve">Acrysil Ltd</t>
  </si>
  <si>
    <t xml:space="preserve">ACRYSIL</t>
  </si>
  <si>
    <t xml:space="preserve">ACRY IN</t>
  </si>
  <si>
    <t xml:space="preserve">INE482D01024</t>
  </si>
  <si>
    <t xml:space="preserve">Action Construction Equipment Ltd</t>
  </si>
  <si>
    <t xml:space="preserve">ACE</t>
  </si>
  <si>
    <t xml:space="preserve">ACCE IN</t>
  </si>
  <si>
    <t xml:space="preserve">INE731H01025</t>
  </si>
  <si>
    <t xml:space="preserve">Adani Enterprises Ltd</t>
  </si>
  <si>
    <t xml:space="preserve">ADANIENT</t>
  </si>
  <si>
    <t xml:space="preserve">ADE IN</t>
  </si>
  <si>
    <t xml:space="preserve">INE423A01024</t>
  </si>
  <si>
    <t xml:space="preserve">Adani Green Energy Ltd</t>
  </si>
  <si>
    <t xml:space="preserve">ADANIGREEN</t>
  </si>
  <si>
    <t xml:space="preserve">ADANIGR IN</t>
  </si>
  <si>
    <t xml:space="preserve">INE364U01010</t>
  </si>
  <si>
    <t xml:space="preserve">Adani Ports and Special Economic Zone Ltd</t>
  </si>
  <si>
    <t xml:space="preserve">ADANIPORTS</t>
  </si>
  <si>
    <t xml:space="preserve">ADSEZ IN</t>
  </si>
  <si>
    <t xml:space="preserve">INE742F01042</t>
  </si>
  <si>
    <t xml:space="preserve">Adani Power Ltd</t>
  </si>
  <si>
    <t xml:space="preserve">ADANIPOWER</t>
  </si>
  <si>
    <t xml:space="preserve">ADANI IN</t>
  </si>
  <si>
    <t xml:space="preserve">INE814H01011</t>
  </si>
  <si>
    <t xml:space="preserve">Adani Total Gas Ltd</t>
  </si>
  <si>
    <t xml:space="preserve">ATGL</t>
  </si>
  <si>
    <t xml:space="preserve">ATGL IN</t>
  </si>
  <si>
    <t xml:space="preserve">INE399L01023</t>
  </si>
  <si>
    <t xml:space="preserve">Adani Transmission Ltd</t>
  </si>
  <si>
    <t xml:space="preserve">ADANITRANS</t>
  </si>
  <si>
    <t xml:space="preserve">ADANIT IN</t>
  </si>
  <si>
    <t xml:space="preserve">INE931S01010</t>
  </si>
  <si>
    <t xml:space="preserve">ADF Foods Ltd</t>
  </si>
  <si>
    <t xml:space="preserve">ADFFOODS</t>
  </si>
  <si>
    <t xml:space="preserve">ADFL IN</t>
  </si>
  <si>
    <t xml:space="preserve">INE982B01019</t>
  </si>
  <si>
    <t xml:space="preserve">Aditya Birla Capital Ltd</t>
  </si>
  <si>
    <t xml:space="preserve">ABCAPITAL</t>
  </si>
  <si>
    <t xml:space="preserve">ABCAP IN</t>
  </si>
  <si>
    <t xml:space="preserve">INE674K01013</t>
  </si>
  <si>
    <t xml:space="preserve">Aditya Birla Fashion and Retail Ltd</t>
  </si>
  <si>
    <t xml:space="preserve">ABFRL</t>
  </si>
  <si>
    <t xml:space="preserve">ABFRL IN</t>
  </si>
  <si>
    <t xml:space="preserve">INE647O01011</t>
  </si>
  <si>
    <t xml:space="preserve">Aditya Birla Sun Life AMC Ltd</t>
  </si>
  <si>
    <t xml:space="preserve">ABSLAMC</t>
  </si>
  <si>
    <t xml:space="preserve">ABSLAMC IN</t>
  </si>
  <si>
    <t xml:space="preserve">INE404A01024</t>
  </si>
  <si>
    <t xml:space="preserve">Aditya Vision Ltd</t>
  </si>
  <si>
    <t xml:space="preserve">AVL IN</t>
  </si>
  <si>
    <t xml:space="preserve">INE679V01019</t>
  </si>
  <si>
    <t xml:space="preserve">Ador Welding Ltd</t>
  </si>
  <si>
    <t xml:space="preserve">ADORWELD</t>
  </si>
  <si>
    <t xml:space="preserve">AWL IN</t>
  </si>
  <si>
    <t xml:space="preserve">INE045A01017</t>
  </si>
  <si>
    <t xml:space="preserve">Advanced Enzyme Technologies Ltd</t>
  </si>
  <si>
    <t xml:space="preserve">ADVENZYMES</t>
  </si>
  <si>
    <t xml:space="preserve">ADVENZY IN</t>
  </si>
  <si>
    <t xml:space="preserve">INE837H01020</t>
  </si>
  <si>
    <t xml:space="preserve">Aegis Logistics Ltd</t>
  </si>
  <si>
    <t xml:space="preserve">AEGISCHEM</t>
  </si>
  <si>
    <t xml:space="preserve">AGIS IN</t>
  </si>
  <si>
    <t xml:space="preserve">INE208C01025</t>
  </si>
  <si>
    <t xml:space="preserve">Affle (India) Ltd</t>
  </si>
  <si>
    <t xml:space="preserve">AFFLE</t>
  </si>
  <si>
    <t xml:space="preserve">AFFLE IN</t>
  </si>
  <si>
    <t xml:space="preserve">INE00WC01027</t>
  </si>
  <si>
    <t xml:space="preserve">Agarwal Industrial Corporation Ltd</t>
  </si>
  <si>
    <t xml:space="preserve">AGARIND</t>
  </si>
  <si>
    <t xml:space="preserve">AGAR IN</t>
  </si>
  <si>
    <t xml:space="preserve">INE204E01012</t>
  </si>
  <si>
    <t xml:space="preserve">Agro Tech Foods Ltd</t>
  </si>
  <si>
    <t xml:space="preserve">ATFL</t>
  </si>
  <si>
    <t xml:space="preserve">ATFL IN</t>
  </si>
  <si>
    <t xml:space="preserve">INE209A01019</t>
  </si>
  <si>
    <t xml:space="preserve">Ahluwalia Contracts (India) Ltd</t>
  </si>
  <si>
    <t xml:space="preserve">AHLUCONT</t>
  </si>
  <si>
    <t xml:space="preserve">AHLU IN</t>
  </si>
  <si>
    <t xml:space="preserve">INE758C01029</t>
  </si>
  <si>
    <t xml:space="preserve">AIA Engineering Ltd</t>
  </si>
  <si>
    <t xml:space="preserve">AIAENG</t>
  </si>
  <si>
    <t xml:space="preserve">AIAE IN</t>
  </si>
  <si>
    <t xml:space="preserve">INE212H01026</t>
  </si>
  <si>
    <t xml:space="preserve">Ajanta Pharma Ltd</t>
  </si>
  <si>
    <t xml:space="preserve">AJANTPHARM</t>
  </si>
  <si>
    <t xml:space="preserve">AJP IN</t>
  </si>
  <si>
    <t xml:space="preserve">INE031B01049</t>
  </si>
  <si>
    <t xml:space="preserve">Ajmera Realty &amp; Infra India Ltd</t>
  </si>
  <si>
    <t xml:space="preserve">AJMERA</t>
  </si>
  <si>
    <t xml:space="preserve">AREAL IN</t>
  </si>
  <si>
    <t xml:space="preserve">INE298G01027</t>
  </si>
  <si>
    <t xml:space="preserve">Akzo Nobel India Ltd</t>
  </si>
  <si>
    <t xml:space="preserve">AKZOINDIA</t>
  </si>
  <si>
    <t xml:space="preserve">AKZO IN</t>
  </si>
  <si>
    <t xml:space="preserve">INE133A01011</t>
  </si>
  <si>
    <t xml:space="preserve">Alembic Ltd</t>
  </si>
  <si>
    <t xml:space="preserve">ALEMBICLTD</t>
  </si>
  <si>
    <t xml:space="preserve">ALBC IN</t>
  </si>
  <si>
    <t xml:space="preserve">INE426A01027</t>
  </si>
  <si>
    <t xml:space="preserve">Alembic Pharmaceuticals Ltd</t>
  </si>
  <si>
    <t xml:space="preserve">APLLTD</t>
  </si>
  <si>
    <t xml:space="preserve">ALPM IN</t>
  </si>
  <si>
    <t xml:space="preserve">INE901L01018</t>
  </si>
  <si>
    <t xml:space="preserve">Alicon Castalloy Ltd</t>
  </si>
  <si>
    <t xml:space="preserve">ALICON</t>
  </si>
  <si>
    <t xml:space="preserve">ALIC IN</t>
  </si>
  <si>
    <t xml:space="preserve">INE062D01024</t>
  </si>
  <si>
    <t xml:space="preserve">Alkem Laboratories Ltd</t>
  </si>
  <si>
    <t xml:space="preserve">ALKEM</t>
  </si>
  <si>
    <t xml:space="preserve">ALKEM IN</t>
  </si>
  <si>
    <t xml:space="preserve">INE540L01014</t>
  </si>
  <si>
    <t xml:space="preserve">Alkyl Amines Chemicals Ltd</t>
  </si>
  <si>
    <t xml:space="preserve">ALKYLAMINE</t>
  </si>
  <si>
    <t xml:space="preserve">AACL IN</t>
  </si>
  <si>
    <t xml:space="preserve">INE150B01039</t>
  </si>
  <si>
    <t xml:space="preserve">Allcargo Logistics Ltd</t>
  </si>
  <si>
    <t xml:space="preserve">ALLCARGO</t>
  </si>
  <si>
    <t xml:space="preserve">AGLL IN</t>
  </si>
  <si>
    <t xml:space="preserve">INE418H01029</t>
  </si>
  <si>
    <t xml:space="preserve">Allied Digital Services Ltd</t>
  </si>
  <si>
    <t xml:space="preserve">ADSL</t>
  </si>
  <si>
    <t xml:space="preserve">ALDS IN</t>
  </si>
  <si>
    <t xml:space="preserve">INE102I01027</t>
  </si>
  <si>
    <t xml:space="preserve">Allsec Technologies Ltd</t>
  </si>
  <si>
    <t xml:space="preserve">ALLSEC</t>
  </si>
  <si>
    <t xml:space="preserve">ALLT IN</t>
  </si>
  <si>
    <t xml:space="preserve">INE835G01018</t>
  </si>
  <si>
    <t xml:space="preserve">Alok Industries Ltd</t>
  </si>
  <si>
    <t xml:space="preserve">ALOKINDS</t>
  </si>
  <si>
    <t xml:space="preserve">ALOK IN</t>
  </si>
  <si>
    <t xml:space="preserve">INE270A01029</t>
  </si>
  <si>
    <t xml:space="preserve">Amara Raja Batteries Ltd</t>
  </si>
  <si>
    <t xml:space="preserve">AMARAJABAT</t>
  </si>
  <si>
    <t xml:space="preserve">AMRJ IN</t>
  </si>
  <si>
    <t xml:space="preserve">INE885A01032</t>
  </si>
  <si>
    <t xml:space="preserve">Amber Enterprises India Ltd</t>
  </si>
  <si>
    <t xml:space="preserve">AMBER</t>
  </si>
  <si>
    <t xml:space="preserve">AMBER IN</t>
  </si>
  <si>
    <t xml:space="preserve">INE371P01015</t>
  </si>
  <si>
    <t xml:space="preserve">Ambika Cotton Mills Ltd</t>
  </si>
  <si>
    <t xml:space="preserve">AMBIKCO</t>
  </si>
  <si>
    <t xml:space="preserve">ACML IN</t>
  </si>
  <si>
    <t xml:space="preserve">INE540G01014</t>
  </si>
  <si>
    <t xml:space="preserve">Ambuja Cements Ltd</t>
  </si>
  <si>
    <t xml:space="preserve">AMBUJACEM</t>
  </si>
  <si>
    <t xml:space="preserve">ACEM IN</t>
  </si>
  <si>
    <t xml:space="preserve">INE079A01024</t>
  </si>
  <si>
    <t xml:space="preserve">AMI Organics Ltd</t>
  </si>
  <si>
    <t xml:space="preserve">AMIORG</t>
  </si>
  <si>
    <t xml:space="preserve">AMIORG IN</t>
  </si>
  <si>
    <t xml:space="preserve">INE00FF01017</t>
  </si>
  <si>
    <t xml:space="preserve">Amines &amp; Plasticizers Ltd</t>
  </si>
  <si>
    <t xml:space="preserve">ANPL IN</t>
  </si>
  <si>
    <t xml:space="preserve">INE275D01022</t>
  </si>
  <si>
    <t xml:space="preserve">Amrutanjan Health Care Ltd</t>
  </si>
  <si>
    <t xml:space="preserve">AMRUTANJAN</t>
  </si>
  <si>
    <t xml:space="preserve">ARJN IN</t>
  </si>
  <si>
    <t xml:space="preserve">INE098F01031</t>
  </si>
  <si>
    <t xml:space="preserve">Anand Rathi Wealth Ltd</t>
  </si>
  <si>
    <t xml:space="preserve">ANANDRATHI</t>
  </si>
  <si>
    <t xml:space="preserve">ANANDRAT IN</t>
  </si>
  <si>
    <t xml:space="preserve">INE463V01026</t>
  </si>
  <si>
    <t xml:space="preserve">Anant Raj Ltd</t>
  </si>
  <si>
    <t xml:space="preserve">ANANTRAJ</t>
  </si>
  <si>
    <t xml:space="preserve">ARCP IN</t>
  </si>
  <si>
    <t xml:space="preserve">INE242C01024</t>
  </si>
  <si>
    <t xml:space="preserve">Andhra Paper Ltd</t>
  </si>
  <si>
    <t xml:space="preserve">ANDHRAPAP</t>
  </si>
  <si>
    <t xml:space="preserve">ANHPR IN</t>
  </si>
  <si>
    <t xml:space="preserve">INE435A01028</t>
  </si>
  <si>
    <t xml:space="preserve">Andhra Petrochemicals Ltd</t>
  </si>
  <si>
    <t xml:space="preserve">ANDHRAPET</t>
  </si>
  <si>
    <t xml:space="preserve">ANDP IN</t>
  </si>
  <si>
    <t xml:space="preserve">INE714B01016</t>
  </si>
  <si>
    <t xml:space="preserve">Andrew Yule &amp; Company Ltd</t>
  </si>
  <si>
    <t xml:space="preserve">ANDREWYU</t>
  </si>
  <si>
    <t xml:space="preserve">ANY IN</t>
  </si>
  <si>
    <t xml:space="preserve">INE449C01025</t>
  </si>
  <si>
    <t xml:space="preserve">Angel One Ltd</t>
  </si>
  <si>
    <t xml:space="preserve">ANGELONE</t>
  </si>
  <si>
    <t xml:space="preserve">ANGELONE IN</t>
  </si>
  <si>
    <t xml:space="preserve">INE732I01013</t>
  </si>
  <si>
    <t xml:space="preserve">Anjani Portland Cement Ltd</t>
  </si>
  <si>
    <t xml:space="preserve">APCL</t>
  </si>
  <si>
    <t xml:space="preserve">SHZC IN</t>
  </si>
  <si>
    <t xml:space="preserve">INE071F01012</t>
  </si>
  <si>
    <t xml:space="preserve">Antony Waste Handling Cell Ltd</t>
  </si>
  <si>
    <t xml:space="preserve">AWHCL</t>
  </si>
  <si>
    <t xml:space="preserve">AWHCL IN</t>
  </si>
  <si>
    <t xml:space="preserve">INE01BK01022</t>
  </si>
  <si>
    <t xml:space="preserve">Anuh Pharma Ltd</t>
  </si>
  <si>
    <t xml:space="preserve">ANUH IN</t>
  </si>
  <si>
    <t xml:space="preserve">INE489G01022</t>
  </si>
  <si>
    <t xml:space="preserve">Anupam Rasayan India Ltd</t>
  </si>
  <si>
    <t xml:space="preserve">ANURAS</t>
  </si>
  <si>
    <t xml:space="preserve">ANURAS IN</t>
  </si>
  <si>
    <t xml:space="preserve">INE930P01018</t>
  </si>
  <si>
    <t xml:space="preserve">Apar Industries Ltd</t>
  </si>
  <si>
    <t xml:space="preserve">APARINDS</t>
  </si>
  <si>
    <t xml:space="preserve">APR IN</t>
  </si>
  <si>
    <t xml:space="preserve">INE372A01015</t>
  </si>
  <si>
    <t xml:space="preserve">Apcotex Industries Ltd</t>
  </si>
  <si>
    <t xml:space="preserve">APCOTEXIND</t>
  </si>
  <si>
    <t xml:space="preserve">APCO IN</t>
  </si>
  <si>
    <t xml:space="preserve">INE116A01032</t>
  </si>
  <si>
    <t xml:space="preserve">Apex Frozen Foods Ltd</t>
  </si>
  <si>
    <t xml:space="preserve">APEX</t>
  </si>
  <si>
    <t xml:space="preserve">APEX IN</t>
  </si>
  <si>
    <t xml:space="preserve">INE346W01013</t>
  </si>
  <si>
    <t xml:space="preserve">APL Apollo Tubes Ltd</t>
  </si>
  <si>
    <t xml:space="preserve">APLAPOLLO</t>
  </si>
  <si>
    <t xml:space="preserve">APAT IN</t>
  </si>
  <si>
    <t xml:space="preserve">INE702C01027</t>
  </si>
  <si>
    <t xml:space="preserve">Apollo Hospitals Enterprise Ltd</t>
  </si>
  <si>
    <t xml:space="preserve">APOLLOHOSP</t>
  </si>
  <si>
    <t xml:space="preserve">APHS IN</t>
  </si>
  <si>
    <t xml:space="preserve">INE437A01024</t>
  </si>
  <si>
    <t xml:space="preserve">Apollo Pipes Ltd</t>
  </si>
  <si>
    <t xml:space="preserve">APOLLOPIPE</t>
  </si>
  <si>
    <t xml:space="preserve">APOLP IN</t>
  </si>
  <si>
    <t xml:space="preserve">INE126J01016</t>
  </si>
  <si>
    <t xml:space="preserve">Apollo Tricoat Tubes Ltd</t>
  </si>
  <si>
    <t xml:space="preserve">APOLTRI IN</t>
  </si>
  <si>
    <t xml:space="preserve">INE919P01029</t>
  </si>
  <si>
    <t xml:space="preserve">Apollo Tyres Ltd</t>
  </si>
  <si>
    <t xml:space="preserve">APOLLOTYRE</t>
  </si>
  <si>
    <t xml:space="preserve">APTY IN</t>
  </si>
  <si>
    <t xml:space="preserve">INE438A01022</t>
  </si>
  <si>
    <t xml:space="preserve">Aptech Ltd</t>
  </si>
  <si>
    <t xml:space="preserve">APTECHT</t>
  </si>
  <si>
    <t xml:space="preserve">APTR IN</t>
  </si>
  <si>
    <t xml:space="preserve">INE266F01018</t>
  </si>
  <si>
    <t xml:space="preserve">Aptus Value Housing Finance India Ltd</t>
  </si>
  <si>
    <t xml:space="preserve">APTUS</t>
  </si>
  <si>
    <t xml:space="preserve">APTUS IN</t>
  </si>
  <si>
    <t xml:space="preserve">INE852O01025</t>
  </si>
  <si>
    <t xml:space="preserve">Arihant Superstructures Ltd</t>
  </si>
  <si>
    <t xml:space="preserve">ARIHANTSUP</t>
  </si>
  <si>
    <t xml:space="preserve">ARSU IN</t>
  </si>
  <si>
    <t xml:space="preserve">INE643K01018</t>
  </si>
  <si>
    <t xml:space="preserve">Arman Financial Services Ltd</t>
  </si>
  <si>
    <t xml:space="preserve">ARMANFIN</t>
  </si>
  <si>
    <t xml:space="preserve">ARLF IN</t>
  </si>
  <si>
    <t xml:space="preserve">INE109C01017</t>
  </si>
  <si>
    <t xml:space="preserve">Arshiya Ltd</t>
  </si>
  <si>
    <t xml:space="preserve">ARSHIYA</t>
  </si>
  <si>
    <t xml:space="preserve">ARSL IN</t>
  </si>
  <si>
    <t xml:space="preserve">INE968D01022</t>
  </si>
  <si>
    <t xml:space="preserve">Artemis Medicare Services Ltd</t>
  </si>
  <si>
    <t xml:space="preserve">ARTEMISMED</t>
  </si>
  <si>
    <t xml:space="preserve">ARTMSL IN</t>
  </si>
  <si>
    <t xml:space="preserve">INE025R01021</t>
  </si>
  <si>
    <t xml:space="preserve">Arvind Fashions Ltd</t>
  </si>
  <si>
    <t xml:space="preserve">ARVINDFASN</t>
  </si>
  <si>
    <t xml:space="preserve">ARVINDFA IN</t>
  </si>
  <si>
    <t xml:space="preserve">INE955V01021</t>
  </si>
  <si>
    <t xml:space="preserve">Arvind Ltd</t>
  </si>
  <si>
    <t xml:space="preserve">ARVIND</t>
  </si>
  <si>
    <t xml:space="preserve">ARVND IN</t>
  </si>
  <si>
    <t xml:space="preserve">INE034A01011</t>
  </si>
  <si>
    <t xml:space="preserve">Arvind Smartspaces Ltd</t>
  </si>
  <si>
    <t xml:space="preserve">ARVSMART</t>
  </si>
  <si>
    <t xml:space="preserve">ARIL IN</t>
  </si>
  <si>
    <t xml:space="preserve">INE034S01021</t>
  </si>
  <si>
    <t xml:space="preserve">Asahi India Glass Ltd</t>
  </si>
  <si>
    <t xml:space="preserve">ASAHIINDIA</t>
  </si>
  <si>
    <t xml:space="preserve">AISG IN</t>
  </si>
  <si>
    <t xml:space="preserve">INE439A01020</t>
  </si>
  <si>
    <t xml:space="preserve">Ashapura Minechem Ltd</t>
  </si>
  <si>
    <t xml:space="preserve">ASHAPURMIN</t>
  </si>
  <si>
    <t xml:space="preserve">ASMN IN</t>
  </si>
  <si>
    <t xml:space="preserve">INE348A01023</t>
  </si>
  <si>
    <t xml:space="preserve">Ashiana Housing Ltd</t>
  </si>
  <si>
    <t xml:space="preserve">ASHIANA</t>
  </si>
  <si>
    <t xml:space="preserve">ASFI IN</t>
  </si>
  <si>
    <t xml:space="preserve">INE365D01021</t>
  </si>
  <si>
    <t xml:space="preserve">Ashok Leyland Ltd</t>
  </si>
  <si>
    <t xml:space="preserve">ASHOKLEY</t>
  </si>
  <si>
    <t xml:space="preserve">AL IN</t>
  </si>
  <si>
    <t xml:space="preserve">INE208A01029</t>
  </si>
  <si>
    <t xml:space="preserve">Ashoka Buildcon Ltd</t>
  </si>
  <si>
    <t xml:space="preserve">ASHOKA</t>
  </si>
  <si>
    <t xml:space="preserve">ASBL IN</t>
  </si>
  <si>
    <t xml:space="preserve">INE442H01029</t>
  </si>
  <si>
    <t xml:space="preserve">Asian Energy Services Ltd</t>
  </si>
  <si>
    <t xml:space="preserve">ASIANENE</t>
  </si>
  <si>
    <t xml:space="preserve">AOS IN</t>
  </si>
  <si>
    <t xml:space="preserve">INE276G01015</t>
  </si>
  <si>
    <t xml:space="preserve">Asian Granito India Ltd</t>
  </si>
  <si>
    <t xml:space="preserve">ASIANTILES</t>
  </si>
  <si>
    <t xml:space="preserve">ASIAN IN</t>
  </si>
  <si>
    <t xml:space="preserve">INE022I01019</t>
  </si>
  <si>
    <t xml:space="preserve">Asian Paints Ltd</t>
  </si>
  <si>
    <t xml:space="preserve">ASIANPAINT</t>
  </si>
  <si>
    <t xml:space="preserve">APNT IN</t>
  </si>
  <si>
    <t xml:space="preserve">INE021A01026</t>
  </si>
  <si>
    <t xml:space="preserve">Asian Star Company Ltd</t>
  </si>
  <si>
    <t xml:space="preserve">ASN IN</t>
  </si>
  <si>
    <t xml:space="preserve">INE194D01017</t>
  </si>
  <si>
    <t xml:space="preserve">ASM Technologies Ltd</t>
  </si>
  <si>
    <t xml:space="preserve">ASM IN</t>
  </si>
  <si>
    <t xml:space="preserve">INE867C01010</t>
  </si>
  <si>
    <t xml:space="preserve">Associated Alcohols &amp; Breweries Ltd</t>
  </si>
  <si>
    <t xml:space="preserve">ASALCBR</t>
  </si>
  <si>
    <t xml:space="preserve">AAB IN</t>
  </si>
  <si>
    <t xml:space="preserve">INE073G01016</t>
  </si>
  <si>
    <t xml:space="preserve">Astec Lifesciences Ltd</t>
  </si>
  <si>
    <t xml:space="preserve">ASTEC</t>
  </si>
  <si>
    <t xml:space="preserve">ASTEL IN</t>
  </si>
  <si>
    <t xml:space="preserve">INE563J01010</t>
  </si>
  <si>
    <t xml:space="preserve">Aster DM Healthcare Ltd</t>
  </si>
  <si>
    <t xml:space="preserve">ASTERDM</t>
  </si>
  <si>
    <t xml:space="preserve">ASTERDM IN</t>
  </si>
  <si>
    <t xml:space="preserve">INE914M01019</t>
  </si>
  <si>
    <t xml:space="preserve">Astra Microwave Products Ltd</t>
  </si>
  <si>
    <t xml:space="preserve">ASTRAMICRO</t>
  </si>
  <si>
    <t xml:space="preserve">ASTM IN</t>
  </si>
  <si>
    <t xml:space="preserve">INE386C01029</t>
  </si>
  <si>
    <t xml:space="preserve">Astral Ltd</t>
  </si>
  <si>
    <t xml:space="preserve">ASTRAL</t>
  </si>
  <si>
    <t xml:space="preserve">ASTRA IN</t>
  </si>
  <si>
    <t xml:space="preserve">INE006I01046</t>
  </si>
  <si>
    <t xml:space="preserve">Astrazeneca Pharma India Ltd</t>
  </si>
  <si>
    <t xml:space="preserve">ASTRAZEN</t>
  </si>
  <si>
    <t xml:space="preserve">ASTR IN</t>
  </si>
  <si>
    <t xml:space="preserve">INE203A01020</t>
  </si>
  <si>
    <t xml:space="preserve">Atul Ltd</t>
  </si>
  <si>
    <t xml:space="preserve">ATUL</t>
  </si>
  <si>
    <t xml:space="preserve">ATLP IN</t>
  </si>
  <si>
    <t xml:space="preserve">INE100A01010</t>
  </si>
  <si>
    <t xml:space="preserve">AU Small Finance Bank Ltd</t>
  </si>
  <si>
    <t xml:space="preserve">AUBANK</t>
  </si>
  <si>
    <t xml:space="preserve">AUBANK IN</t>
  </si>
  <si>
    <t xml:space="preserve">INE949L01017</t>
  </si>
  <si>
    <t xml:space="preserve">Aurionpro Solutions Ltd</t>
  </si>
  <si>
    <t xml:space="preserve">AURIONPRO</t>
  </si>
  <si>
    <t xml:space="preserve">AUPS IN</t>
  </si>
  <si>
    <t xml:space="preserve">INE132H01018</t>
  </si>
  <si>
    <t xml:space="preserve">Aurobindo Pharma Ltd</t>
  </si>
  <si>
    <t xml:space="preserve">AUROPHARMA</t>
  </si>
  <si>
    <t xml:space="preserve">ARBP IN</t>
  </si>
  <si>
    <t xml:space="preserve">INE406A01037</t>
  </si>
  <si>
    <t xml:space="preserve">Authum Investment &amp; Infrastructure Ltd</t>
  </si>
  <si>
    <t xml:space="preserve">AUIN IN</t>
  </si>
  <si>
    <t xml:space="preserve">INE206F01022</t>
  </si>
  <si>
    <t xml:space="preserve">Automobile Corporation of Goa Ltd</t>
  </si>
  <si>
    <t xml:space="preserve">AUTOCORP</t>
  </si>
  <si>
    <t xml:space="preserve">ACGL IN</t>
  </si>
  <si>
    <t xml:space="preserve">INE451C01013</t>
  </si>
  <si>
    <t xml:space="preserve">Automotive Axles Ltd</t>
  </si>
  <si>
    <t xml:space="preserve">AUTOAXLES</t>
  </si>
  <si>
    <t xml:space="preserve">ATXL IN</t>
  </si>
  <si>
    <t xml:space="preserve">INE449A01011</t>
  </si>
  <si>
    <t xml:space="preserve">Automotive Stampings and Assemblies Ltd</t>
  </si>
  <si>
    <t xml:space="preserve">ASAL</t>
  </si>
  <si>
    <t xml:space="preserve">ATSA IN</t>
  </si>
  <si>
    <t xml:space="preserve">INE900C01027</t>
  </si>
  <si>
    <t xml:space="preserve">Avadh Sugar &amp; Energy Ltd</t>
  </si>
  <si>
    <t xml:space="preserve">AVADHSUGAR</t>
  </si>
  <si>
    <t xml:space="preserve">AVADHSUG IN</t>
  </si>
  <si>
    <t xml:space="preserve">INE349W01017</t>
  </si>
  <si>
    <t xml:space="preserve">Avanti Feeds Ltd</t>
  </si>
  <si>
    <t xml:space="preserve">AVANTIFEED</t>
  </si>
  <si>
    <t xml:space="preserve">AVNT IN</t>
  </si>
  <si>
    <t xml:space="preserve">INE871C01038</t>
  </si>
  <si>
    <t xml:space="preserve">Avenue Supermarts Ltd</t>
  </si>
  <si>
    <t xml:space="preserve">DMART</t>
  </si>
  <si>
    <t xml:space="preserve">DMART IN</t>
  </si>
  <si>
    <t xml:space="preserve">INE192R01011</t>
  </si>
  <si>
    <t xml:space="preserve">AVT Natural Products Ltd</t>
  </si>
  <si>
    <t xml:space="preserve">AVTNPL</t>
  </si>
  <si>
    <t xml:space="preserve">AVTH IN</t>
  </si>
  <si>
    <t xml:space="preserve">INE488D01021</t>
  </si>
  <si>
    <t xml:space="preserve">Axis Bank Ltd</t>
  </si>
  <si>
    <t xml:space="preserve">AXISBANK</t>
  </si>
  <si>
    <t xml:space="preserve">AXSB IN</t>
  </si>
  <si>
    <t xml:space="preserve">INE238A01034</t>
  </si>
  <si>
    <t xml:space="preserve">Axtel Industries Ltd</t>
  </si>
  <si>
    <t xml:space="preserve">ADVX IN</t>
  </si>
  <si>
    <t xml:space="preserve">INE767C01012</t>
  </si>
  <si>
    <t xml:space="preserve">BLKashyap and Sons Ltd</t>
  </si>
  <si>
    <t xml:space="preserve">BLKASHYAP</t>
  </si>
  <si>
    <t xml:space="preserve">KASH IN</t>
  </si>
  <si>
    <t xml:space="preserve">INE350H01032</t>
  </si>
  <si>
    <t xml:space="preserve">Bajaj Auto Ltd</t>
  </si>
  <si>
    <t xml:space="preserve">BAJAJ-AUTO</t>
  </si>
  <si>
    <t xml:space="preserve">BJAUT IN</t>
  </si>
  <si>
    <t xml:space="preserve">INE917I01010</t>
  </si>
  <si>
    <t xml:space="preserve">Bajaj Consumer Care Ltd</t>
  </si>
  <si>
    <t xml:space="preserve">BAJAJCON</t>
  </si>
  <si>
    <t xml:space="preserve">BAJAJCON IN</t>
  </si>
  <si>
    <t xml:space="preserve">INE933K01021</t>
  </si>
  <si>
    <t xml:space="preserve">Bajaj Electricals Ltd</t>
  </si>
  <si>
    <t xml:space="preserve">BAJAJELEC</t>
  </si>
  <si>
    <t xml:space="preserve">BJE IN</t>
  </si>
  <si>
    <t xml:space="preserve">INE193E01025</t>
  </si>
  <si>
    <t xml:space="preserve">Bajaj Finance Ltd</t>
  </si>
  <si>
    <t xml:space="preserve">BAJFINANCE</t>
  </si>
  <si>
    <t xml:space="preserve">BAF IN</t>
  </si>
  <si>
    <t xml:space="preserve">INE296A01024</t>
  </si>
  <si>
    <t xml:space="preserve">Bajaj Finserv Ltd</t>
  </si>
  <si>
    <t xml:space="preserve">BAJAJFINSV</t>
  </si>
  <si>
    <t xml:space="preserve">BJFIN IN</t>
  </si>
  <si>
    <t xml:space="preserve">INE918I01018</t>
  </si>
  <si>
    <t xml:space="preserve">Bajaj Healthcare Ltd</t>
  </si>
  <si>
    <t xml:space="preserve">BAJAJHCARE</t>
  </si>
  <si>
    <t xml:space="preserve">BAJAJHEA IN</t>
  </si>
  <si>
    <t xml:space="preserve">INE411U01027</t>
  </si>
  <si>
    <t xml:space="preserve">Bajaj Hindusthan Sugar Ltd</t>
  </si>
  <si>
    <t xml:space="preserve">BAJAJHIND</t>
  </si>
  <si>
    <t xml:space="preserve">BJH IN</t>
  </si>
  <si>
    <t xml:space="preserve">INE306A01021</t>
  </si>
  <si>
    <t xml:space="preserve">Bajaj Holdings &amp; Investment Ltd</t>
  </si>
  <si>
    <t xml:space="preserve">BAJAJHLDNG</t>
  </si>
  <si>
    <t xml:space="preserve">BJHI IN</t>
  </si>
  <si>
    <t xml:space="preserve">INE118A01012</t>
  </si>
  <si>
    <t xml:space="preserve">Balaji Amines Ltd</t>
  </si>
  <si>
    <t xml:space="preserve">BALAMINES</t>
  </si>
  <si>
    <t xml:space="preserve">BLA IN</t>
  </si>
  <si>
    <t xml:space="preserve">INE050E01027</t>
  </si>
  <si>
    <t xml:space="preserve">Balaji Telefilms Ltd</t>
  </si>
  <si>
    <t xml:space="preserve">BALAJITELE</t>
  </si>
  <si>
    <t xml:space="preserve">BLJT IN</t>
  </si>
  <si>
    <t xml:space="preserve">INE794B01026</t>
  </si>
  <si>
    <t xml:space="preserve">Balkrishna Industries Ltd</t>
  </si>
  <si>
    <t xml:space="preserve">BALKRISIND</t>
  </si>
  <si>
    <t xml:space="preserve">BIL IN</t>
  </si>
  <si>
    <t xml:space="preserve">INE787D01026</t>
  </si>
  <si>
    <t xml:space="preserve">Balmer Lawrie &amp; Company Ltd</t>
  </si>
  <si>
    <t xml:space="preserve">BALMLAWRIE</t>
  </si>
  <si>
    <t xml:space="preserve">BLCL IN</t>
  </si>
  <si>
    <t xml:space="preserve">INE164A01016</t>
  </si>
  <si>
    <t xml:space="preserve">Balmer Lawrie Investments Ltd</t>
  </si>
  <si>
    <t xml:space="preserve">BALM IN</t>
  </si>
  <si>
    <t xml:space="preserve">INE525F01017</t>
  </si>
  <si>
    <t xml:space="preserve">Balrampur Chini Mills Ltd</t>
  </si>
  <si>
    <t xml:space="preserve">BALRAMCHIN</t>
  </si>
  <si>
    <t xml:space="preserve">BRCM IN</t>
  </si>
  <si>
    <t xml:space="preserve">INE119A01028</t>
  </si>
  <si>
    <t xml:space="preserve">Balu Forge Industries Ltd</t>
  </si>
  <si>
    <t xml:space="preserve">BLAM IN</t>
  </si>
  <si>
    <t xml:space="preserve">INE011E01029</t>
  </si>
  <si>
    <t xml:space="preserve">Banco Products (India) Ltd</t>
  </si>
  <si>
    <t xml:space="preserve">BANCOINDIA</t>
  </si>
  <si>
    <t xml:space="preserve">BNCO IN</t>
  </si>
  <si>
    <t xml:space="preserve">INE213C01025</t>
  </si>
  <si>
    <t xml:space="preserve">Bandhan Bank Ltd</t>
  </si>
  <si>
    <t xml:space="preserve">BANDHANBNK</t>
  </si>
  <si>
    <t xml:space="preserve">BANDHAN IN</t>
  </si>
  <si>
    <t xml:space="preserve">INE545U01014</t>
  </si>
  <si>
    <t xml:space="preserve">Bank Of Baroda</t>
  </si>
  <si>
    <t xml:space="preserve">BANKBARODA</t>
  </si>
  <si>
    <t xml:space="preserve">BOB IN</t>
  </si>
  <si>
    <t xml:space="preserve">INE028A01039</t>
  </si>
  <si>
    <t xml:space="preserve">Bank Of Maharashtra</t>
  </si>
  <si>
    <t xml:space="preserve">MAHABANK</t>
  </si>
  <si>
    <t xml:space="preserve">BOMH IN</t>
  </si>
  <si>
    <t xml:space="preserve">INE457A01014</t>
  </si>
  <si>
    <t xml:space="preserve">Bannari Amman Spinning Mills Ltd</t>
  </si>
  <si>
    <t xml:space="preserve">BASML</t>
  </si>
  <si>
    <t xml:space="preserve">BASM IN</t>
  </si>
  <si>
    <t xml:space="preserve">INE186H01022</t>
  </si>
  <si>
    <t xml:space="preserve">Bannari Amman Sugars Ltd</t>
  </si>
  <si>
    <t xml:space="preserve">BANARISUG</t>
  </si>
  <si>
    <t xml:space="preserve">BNRI IN</t>
  </si>
  <si>
    <t xml:space="preserve">INE459A01010</t>
  </si>
  <si>
    <t xml:space="preserve">Barbeque-Nation Hospitality Ltd</t>
  </si>
  <si>
    <t xml:space="preserve">BARBEQUE</t>
  </si>
  <si>
    <t xml:space="preserve">BARBEQUE IN</t>
  </si>
  <si>
    <t xml:space="preserve">INE382M01027</t>
  </si>
  <si>
    <t xml:space="preserve">BASF India Ltd</t>
  </si>
  <si>
    <t xml:space="preserve">BASF</t>
  </si>
  <si>
    <t xml:space="preserve">BASF IN</t>
  </si>
  <si>
    <t xml:space="preserve">INE373A01013</t>
  </si>
  <si>
    <t xml:space="preserve">Bata India Ltd</t>
  </si>
  <si>
    <t xml:space="preserve">BATAINDIA</t>
  </si>
  <si>
    <t xml:space="preserve">BATA IN</t>
  </si>
  <si>
    <t xml:space="preserve">INE176A01028</t>
  </si>
  <si>
    <t xml:space="preserve">Bayer CropScience Ltd</t>
  </si>
  <si>
    <t xml:space="preserve">BAYERCROP</t>
  </si>
  <si>
    <t xml:space="preserve">BYRCS IN</t>
  </si>
  <si>
    <t xml:space="preserve">INE462A01022</t>
  </si>
  <si>
    <t xml:space="preserve">BCL Industries Ltd</t>
  </si>
  <si>
    <t xml:space="preserve">BCLIND</t>
  </si>
  <si>
    <t xml:space="preserve">BCLIL IN</t>
  </si>
  <si>
    <t xml:space="preserve">INE412G01016</t>
  </si>
  <si>
    <t xml:space="preserve">Beekay Steel Industries Ltd</t>
  </si>
  <si>
    <t xml:space="preserve">BKST IN</t>
  </si>
  <si>
    <t xml:space="preserve">INE213D01015</t>
  </si>
  <si>
    <t xml:space="preserve">BEML Ltd</t>
  </si>
  <si>
    <t xml:space="preserve">BEML</t>
  </si>
  <si>
    <t xml:space="preserve">BEML IN</t>
  </si>
  <si>
    <t xml:space="preserve">INE258A01016</t>
  </si>
  <si>
    <t xml:space="preserve">Bengal &amp; Assam Company Ltd</t>
  </si>
  <si>
    <t xml:space="preserve">BENG IN</t>
  </si>
  <si>
    <t xml:space="preserve">INE083K01017</t>
  </si>
  <si>
    <t xml:space="preserve">Berger Paints India Ltd</t>
  </si>
  <si>
    <t xml:space="preserve">BERGEPAINT</t>
  </si>
  <si>
    <t xml:space="preserve">BRGR IN</t>
  </si>
  <si>
    <t xml:space="preserve">INE463A01038</t>
  </si>
  <si>
    <t xml:space="preserve">Best Agrolife Ltd</t>
  </si>
  <si>
    <t xml:space="preserve">BESTAGRO</t>
  </si>
  <si>
    <t xml:space="preserve">SAHYOG IN</t>
  </si>
  <si>
    <t xml:space="preserve">INE052T01013</t>
  </si>
  <si>
    <t xml:space="preserve">Beta Drugs Ltd</t>
  </si>
  <si>
    <t xml:space="preserve">BETA</t>
  </si>
  <si>
    <t xml:space="preserve">BETADR IN</t>
  </si>
  <si>
    <t xml:space="preserve">INE351Y01019</t>
  </si>
  <si>
    <t xml:space="preserve">BF Investment Ltd</t>
  </si>
  <si>
    <t xml:space="preserve">BFINVEST</t>
  </si>
  <si>
    <t xml:space="preserve">BFIN IN</t>
  </si>
  <si>
    <t xml:space="preserve">INE878K01010</t>
  </si>
  <si>
    <t xml:space="preserve">BF Utilities Ltd</t>
  </si>
  <si>
    <t xml:space="preserve">BFUTILITIE</t>
  </si>
  <si>
    <t xml:space="preserve">BFUT IN</t>
  </si>
  <si>
    <t xml:space="preserve">INE243D01012</t>
  </si>
  <si>
    <t xml:space="preserve">BGR Energy Systems Ltd</t>
  </si>
  <si>
    <t xml:space="preserve">BGRENERGY</t>
  </si>
  <si>
    <t xml:space="preserve">BGRL IN</t>
  </si>
  <si>
    <t xml:space="preserve">INE661I01014</t>
  </si>
  <si>
    <t xml:space="preserve">Bhageria Industries Ltd</t>
  </si>
  <si>
    <t xml:space="preserve">BHAGERIA</t>
  </si>
  <si>
    <t xml:space="preserve">BGIN IN</t>
  </si>
  <si>
    <t xml:space="preserve">INE354C01027</t>
  </si>
  <si>
    <t xml:space="preserve">Bhagiradha Chemicals &amp; Industries Ltd</t>
  </si>
  <si>
    <t xml:space="preserve">BHAGCHEM</t>
  </si>
  <si>
    <t xml:space="preserve">BCHI IN</t>
  </si>
  <si>
    <t xml:space="preserve">INE414D01019</t>
  </si>
  <si>
    <t xml:space="preserve">Bhansali Engineering Polymers Ltd</t>
  </si>
  <si>
    <t xml:space="preserve">BEPL</t>
  </si>
  <si>
    <t xml:space="preserve">BEPL IN</t>
  </si>
  <si>
    <t xml:space="preserve">INE922A01025</t>
  </si>
  <si>
    <t xml:space="preserve">Bharat Bijlee Ltd</t>
  </si>
  <si>
    <t xml:space="preserve">BBL</t>
  </si>
  <si>
    <t xml:space="preserve">BIJL IN</t>
  </si>
  <si>
    <t xml:space="preserve">INE464A01028</t>
  </si>
  <si>
    <t xml:space="preserve">Bharat Dynamics Ltd</t>
  </si>
  <si>
    <t xml:space="preserve">BDL</t>
  </si>
  <si>
    <t xml:space="preserve">BDL IN</t>
  </si>
  <si>
    <t xml:space="preserve">INE171Z01018</t>
  </si>
  <si>
    <t xml:space="preserve">Bharat Electronics Ltd</t>
  </si>
  <si>
    <t xml:space="preserve">BEL</t>
  </si>
  <si>
    <t xml:space="preserve">BHE IN</t>
  </si>
  <si>
    <t xml:space="preserve">INE263A01024</t>
  </si>
  <si>
    <t xml:space="preserve">Bharat Forge Ltd</t>
  </si>
  <si>
    <t xml:space="preserve">BHARATFORG</t>
  </si>
  <si>
    <t xml:space="preserve">BHFC IN</t>
  </si>
  <si>
    <t xml:space="preserve">INE465A01025</t>
  </si>
  <si>
    <t xml:space="preserve">Bharat Heavy Electricals Ltd</t>
  </si>
  <si>
    <t xml:space="preserve">BHEL</t>
  </si>
  <si>
    <t xml:space="preserve">BHEL IN</t>
  </si>
  <si>
    <t xml:space="preserve">INE257A01026</t>
  </si>
  <si>
    <t xml:space="preserve">Bharat Petroleum Corporation Ltd</t>
  </si>
  <si>
    <t xml:space="preserve">BPCL</t>
  </si>
  <si>
    <t xml:space="preserve">BPCL IN</t>
  </si>
  <si>
    <t xml:space="preserve">INE029A01011</t>
  </si>
  <si>
    <t xml:space="preserve">Bharat Rasayan Ltd</t>
  </si>
  <si>
    <t xml:space="preserve">BHARATRAS</t>
  </si>
  <si>
    <t xml:space="preserve">BRSN IN</t>
  </si>
  <si>
    <t xml:space="preserve">INE838B01013</t>
  </si>
  <si>
    <t xml:space="preserve">Bharti Airtel Ltd</t>
  </si>
  <si>
    <t xml:space="preserve">BHARTIARTL</t>
  </si>
  <si>
    <t xml:space="preserve">BHARTI IN</t>
  </si>
  <si>
    <t xml:space="preserve">INE397D01024</t>
  </si>
  <si>
    <t xml:space="preserve">Biocon Ltd</t>
  </si>
  <si>
    <t xml:space="preserve">BIOCON</t>
  </si>
  <si>
    <t xml:space="preserve">BIOS IN</t>
  </si>
  <si>
    <t xml:space="preserve">INE376G01013</t>
  </si>
  <si>
    <t xml:space="preserve">Birla Corporation Ltd</t>
  </si>
  <si>
    <t xml:space="preserve">BIRLACORPN</t>
  </si>
  <si>
    <t xml:space="preserve">BCORP IN</t>
  </si>
  <si>
    <t xml:space="preserve">INE340A01012</t>
  </si>
  <si>
    <t xml:space="preserve">Birlasoft Ltd</t>
  </si>
  <si>
    <t xml:space="preserve">BSOFT</t>
  </si>
  <si>
    <t xml:space="preserve">BSOFT IN</t>
  </si>
  <si>
    <t xml:space="preserve">INE836A01035</t>
  </si>
  <si>
    <t xml:space="preserve">Black Box Ltd</t>
  </si>
  <si>
    <t xml:space="preserve">BBOX</t>
  </si>
  <si>
    <t xml:space="preserve">AGC IN</t>
  </si>
  <si>
    <t xml:space="preserve">INE676A01019</t>
  </si>
  <si>
    <t xml:space="preserve">Black Rose Industries Ltd</t>
  </si>
  <si>
    <t xml:space="preserve">BROS IN</t>
  </si>
  <si>
    <t xml:space="preserve">INE761G01016</t>
  </si>
  <si>
    <t xml:space="preserve">Bliss GVS Pharma Ltd</t>
  </si>
  <si>
    <t xml:space="preserve">BLISSGVS</t>
  </si>
  <si>
    <t xml:space="preserve">BLIS IN</t>
  </si>
  <si>
    <t xml:space="preserve">INE416D01022</t>
  </si>
  <si>
    <t xml:space="preserve">BLS International Services Ltd</t>
  </si>
  <si>
    <t xml:space="preserve">BLS</t>
  </si>
  <si>
    <t xml:space="preserve">BLSIN IN</t>
  </si>
  <si>
    <t xml:space="preserve">INE153T01027</t>
  </si>
  <si>
    <t xml:space="preserve">Blue Dart Express Ltd</t>
  </si>
  <si>
    <t xml:space="preserve">BLUEDART</t>
  </si>
  <si>
    <t xml:space="preserve">BDE IN</t>
  </si>
  <si>
    <t xml:space="preserve">INE233B01017</t>
  </si>
  <si>
    <t xml:space="preserve">Blue Star Ltd</t>
  </si>
  <si>
    <t xml:space="preserve">BLUESTARCO</t>
  </si>
  <si>
    <t xml:space="preserve">BLSTR IN</t>
  </si>
  <si>
    <t xml:space="preserve">INE472A01039</t>
  </si>
  <si>
    <t xml:space="preserve">BMW Industries Ltd</t>
  </si>
  <si>
    <t xml:space="preserve">BMW IN</t>
  </si>
  <si>
    <t xml:space="preserve">INE374E01021</t>
  </si>
  <si>
    <t xml:space="preserve">Bodal Chemicals Ltd</t>
  </si>
  <si>
    <t xml:space="preserve">BODALCHEM</t>
  </si>
  <si>
    <t xml:space="preserve">BODL IN</t>
  </si>
  <si>
    <t xml:space="preserve">INE338D01028</t>
  </si>
  <si>
    <t xml:space="preserve">Bombay Burmah Trading Corporation Ltd</t>
  </si>
  <si>
    <t xml:space="preserve">BBTC</t>
  </si>
  <si>
    <t xml:space="preserve">BBTC IN</t>
  </si>
  <si>
    <t xml:space="preserve">INE050A01025</t>
  </si>
  <si>
    <t xml:space="preserve">Bombay Dyeing And Manufacturing Company Ltd</t>
  </si>
  <si>
    <t xml:space="preserve">BOMDYEING</t>
  </si>
  <si>
    <t xml:space="preserve">BD IN</t>
  </si>
  <si>
    <t xml:space="preserve">INE032A01023</t>
  </si>
  <si>
    <t xml:space="preserve">Borosil Ltd</t>
  </si>
  <si>
    <t xml:space="preserve">BOROLTD</t>
  </si>
  <si>
    <t xml:space="preserve">BOROLTD IN</t>
  </si>
  <si>
    <t xml:space="preserve">INE02PY01013</t>
  </si>
  <si>
    <t xml:space="preserve">Borosil Renewables Ltd</t>
  </si>
  <si>
    <t xml:space="preserve">BORORENEW</t>
  </si>
  <si>
    <t xml:space="preserve">BORORENE IN</t>
  </si>
  <si>
    <t xml:space="preserve">INE666D01022</t>
  </si>
  <si>
    <t xml:space="preserve">Bosch Ltd</t>
  </si>
  <si>
    <t xml:space="preserve">BOSCHLTD</t>
  </si>
  <si>
    <t xml:space="preserve">BOS IN</t>
  </si>
  <si>
    <t xml:space="preserve">INE323A01026</t>
  </si>
  <si>
    <t xml:space="preserve">Brigade Enterprises Ltd</t>
  </si>
  <si>
    <t xml:space="preserve">BRIGADE</t>
  </si>
  <si>
    <t xml:space="preserve">BRGD IN</t>
  </si>
  <si>
    <t xml:space="preserve">INE791I01019</t>
  </si>
  <si>
    <t xml:space="preserve">Brightcom Group Ltd</t>
  </si>
  <si>
    <t xml:space="preserve">BCG</t>
  </si>
  <si>
    <t xml:space="preserve">BCG IN</t>
  </si>
  <si>
    <t xml:space="preserve">INE425B01027</t>
  </si>
  <si>
    <t xml:space="preserve">Britannia Industries Ltd</t>
  </si>
  <si>
    <t xml:space="preserve">BRITANNIA</t>
  </si>
  <si>
    <t xml:space="preserve">BRIT IN</t>
  </si>
  <si>
    <t xml:space="preserve">INE216A01030</t>
  </si>
  <si>
    <t xml:space="preserve">BSE Ltd</t>
  </si>
  <si>
    <t xml:space="preserve">BSE</t>
  </si>
  <si>
    <t xml:space="preserve">BSE IN</t>
  </si>
  <si>
    <t xml:space="preserve">INE118H01025</t>
  </si>
  <si>
    <t xml:space="preserve">Burger King India Ltd</t>
  </si>
  <si>
    <t xml:space="preserve">BURGERKING</t>
  </si>
  <si>
    <t xml:space="preserve">BURGERKI IN</t>
  </si>
  <si>
    <t xml:space="preserve">INE07T201019</t>
  </si>
  <si>
    <t xml:space="preserve">Butterfly Gandhimathi Appliances Ltd</t>
  </si>
  <si>
    <t xml:space="preserve">BUTTERFLY</t>
  </si>
  <si>
    <t xml:space="preserve">BGAL IN</t>
  </si>
  <si>
    <t xml:space="preserve">INE295F01017</t>
  </si>
  <si>
    <t xml:space="preserve">Cadila Healthcare Ltd</t>
  </si>
  <si>
    <t xml:space="preserve">CADILAHC</t>
  </si>
  <si>
    <t xml:space="preserve">CDH IN</t>
  </si>
  <si>
    <t xml:space="preserve">INE010B01027</t>
  </si>
  <si>
    <t xml:space="preserve">Camlin Fine Sciences Ltd</t>
  </si>
  <si>
    <t xml:space="preserve">CAMLINFINE</t>
  </si>
  <si>
    <t xml:space="preserve">CFIN IN</t>
  </si>
  <si>
    <t xml:space="preserve">INE052I01032</t>
  </si>
  <si>
    <t xml:space="preserve">Can Fin Homes Ltd</t>
  </si>
  <si>
    <t xml:space="preserve">CANFINHOME</t>
  </si>
  <si>
    <t xml:space="preserve">CANF IN</t>
  </si>
  <si>
    <t xml:space="preserve">INE477A01020</t>
  </si>
  <si>
    <t xml:space="preserve">Cantabil Retail India Ltd</t>
  </si>
  <si>
    <t xml:space="preserve">CANTABIL</t>
  </si>
  <si>
    <t xml:space="preserve">CANT IN</t>
  </si>
  <si>
    <t xml:space="preserve">INE068L01016</t>
  </si>
  <si>
    <t xml:space="preserve">Capacit'e Infraprojects Ltd</t>
  </si>
  <si>
    <t xml:space="preserve">CAPACITE</t>
  </si>
  <si>
    <t xml:space="preserve">CAPACITE IN</t>
  </si>
  <si>
    <t xml:space="preserve">INE264T01014</t>
  </si>
  <si>
    <t xml:space="preserve">Capital India Finance Ltd</t>
  </si>
  <si>
    <t xml:space="preserve">CIFL IN</t>
  </si>
  <si>
    <t xml:space="preserve">INE345H01016</t>
  </si>
  <si>
    <t xml:space="preserve">Caplin Point Laboratories Ltd</t>
  </si>
  <si>
    <t xml:space="preserve">CAPLIPOINT</t>
  </si>
  <si>
    <t xml:space="preserve">CLPL IN</t>
  </si>
  <si>
    <t xml:space="preserve">INE475E01026</t>
  </si>
  <si>
    <t xml:space="preserve">Capri Global Capital Ltd</t>
  </si>
  <si>
    <t xml:space="preserve">CGCL</t>
  </si>
  <si>
    <t xml:space="preserve">CGCL IN</t>
  </si>
  <si>
    <t xml:space="preserve">INE180C01026</t>
  </si>
  <si>
    <t xml:space="preserve">Carborundum Universal Ltd</t>
  </si>
  <si>
    <t xml:space="preserve">CARBORUNIV</t>
  </si>
  <si>
    <t xml:space="preserve">CU IN</t>
  </si>
  <si>
    <t xml:space="preserve">INE120A01034</t>
  </si>
  <si>
    <t xml:space="preserve">Care Ratings Ltd</t>
  </si>
  <si>
    <t xml:space="preserve">CARERATING</t>
  </si>
  <si>
    <t xml:space="preserve">CARE IN</t>
  </si>
  <si>
    <t xml:space="preserve">INE752H01013</t>
  </si>
  <si>
    <t xml:space="preserve">CarTrade Tech Ltd</t>
  </si>
  <si>
    <t xml:space="preserve">CARTRADE</t>
  </si>
  <si>
    <t xml:space="preserve">CARTRADE IN</t>
  </si>
  <si>
    <t xml:space="preserve">INE290S01011</t>
  </si>
  <si>
    <t xml:space="preserve">Castrol India Ltd</t>
  </si>
  <si>
    <t xml:space="preserve">CASTROLIND</t>
  </si>
  <si>
    <t xml:space="preserve">CSTRL IN</t>
  </si>
  <si>
    <t xml:space="preserve">INE172A01027</t>
  </si>
  <si>
    <t xml:space="preserve">CCL Products (India) Ltd</t>
  </si>
  <si>
    <t xml:space="preserve">CCL</t>
  </si>
  <si>
    <t xml:space="preserve">CCLP IN</t>
  </si>
  <si>
    <t xml:space="preserve">INE421D01022</t>
  </si>
  <si>
    <t xml:space="preserve">CE Info Systems Ltd</t>
  </si>
  <si>
    <t xml:space="preserve">MAPMYINDIA</t>
  </si>
  <si>
    <t xml:space="preserve">MAPMYIND IN</t>
  </si>
  <si>
    <t xml:space="preserve">INE0BV301023</t>
  </si>
  <si>
    <t xml:space="preserve">Ceat Ltd</t>
  </si>
  <si>
    <t xml:space="preserve">CEATLTD</t>
  </si>
  <si>
    <t xml:space="preserve">CEAT IN</t>
  </si>
  <si>
    <t xml:space="preserve">INE482A01020</t>
  </si>
  <si>
    <t xml:space="preserve">Central Bank Of India</t>
  </si>
  <si>
    <t xml:space="preserve">CENTRALBK</t>
  </si>
  <si>
    <t xml:space="preserve">CBOI IN</t>
  </si>
  <si>
    <t xml:space="preserve">INE483A01010</t>
  </si>
  <si>
    <t xml:space="preserve">Central Depository Services (India) Ltd</t>
  </si>
  <si>
    <t xml:space="preserve">CDSL</t>
  </si>
  <si>
    <t xml:space="preserve">CDSL IN</t>
  </si>
  <si>
    <t xml:space="preserve">INE736A01011</t>
  </si>
  <si>
    <t xml:space="preserve">Centrum Capital Ltd</t>
  </si>
  <si>
    <t xml:space="preserve">CENTRUM</t>
  </si>
  <si>
    <t xml:space="preserve">CECA IN</t>
  </si>
  <si>
    <t xml:space="preserve">INE660C01027</t>
  </si>
  <si>
    <t xml:space="preserve">Centum Electronics Ltd</t>
  </si>
  <si>
    <t xml:space="preserve">CENTUM</t>
  </si>
  <si>
    <t xml:space="preserve">CTE IN</t>
  </si>
  <si>
    <t xml:space="preserve">INE320B01020</t>
  </si>
  <si>
    <t xml:space="preserve">Century Enka Ltd</t>
  </si>
  <si>
    <t xml:space="preserve">CENTENKA</t>
  </si>
  <si>
    <t xml:space="preserve">CENK IN</t>
  </si>
  <si>
    <t xml:space="preserve">INE485A01015</t>
  </si>
  <si>
    <t xml:space="preserve">Century Plyboards (India) Ltd</t>
  </si>
  <si>
    <t xml:space="preserve">CENTURYPLY</t>
  </si>
  <si>
    <t xml:space="preserve">CPBI IN</t>
  </si>
  <si>
    <t xml:space="preserve">INE348B01021</t>
  </si>
  <si>
    <t xml:space="preserve">Century Textiles &amp; Industries Ltd</t>
  </si>
  <si>
    <t xml:space="preserve">CENTURYTEX</t>
  </si>
  <si>
    <t xml:space="preserve">CENT IN</t>
  </si>
  <si>
    <t xml:space="preserve">INE055A01016</t>
  </si>
  <si>
    <t xml:space="preserve">Cera Sanitaryware Ltd</t>
  </si>
  <si>
    <t xml:space="preserve">CERA</t>
  </si>
  <si>
    <t xml:space="preserve">CRS IN</t>
  </si>
  <si>
    <t xml:space="preserve">INE739E01017</t>
  </si>
  <si>
    <t xml:space="preserve">Cerebra Integrated Technologies Ltd</t>
  </si>
  <si>
    <t xml:space="preserve">CEREBRAINT</t>
  </si>
  <si>
    <t xml:space="preserve">CIT IN</t>
  </si>
  <si>
    <t xml:space="preserve">INE345B01019</t>
  </si>
  <si>
    <t xml:space="preserve">CESC Ltd</t>
  </si>
  <si>
    <t xml:space="preserve">CESC</t>
  </si>
  <si>
    <t xml:space="preserve">CESC IN</t>
  </si>
  <si>
    <t xml:space="preserve">INE486A01021</t>
  </si>
  <si>
    <t xml:space="preserve">CG Power and Industrial Solutions Ltd</t>
  </si>
  <si>
    <t xml:space="preserve">CGPOWER</t>
  </si>
  <si>
    <t xml:space="preserve">CGPOWER IN</t>
  </si>
  <si>
    <t xml:space="preserve">INE067A01029</t>
  </si>
  <si>
    <t xml:space="preserve">Chalet Hotels Ltd</t>
  </si>
  <si>
    <t xml:space="preserve">CHALET</t>
  </si>
  <si>
    <t xml:space="preserve">CHALET IN</t>
  </si>
  <si>
    <t xml:space="preserve">INE427F01016</t>
  </si>
  <si>
    <t xml:space="preserve">Chambal Fertilisers and Chemicals Ltd</t>
  </si>
  <si>
    <t xml:space="preserve">CHAMBLFERT</t>
  </si>
  <si>
    <t xml:space="preserve">CHMB IN</t>
  </si>
  <si>
    <t xml:space="preserve">INE085A01013</t>
  </si>
  <si>
    <t xml:space="preserve">Chemcon Speciality Chemicals Ltd</t>
  </si>
  <si>
    <t xml:space="preserve">CHEMCON</t>
  </si>
  <si>
    <t xml:space="preserve">CHEMCON IN</t>
  </si>
  <si>
    <t xml:space="preserve">INE03YM01018</t>
  </si>
  <si>
    <t xml:space="preserve">Chemplast Sanmar Ltd</t>
  </si>
  <si>
    <t xml:space="preserve">CHEMPLASTS</t>
  </si>
  <si>
    <t xml:space="preserve">CPI IN</t>
  </si>
  <si>
    <t xml:space="preserve">INE488A01050</t>
  </si>
  <si>
    <t xml:space="preserve">Chennai Petroleum Corporation Ltd</t>
  </si>
  <si>
    <t xml:space="preserve">CHENNPETRO</t>
  </si>
  <si>
    <t xml:space="preserve">MRL IN</t>
  </si>
  <si>
    <t xml:space="preserve">INE178A01016</t>
  </si>
  <si>
    <t xml:space="preserve">Cheviot Company Ltd</t>
  </si>
  <si>
    <t xml:space="preserve">CVC IN</t>
  </si>
  <si>
    <t xml:space="preserve">INE974B01016</t>
  </si>
  <si>
    <t xml:space="preserve">Choice International Ltd</t>
  </si>
  <si>
    <t xml:space="preserve">CFIS IN</t>
  </si>
  <si>
    <t xml:space="preserve">INE102B01014</t>
  </si>
  <si>
    <t xml:space="preserve">Cholamandalam Financial Holdings Ltd</t>
  </si>
  <si>
    <t xml:space="preserve">CHOLAHLDNG</t>
  </si>
  <si>
    <t xml:space="preserve">CHOLAHLD IN</t>
  </si>
  <si>
    <t xml:space="preserve">INE149A01033</t>
  </si>
  <si>
    <t xml:space="preserve">Cholamandalam Investment and Finance Company Ltd</t>
  </si>
  <si>
    <t xml:space="preserve">CHOLAFIN</t>
  </si>
  <si>
    <t xml:space="preserve">CIFC IN</t>
  </si>
  <si>
    <t xml:space="preserve">INE121A01024</t>
  </si>
  <si>
    <t xml:space="preserve">Cigniti Technologies Ltd</t>
  </si>
  <si>
    <t xml:space="preserve">CIGNITITEC</t>
  </si>
  <si>
    <t xml:space="preserve">CIGN IN</t>
  </si>
  <si>
    <t xml:space="preserve">INE675C01017</t>
  </si>
  <si>
    <t xml:space="preserve">Cipla Ltd</t>
  </si>
  <si>
    <t xml:space="preserve">CIPLA</t>
  </si>
  <si>
    <t xml:space="preserve">CIPLA IN</t>
  </si>
  <si>
    <t xml:space="preserve">INE059A01026</t>
  </si>
  <si>
    <t xml:space="preserve">City Union Bank Ltd</t>
  </si>
  <si>
    <t xml:space="preserve">CUB</t>
  </si>
  <si>
    <t xml:space="preserve">CUBK IN</t>
  </si>
  <si>
    <t xml:space="preserve">INE491A01021</t>
  </si>
  <si>
    <t xml:space="preserve">Clariant Chemicals (India) Ltd</t>
  </si>
  <si>
    <t xml:space="preserve">CLNINDIA</t>
  </si>
  <si>
    <t xml:space="preserve">CLRC IN</t>
  </si>
  <si>
    <t xml:space="preserve">INE492A01029</t>
  </si>
  <si>
    <t xml:space="preserve">Clean Science And Technology Ltd</t>
  </si>
  <si>
    <t xml:space="preserve">CLEAN</t>
  </si>
  <si>
    <t xml:space="preserve">CLEAN IN</t>
  </si>
  <si>
    <t xml:space="preserve">INE227W01023</t>
  </si>
  <si>
    <t xml:space="preserve">Coal India Ltd</t>
  </si>
  <si>
    <t xml:space="preserve">COALINDIA</t>
  </si>
  <si>
    <t xml:space="preserve">COAL IN</t>
  </si>
  <si>
    <t xml:space="preserve">INE522F01014</t>
  </si>
  <si>
    <t xml:space="preserve">Cochin Shipyard Ltd</t>
  </si>
  <si>
    <t xml:space="preserve">COCHINSHIP</t>
  </si>
  <si>
    <t xml:space="preserve">COCHIN IN</t>
  </si>
  <si>
    <t xml:space="preserve">INE704P01017</t>
  </si>
  <si>
    <t xml:space="preserve">Coffee Day Enterprises Ltd</t>
  </si>
  <si>
    <t xml:space="preserve">COFFEEDAY</t>
  </si>
  <si>
    <t xml:space="preserve">CCD IN</t>
  </si>
  <si>
    <t xml:space="preserve">INE335K01011</t>
  </si>
  <si>
    <t xml:space="preserve">Coforge Ltd</t>
  </si>
  <si>
    <t xml:space="preserve">COFORGE</t>
  </si>
  <si>
    <t xml:space="preserve">COFORGE IN</t>
  </si>
  <si>
    <t xml:space="preserve">INE591G01017</t>
  </si>
  <si>
    <t xml:space="preserve">Colgate-Palmolive (India) Ltd</t>
  </si>
  <si>
    <t xml:space="preserve">COLPAL</t>
  </si>
  <si>
    <t xml:space="preserve">CLGT IN</t>
  </si>
  <si>
    <t xml:space="preserve">INE259A01022</t>
  </si>
  <si>
    <t xml:space="preserve">Computer Age Management Services Ltd</t>
  </si>
  <si>
    <t xml:space="preserve">CAMS</t>
  </si>
  <si>
    <t xml:space="preserve">CAMS IN</t>
  </si>
  <si>
    <t xml:space="preserve">INE596I01012</t>
  </si>
  <si>
    <t xml:space="preserve">Confidence Petroleum India Ltd</t>
  </si>
  <si>
    <t xml:space="preserve">CONFIPET</t>
  </si>
  <si>
    <t xml:space="preserve">CONF IN</t>
  </si>
  <si>
    <t xml:space="preserve">INE552D01024</t>
  </si>
  <si>
    <t xml:space="preserve">Consolidated Finvest &amp; Holdings Ltd</t>
  </si>
  <si>
    <t xml:space="preserve">CONSOFINVT</t>
  </si>
  <si>
    <t xml:space="preserve">CDFH IN</t>
  </si>
  <si>
    <t xml:space="preserve">INE025A01027</t>
  </si>
  <si>
    <t xml:space="preserve">Container Corporation Of India Ltd</t>
  </si>
  <si>
    <t xml:space="preserve">CONCOR</t>
  </si>
  <si>
    <t xml:space="preserve">CCRI IN</t>
  </si>
  <si>
    <t xml:space="preserve">INE111A01025</t>
  </si>
  <si>
    <t xml:space="preserve">Control Print Ltd</t>
  </si>
  <si>
    <t xml:space="preserve">CONTROLPR</t>
  </si>
  <si>
    <t xml:space="preserve">CTPI IN</t>
  </si>
  <si>
    <t xml:space="preserve">INE663B01015</t>
  </si>
  <si>
    <t xml:space="preserve">Coromandel International Ltd</t>
  </si>
  <si>
    <t xml:space="preserve">COROMANDEL</t>
  </si>
  <si>
    <t xml:space="preserve">CRIN IN</t>
  </si>
  <si>
    <t xml:space="preserve">INE169A01031</t>
  </si>
  <si>
    <t xml:space="preserve">Cosmo Films Ltd</t>
  </si>
  <si>
    <t xml:space="preserve">COSMOFILMS</t>
  </si>
  <si>
    <t xml:space="preserve">CFLM IN</t>
  </si>
  <si>
    <t xml:space="preserve">INE757A01017</t>
  </si>
  <si>
    <t xml:space="preserve">Craftsman Automation Ltd</t>
  </si>
  <si>
    <t xml:space="preserve">CRAFTSMAN</t>
  </si>
  <si>
    <t xml:space="preserve">CRAFTSMA IN</t>
  </si>
  <si>
    <t xml:space="preserve">INE00LO01017</t>
  </si>
  <si>
    <t xml:space="preserve">Creative Newtech Ltd</t>
  </si>
  <si>
    <t xml:space="preserve">CREATIVE</t>
  </si>
  <si>
    <t xml:space="preserve">CREATIVE IN</t>
  </si>
  <si>
    <t xml:space="preserve">INE985W01018</t>
  </si>
  <si>
    <t xml:space="preserve">CreditAccess Grameen Ltd</t>
  </si>
  <si>
    <t xml:space="preserve">CREDITACC</t>
  </si>
  <si>
    <t xml:space="preserve">CREDAG IN</t>
  </si>
  <si>
    <t xml:space="preserve">INE741K01010</t>
  </si>
  <si>
    <t xml:space="preserve">CRISIL Ltd</t>
  </si>
  <si>
    <t xml:space="preserve">CRISIL</t>
  </si>
  <si>
    <t xml:space="preserve">CRISIL IN</t>
  </si>
  <si>
    <t xml:space="preserve">INE007A01025</t>
  </si>
  <si>
    <t xml:space="preserve">Crompton Greaves Consumer Electricals Ltd</t>
  </si>
  <si>
    <t xml:space="preserve">CROMPTON</t>
  </si>
  <si>
    <t xml:space="preserve">CROMPTON IN</t>
  </si>
  <si>
    <t xml:space="preserve">INE299U01018</t>
  </si>
  <si>
    <t xml:space="preserve">CSB Bank Ltd</t>
  </si>
  <si>
    <t xml:space="preserve">CSBBANK</t>
  </si>
  <si>
    <t xml:space="preserve">CSBBANK IN</t>
  </si>
  <si>
    <t xml:space="preserve">INE679A01013</t>
  </si>
  <si>
    <t xml:space="preserve">Cummins India Ltd</t>
  </si>
  <si>
    <t xml:space="preserve">CUMMINSIND</t>
  </si>
  <si>
    <t xml:space="preserve">KKC IN</t>
  </si>
  <si>
    <t xml:space="preserve">INE298A01020</t>
  </si>
  <si>
    <t xml:space="preserve">Cyient Ltd</t>
  </si>
  <si>
    <t xml:space="preserve">CYIENT</t>
  </si>
  <si>
    <t xml:space="preserve">CYL IN</t>
  </si>
  <si>
    <t xml:space="preserve">INE136B01020</t>
  </si>
  <si>
    <t xml:space="preserve">DBCorp Ltd</t>
  </si>
  <si>
    <t xml:space="preserve">DBCORP</t>
  </si>
  <si>
    <t xml:space="preserve">DBCL IN</t>
  </si>
  <si>
    <t xml:space="preserve">INE950I01011</t>
  </si>
  <si>
    <t xml:space="preserve">DPAbhushan Ltd</t>
  </si>
  <si>
    <t xml:space="preserve">DPABHUSHAN</t>
  </si>
  <si>
    <t xml:space="preserve">DPAL IN</t>
  </si>
  <si>
    <t xml:space="preserve">INE266Y01019</t>
  </si>
  <si>
    <t xml:space="preserve">Dabur India Ltd</t>
  </si>
  <si>
    <t xml:space="preserve">DABUR</t>
  </si>
  <si>
    <t xml:space="preserve">DABUR IN</t>
  </si>
  <si>
    <t xml:space="preserve">INE016A01026</t>
  </si>
  <si>
    <t xml:space="preserve">Dalmia Bharat Ltd</t>
  </si>
  <si>
    <t xml:space="preserve">DALBHARAT</t>
  </si>
  <si>
    <t xml:space="preserve">DALBHARA IN</t>
  </si>
  <si>
    <t xml:space="preserve">INE00R701025</t>
  </si>
  <si>
    <t xml:space="preserve">Dalmia Bharat Sugar And Industries Ltd</t>
  </si>
  <si>
    <t xml:space="preserve">DALMIASUG</t>
  </si>
  <si>
    <t xml:space="preserve">DCB IN</t>
  </si>
  <si>
    <t xml:space="preserve">INE495A01022</t>
  </si>
  <si>
    <t xml:space="preserve">Data Patterns (India) Ltd</t>
  </si>
  <si>
    <t xml:space="preserve">DATAPATTNS</t>
  </si>
  <si>
    <t xml:space="preserve">DATAPATT IN</t>
  </si>
  <si>
    <t xml:space="preserve">INE0IX101010</t>
  </si>
  <si>
    <t xml:space="preserve">Datamatics Global Services Ltd</t>
  </si>
  <si>
    <t xml:space="preserve">DATAMATICS</t>
  </si>
  <si>
    <t xml:space="preserve">DATA IN</t>
  </si>
  <si>
    <t xml:space="preserve">INE365B01017</t>
  </si>
  <si>
    <t xml:space="preserve">DB Realty Ltd</t>
  </si>
  <si>
    <t xml:space="preserve">DBREALTY</t>
  </si>
  <si>
    <t xml:space="preserve">DBRL IN</t>
  </si>
  <si>
    <t xml:space="preserve">INE879I01012</t>
  </si>
  <si>
    <t xml:space="preserve">DCB Bank Ltd</t>
  </si>
  <si>
    <t xml:space="preserve">DCBBANK</t>
  </si>
  <si>
    <t xml:space="preserve">DCBB IN</t>
  </si>
  <si>
    <t xml:space="preserve">INE503A01015</t>
  </si>
  <si>
    <t xml:space="preserve">DCM Nouvelle Ltd</t>
  </si>
  <si>
    <t xml:space="preserve">DCMNVL</t>
  </si>
  <si>
    <t xml:space="preserve">DCMNVL IN</t>
  </si>
  <si>
    <t xml:space="preserve">INE08KP01019</t>
  </si>
  <si>
    <t xml:space="preserve">DCM Shriram Industries Ltd</t>
  </si>
  <si>
    <t xml:space="preserve">DCMSRIND</t>
  </si>
  <si>
    <t xml:space="preserve">DCMSI IN</t>
  </si>
  <si>
    <t xml:space="preserve">INE843D01027</t>
  </si>
  <si>
    <t xml:space="preserve">DCM Shriram Ltd</t>
  </si>
  <si>
    <t xml:space="preserve">DCMSHRIRAM</t>
  </si>
  <si>
    <t xml:space="preserve">DCMS IN</t>
  </si>
  <si>
    <t xml:space="preserve">INE499A01024</t>
  </si>
  <si>
    <t xml:space="preserve">DCW Ltd</t>
  </si>
  <si>
    <t xml:space="preserve">DCW</t>
  </si>
  <si>
    <t xml:space="preserve">DCW IN</t>
  </si>
  <si>
    <t xml:space="preserve">INE500A01029</t>
  </si>
  <si>
    <t xml:space="preserve">Deccan Cements Ltd</t>
  </si>
  <si>
    <t xml:space="preserve">DECCANCE</t>
  </si>
  <si>
    <t xml:space="preserve">DECM IN</t>
  </si>
  <si>
    <t xml:space="preserve">INE583C01021</t>
  </si>
  <si>
    <t xml:space="preserve">Deep Polymers Ltd</t>
  </si>
  <si>
    <t xml:space="preserve">DEEP IN</t>
  </si>
  <si>
    <t xml:space="preserve">INE00IY01012</t>
  </si>
  <si>
    <t xml:space="preserve">Deepak Fertilisers And Petrochemicals Corporation Ltd</t>
  </si>
  <si>
    <t xml:space="preserve">DEEPAKFERT</t>
  </si>
  <si>
    <t xml:space="preserve">DFPC IN</t>
  </si>
  <si>
    <t xml:space="preserve">INE501A01019</t>
  </si>
  <si>
    <t xml:space="preserve">Deepak Nitrite Ltd</t>
  </si>
  <si>
    <t xml:space="preserve">DEEPAKNTR</t>
  </si>
  <si>
    <t xml:space="preserve">DN IN</t>
  </si>
  <si>
    <t xml:space="preserve">INE288B01029</t>
  </si>
  <si>
    <t xml:space="preserve">Delphi World Money Ltd</t>
  </si>
  <si>
    <t xml:space="preserve">DELPHIFX</t>
  </si>
  <si>
    <t xml:space="preserve">WEIZF IN</t>
  </si>
  <si>
    <t xml:space="preserve">INE726L01019</t>
  </si>
  <si>
    <t xml:space="preserve">Delta Corp Ltd</t>
  </si>
  <si>
    <t xml:space="preserve">DELTACORP</t>
  </si>
  <si>
    <t xml:space="preserve">DELTA IN</t>
  </si>
  <si>
    <t xml:space="preserve">INE124G01033</t>
  </si>
  <si>
    <t xml:space="preserve">Den Networks Ltd</t>
  </si>
  <si>
    <t xml:space="preserve">DEN</t>
  </si>
  <si>
    <t xml:space="preserve">DEN IN</t>
  </si>
  <si>
    <t xml:space="preserve">INE947J01015</t>
  </si>
  <si>
    <t xml:space="preserve">Devyani International Ltd</t>
  </si>
  <si>
    <t xml:space="preserve">DEVYANI</t>
  </si>
  <si>
    <t xml:space="preserve">DEVYANI IN</t>
  </si>
  <si>
    <t xml:space="preserve">INE872J01023</t>
  </si>
  <si>
    <t xml:space="preserve">DFM Foods Ltd</t>
  </si>
  <si>
    <t xml:space="preserve">DFMFOODS</t>
  </si>
  <si>
    <t xml:space="preserve">DFMF IN</t>
  </si>
  <si>
    <t xml:space="preserve">INE456C01020</t>
  </si>
  <si>
    <t xml:space="preserve">Dhampur Sugar Mills Ltd</t>
  </si>
  <si>
    <t xml:space="preserve">DHAMPURSUG</t>
  </si>
  <si>
    <t xml:space="preserve">DSM IN</t>
  </si>
  <si>
    <t xml:space="preserve">INE041A01016</t>
  </si>
  <si>
    <t xml:space="preserve">Dhani Services Ltd</t>
  </si>
  <si>
    <t xml:space="preserve">DHANI</t>
  </si>
  <si>
    <t xml:space="preserve">DHANI IN</t>
  </si>
  <si>
    <t xml:space="preserve">INE274G01010</t>
  </si>
  <si>
    <t xml:space="preserve">Dhanuka Agritech Ltd</t>
  </si>
  <si>
    <t xml:space="preserve">DHANUKA</t>
  </si>
  <si>
    <t xml:space="preserve">DAGRI IN</t>
  </si>
  <si>
    <t xml:space="preserve">INE435G01025</t>
  </si>
  <si>
    <t xml:space="preserve">Dhanvarsha Finvest Ltd</t>
  </si>
  <si>
    <t xml:space="preserve">DHFN IN</t>
  </si>
  <si>
    <t xml:space="preserve">INE615R01029</t>
  </si>
  <si>
    <t xml:space="preserve">Dharamsi Morarji Chemical Company Ltd</t>
  </si>
  <si>
    <t xml:space="preserve">DHARAMSI</t>
  </si>
  <si>
    <t xml:space="preserve">DMCC IN</t>
  </si>
  <si>
    <t xml:space="preserve">INE505A01010</t>
  </si>
  <si>
    <t xml:space="preserve">Dhunseri Ventures Ltd</t>
  </si>
  <si>
    <t xml:space="preserve">DVL</t>
  </si>
  <si>
    <t xml:space="preserve">DVL IN</t>
  </si>
  <si>
    <t xml:space="preserve">INE477B01010</t>
  </si>
  <si>
    <t xml:space="preserve">Digispice Technologies Ltd</t>
  </si>
  <si>
    <t xml:space="preserve">DIGISPICE</t>
  </si>
  <si>
    <t xml:space="preserve">SPCEM IN</t>
  </si>
  <si>
    <t xml:space="preserve">INE927C01020</t>
  </si>
  <si>
    <t xml:space="preserve">Dilip Buildcon Ltd</t>
  </si>
  <si>
    <t xml:space="preserve">DBL</t>
  </si>
  <si>
    <t xml:space="preserve">DBL IN</t>
  </si>
  <si>
    <t xml:space="preserve">INE917M01012</t>
  </si>
  <si>
    <t xml:space="preserve">Disa India Ltd</t>
  </si>
  <si>
    <t xml:space="preserve">GEORGFISCH</t>
  </si>
  <si>
    <t xml:space="preserve">BMD IN</t>
  </si>
  <si>
    <t xml:space="preserve">INE131C01011</t>
  </si>
  <si>
    <t xml:space="preserve">Dish TV India Ltd</t>
  </si>
  <si>
    <t xml:space="preserve">DISHTV</t>
  </si>
  <si>
    <t xml:space="preserve">DITV IN</t>
  </si>
  <si>
    <t xml:space="preserve">INE836F01026</t>
  </si>
  <si>
    <t xml:space="preserve">Dishman Carbogen Amcis Ltd</t>
  </si>
  <si>
    <t xml:space="preserve">DCAL</t>
  </si>
  <si>
    <t xml:space="preserve">DCAL IN</t>
  </si>
  <si>
    <t xml:space="preserve">INE385W01011</t>
  </si>
  <si>
    <t xml:space="preserve">Divi's Laboratories Ltd</t>
  </si>
  <si>
    <t xml:space="preserve">DIVISLAB</t>
  </si>
  <si>
    <t xml:space="preserve">DIVI IN</t>
  </si>
  <si>
    <t xml:space="preserve">INE361B01024</t>
  </si>
  <si>
    <t xml:space="preserve">Dixon Technologies (India) Ltd</t>
  </si>
  <si>
    <t xml:space="preserve">DIXON</t>
  </si>
  <si>
    <t xml:space="preserve">DIXON IN</t>
  </si>
  <si>
    <t xml:space="preserve">INE935N01020</t>
  </si>
  <si>
    <t xml:space="preserve">DLF Ltd</t>
  </si>
  <si>
    <t xml:space="preserve">DLF</t>
  </si>
  <si>
    <t xml:space="preserve">DLFU IN</t>
  </si>
  <si>
    <t xml:space="preserve">INE271C01023</t>
  </si>
  <si>
    <t xml:space="preserve">D-Link (India) Ltd</t>
  </si>
  <si>
    <t xml:space="preserve">DLINKINDIA</t>
  </si>
  <si>
    <t xml:space="preserve">DLINK IN</t>
  </si>
  <si>
    <t xml:space="preserve">INE250K01012</t>
  </si>
  <si>
    <t xml:space="preserve">Dodla Dairy Ltd</t>
  </si>
  <si>
    <t xml:space="preserve">DODLA</t>
  </si>
  <si>
    <t xml:space="preserve">DODLA IN</t>
  </si>
  <si>
    <t xml:space="preserve">INE021O01019</t>
  </si>
  <si>
    <t xml:space="preserve">Dolat Algotech Ltd</t>
  </si>
  <si>
    <t xml:space="preserve">DOLATALGO</t>
  </si>
  <si>
    <t xml:space="preserve">DLC IN</t>
  </si>
  <si>
    <t xml:space="preserve">INE966A01022</t>
  </si>
  <si>
    <t xml:space="preserve">Dollar Industries Ltd</t>
  </si>
  <si>
    <t xml:space="preserve">DOLLAR</t>
  </si>
  <si>
    <t xml:space="preserve">DOLLAR IN</t>
  </si>
  <si>
    <t xml:space="preserve">INE325C01035</t>
  </si>
  <si>
    <t xml:space="preserve">DrLal Pathlabs Ltd</t>
  </si>
  <si>
    <t xml:space="preserve">LALPATHLAB</t>
  </si>
  <si>
    <t xml:space="preserve">DLPL IN</t>
  </si>
  <si>
    <t xml:space="preserve">INE600L01024</t>
  </si>
  <si>
    <t xml:space="preserve">DrReddy's Laboratories Ltd</t>
  </si>
  <si>
    <t xml:space="preserve">DRREDDY</t>
  </si>
  <si>
    <t xml:space="preserve">DRRD IN</t>
  </si>
  <si>
    <t xml:space="preserve">INE089A01023</t>
  </si>
  <si>
    <t xml:space="preserve">Dredging Corporation Of India Ltd</t>
  </si>
  <si>
    <t xml:space="preserve">DREDGECORP</t>
  </si>
  <si>
    <t xml:space="preserve">DCIL IN</t>
  </si>
  <si>
    <t xml:space="preserve">INE506A01018</t>
  </si>
  <si>
    <t xml:space="preserve">Dwarikesh Sugar Industries Ltd</t>
  </si>
  <si>
    <t xml:space="preserve">DWARKESH</t>
  </si>
  <si>
    <t xml:space="preserve">DSIL IN</t>
  </si>
  <si>
    <t xml:space="preserve">INE366A01041</t>
  </si>
  <si>
    <t xml:space="preserve">Dynamatic Technologies Ltd</t>
  </si>
  <si>
    <t xml:space="preserve">DYNAMATECH</t>
  </si>
  <si>
    <t xml:space="preserve">DYTC IN</t>
  </si>
  <si>
    <t xml:space="preserve">INE221B01012</t>
  </si>
  <si>
    <t xml:space="preserve">Dynemic Products Ltd</t>
  </si>
  <si>
    <t xml:space="preserve">DYNPRO</t>
  </si>
  <si>
    <t xml:space="preserve">DYPL IN</t>
  </si>
  <si>
    <t xml:space="preserve">INE256H01015</t>
  </si>
  <si>
    <t xml:space="preserve">EID- Parry (India) Ltd</t>
  </si>
  <si>
    <t xml:space="preserve">EIDPARRY</t>
  </si>
  <si>
    <t xml:space="preserve">EID IN</t>
  </si>
  <si>
    <t xml:space="preserve">INE126A01031</t>
  </si>
  <si>
    <t xml:space="preserve">Easy Trip Planners Ltd</t>
  </si>
  <si>
    <t xml:space="preserve">EASEMYTRIP</t>
  </si>
  <si>
    <t xml:space="preserve">EASEMYTR IN</t>
  </si>
  <si>
    <t xml:space="preserve">INE07O001018</t>
  </si>
  <si>
    <t xml:space="preserve">eClerx Services Ltd</t>
  </si>
  <si>
    <t xml:space="preserve">ECLERX</t>
  </si>
  <si>
    <t xml:space="preserve">ECLX IN</t>
  </si>
  <si>
    <t xml:space="preserve">INE738I01010</t>
  </si>
  <si>
    <t xml:space="preserve">Edelweiss Financial Services Ltd</t>
  </si>
  <si>
    <t xml:space="preserve">EDELWEISS</t>
  </si>
  <si>
    <t xml:space="preserve">EDEL IN</t>
  </si>
  <si>
    <t xml:space="preserve">INE532F01054</t>
  </si>
  <si>
    <t xml:space="preserve">Eicher Motors Ltd</t>
  </si>
  <si>
    <t xml:space="preserve">EICHERMOT</t>
  </si>
  <si>
    <t xml:space="preserve">EIM IN</t>
  </si>
  <si>
    <t xml:space="preserve">INE066A01021</t>
  </si>
  <si>
    <t xml:space="preserve">EIH Associated Hotels Ltd</t>
  </si>
  <si>
    <t xml:space="preserve">EIHAHOTELS</t>
  </si>
  <si>
    <t xml:space="preserve">OAH IN</t>
  </si>
  <si>
    <t xml:space="preserve">INE276C01014</t>
  </si>
  <si>
    <t xml:space="preserve">EIH Ltd</t>
  </si>
  <si>
    <t xml:space="preserve">EIHOTEL</t>
  </si>
  <si>
    <t xml:space="preserve">EIH IN</t>
  </si>
  <si>
    <t xml:space="preserve">INE230A01023</t>
  </si>
  <si>
    <t xml:space="preserve">EKI Energy Services Ltd</t>
  </si>
  <si>
    <t xml:space="preserve">EKI IN</t>
  </si>
  <si>
    <t xml:space="preserve">INE0CPR01018</t>
  </si>
  <si>
    <t xml:space="preserve">Elantas Beck India Ltd</t>
  </si>
  <si>
    <t xml:space="preserve">DRBECK</t>
  </si>
  <si>
    <t xml:space="preserve">EBECK IN</t>
  </si>
  <si>
    <t xml:space="preserve">INE280B01018</t>
  </si>
  <si>
    <t xml:space="preserve">Eldeco Housing &amp; Industries Ltd</t>
  </si>
  <si>
    <t xml:space="preserve">EHF IN</t>
  </si>
  <si>
    <t xml:space="preserve">INE668G01013</t>
  </si>
  <si>
    <t xml:space="preserve">Elecon Engineering Company Ltd</t>
  </si>
  <si>
    <t xml:space="preserve">ELECON</t>
  </si>
  <si>
    <t xml:space="preserve">ELCN IN</t>
  </si>
  <si>
    <t xml:space="preserve">INE205B01023</t>
  </si>
  <si>
    <t xml:space="preserve">Electrosteel Castings Ltd</t>
  </si>
  <si>
    <t xml:space="preserve">ELECTCAST</t>
  </si>
  <si>
    <t xml:space="preserve">ELSC IN</t>
  </si>
  <si>
    <t xml:space="preserve">INE086A01029</t>
  </si>
  <si>
    <t xml:space="preserve">Elgi Equipments Ltd</t>
  </si>
  <si>
    <t xml:space="preserve">ELGIEQUIP</t>
  </si>
  <si>
    <t xml:space="preserve">ELEQ IN</t>
  </si>
  <si>
    <t xml:space="preserve">INE285A01027</t>
  </si>
  <si>
    <t xml:space="preserve">Elpro International Ltd</t>
  </si>
  <si>
    <t xml:space="preserve">ELPROINTL</t>
  </si>
  <si>
    <t xml:space="preserve">ELPR IN</t>
  </si>
  <si>
    <t xml:space="preserve">INE579B01039</t>
  </si>
  <si>
    <t xml:space="preserve">Emami Ltd</t>
  </si>
  <si>
    <t xml:space="preserve">EMAMILTD</t>
  </si>
  <si>
    <t xml:space="preserve">HMN IN</t>
  </si>
  <si>
    <t xml:space="preserve">INE548C01032</t>
  </si>
  <si>
    <t xml:space="preserve">Emami Paper Mills Ltd</t>
  </si>
  <si>
    <t xml:space="preserve">EMAMIPAP</t>
  </si>
  <si>
    <t xml:space="preserve">EPML IN</t>
  </si>
  <si>
    <t xml:space="preserve">INE830C01026</t>
  </si>
  <si>
    <t xml:space="preserve">Endurance Technologies Ltd</t>
  </si>
  <si>
    <t xml:space="preserve">ENDURANCE</t>
  </si>
  <si>
    <t xml:space="preserve">ENDU IN</t>
  </si>
  <si>
    <t xml:space="preserve">INE913H01037</t>
  </si>
  <si>
    <t xml:space="preserve">Engineers India Ltd</t>
  </si>
  <si>
    <t xml:space="preserve">ENGINERSIN</t>
  </si>
  <si>
    <t xml:space="preserve">ENGR IN</t>
  </si>
  <si>
    <t xml:space="preserve">INE510A01028</t>
  </si>
  <si>
    <t xml:space="preserve">Enkei Wheels (India) Ltd</t>
  </si>
  <si>
    <t xml:space="preserve">EWIL IN</t>
  </si>
  <si>
    <t xml:space="preserve">INE130L01014</t>
  </si>
  <si>
    <t xml:space="preserve">Entertainment Network (India) Ltd</t>
  </si>
  <si>
    <t xml:space="preserve">ENIL</t>
  </si>
  <si>
    <t xml:space="preserve">ENIL IN</t>
  </si>
  <si>
    <t xml:space="preserve">INE265F01028</t>
  </si>
  <si>
    <t xml:space="preserve">EPL Ltd</t>
  </si>
  <si>
    <t xml:space="preserve">EPL</t>
  </si>
  <si>
    <t xml:space="preserve">EPLL IN</t>
  </si>
  <si>
    <t xml:space="preserve">INE255A01020</t>
  </si>
  <si>
    <t xml:space="preserve">Equippp Social Impact Technologies Ltd</t>
  </si>
  <si>
    <t xml:space="preserve">EQUIPPP </t>
  </si>
  <si>
    <t xml:space="preserve">GFAC IN</t>
  </si>
  <si>
    <t xml:space="preserve">INE217G01035</t>
  </si>
  <si>
    <t xml:space="preserve">Equitas Holdings Ltd</t>
  </si>
  <si>
    <t xml:space="preserve">EQUITAS</t>
  </si>
  <si>
    <t xml:space="preserve">EQUITAS IN</t>
  </si>
  <si>
    <t xml:space="preserve">INE988K01017</t>
  </si>
  <si>
    <t xml:space="preserve">Equitas Small Finance Bank Ltd</t>
  </si>
  <si>
    <t xml:space="preserve">EQUITASBNK</t>
  </si>
  <si>
    <t xml:space="preserve">EQUITASB IN</t>
  </si>
  <si>
    <t xml:space="preserve">INE063P01018</t>
  </si>
  <si>
    <t xml:space="preserve">Eris Lifesciences Ltd</t>
  </si>
  <si>
    <t xml:space="preserve">ERIS</t>
  </si>
  <si>
    <t xml:space="preserve">ERIS IN</t>
  </si>
  <si>
    <t xml:space="preserve">INE406M01024</t>
  </si>
  <si>
    <t xml:space="preserve">Esab India Ltd</t>
  </si>
  <si>
    <t xml:space="preserve">ESABINDIA</t>
  </si>
  <si>
    <t xml:space="preserve">ESAB IN</t>
  </si>
  <si>
    <t xml:space="preserve">INE284A01012</t>
  </si>
  <si>
    <t xml:space="preserve">Escorts Ltd</t>
  </si>
  <si>
    <t xml:space="preserve">ESCORTS</t>
  </si>
  <si>
    <t xml:space="preserve">ESC IN</t>
  </si>
  <si>
    <t xml:space="preserve">INE042A01014</t>
  </si>
  <si>
    <t xml:space="preserve">Ester Industries Ltd</t>
  </si>
  <si>
    <t xml:space="preserve">ESTER</t>
  </si>
  <si>
    <t xml:space="preserve">ESTR IN</t>
  </si>
  <si>
    <t xml:space="preserve">INE778B01029</t>
  </si>
  <si>
    <t xml:space="preserve">Eveready Industries India Ltd</t>
  </si>
  <si>
    <t xml:space="preserve">EVEREADY</t>
  </si>
  <si>
    <t xml:space="preserve">EVRIN IN</t>
  </si>
  <si>
    <t xml:space="preserve">INE128A01029</t>
  </si>
  <si>
    <t xml:space="preserve">Everest Industries Ltd</t>
  </si>
  <si>
    <t xml:space="preserve">EVERESTIND</t>
  </si>
  <si>
    <t xml:space="preserve">EVI IN</t>
  </si>
  <si>
    <t xml:space="preserve">INE295A01018</t>
  </si>
  <si>
    <t xml:space="preserve">Everest Kanto Cylinder Ltd</t>
  </si>
  <si>
    <t xml:space="preserve">EKC</t>
  </si>
  <si>
    <t xml:space="preserve">EKCL IN</t>
  </si>
  <si>
    <t xml:space="preserve">INE184H01027</t>
  </si>
  <si>
    <t xml:space="preserve">Excel Industries Ltd</t>
  </si>
  <si>
    <t xml:space="preserve">EXCELINDUS</t>
  </si>
  <si>
    <t xml:space="preserve">EXL IN</t>
  </si>
  <si>
    <t xml:space="preserve">INE369A01029</t>
  </si>
  <si>
    <t xml:space="preserve">Exide Industries Ltd</t>
  </si>
  <si>
    <t xml:space="preserve">EXIDEIND</t>
  </si>
  <si>
    <t xml:space="preserve">EXID IN</t>
  </si>
  <si>
    <t xml:space="preserve">INE302A01020</t>
  </si>
  <si>
    <t xml:space="preserve">Expleo Solutions Ltd</t>
  </si>
  <si>
    <t xml:space="preserve">EXPLEOSOL</t>
  </si>
  <si>
    <t xml:space="preserve">EXPLEOSO IN</t>
  </si>
  <si>
    <t xml:space="preserve">INE201K01015</t>
  </si>
  <si>
    <t xml:space="preserve">Exxaro Tiles Ltd</t>
  </si>
  <si>
    <t xml:space="preserve">EXXARO</t>
  </si>
  <si>
    <t xml:space="preserve">EXXARO IN</t>
  </si>
  <si>
    <t xml:space="preserve">INE0GFE01018</t>
  </si>
  <si>
    <t xml:space="preserve">Fairchem Organics Ltd</t>
  </si>
  <si>
    <t xml:space="preserve">FAIRCHEMOR</t>
  </si>
  <si>
    <t xml:space="preserve">FAIRORGA IN</t>
  </si>
  <si>
    <t xml:space="preserve">INE0DNW01011</t>
  </si>
  <si>
    <t xml:space="preserve">Faze Three Ltd</t>
  </si>
  <si>
    <t xml:space="preserve">FAZETHREE</t>
  </si>
  <si>
    <t xml:space="preserve">FZT IN</t>
  </si>
  <si>
    <t xml:space="preserve">INE963C01033</t>
  </si>
  <si>
    <t xml:space="preserve">FCS Software Solutions Ltd</t>
  </si>
  <si>
    <t xml:space="preserve">FCSSOFT</t>
  </si>
  <si>
    <t xml:space="preserve">FCS IN</t>
  </si>
  <si>
    <t xml:space="preserve">INE512B01022</t>
  </si>
  <si>
    <t xml:space="preserve">FDC Ltd</t>
  </si>
  <si>
    <t xml:space="preserve">FDC</t>
  </si>
  <si>
    <t xml:space="preserve">FDCLT IN</t>
  </si>
  <si>
    <t xml:space="preserve">INE258B01022</t>
  </si>
  <si>
    <t xml:space="preserve">Federal-Mogul Goetze (India) Ltd</t>
  </si>
  <si>
    <t xml:space="preserve">FMGOETZE</t>
  </si>
  <si>
    <t xml:space="preserve">FMGI IN</t>
  </si>
  <si>
    <t xml:space="preserve">INE529A01010</t>
  </si>
  <si>
    <t xml:space="preserve">Fermenta Biotech Ltd</t>
  </si>
  <si>
    <t xml:space="preserve">FERMENTA IN</t>
  </si>
  <si>
    <t xml:space="preserve">INE225B01021</t>
  </si>
  <si>
    <t xml:space="preserve">Fiem Industries Ltd</t>
  </si>
  <si>
    <t xml:space="preserve">FIEMIND</t>
  </si>
  <si>
    <t xml:space="preserve">FIEM IN</t>
  </si>
  <si>
    <t xml:space="preserve">INE737H01014</t>
  </si>
  <si>
    <t xml:space="preserve">Filatex India Ltd</t>
  </si>
  <si>
    <t xml:space="preserve">FILATEX</t>
  </si>
  <si>
    <t xml:space="preserve">FLTX IN</t>
  </si>
  <si>
    <t xml:space="preserve">INE816B01027</t>
  </si>
  <si>
    <t xml:space="preserve">Fine Organic Industries Ltd</t>
  </si>
  <si>
    <t xml:space="preserve">FINEORG</t>
  </si>
  <si>
    <t xml:space="preserve">FINEORG IN</t>
  </si>
  <si>
    <t xml:space="preserve">INE686Y01026</t>
  </si>
  <si>
    <t xml:space="preserve">Fineotex Chemical Ltd</t>
  </si>
  <si>
    <t xml:space="preserve">FCL</t>
  </si>
  <si>
    <t xml:space="preserve">FTXC IN</t>
  </si>
  <si>
    <t xml:space="preserve">INE045J01026</t>
  </si>
  <si>
    <t xml:space="preserve">Finkurve Financial Services Ltd</t>
  </si>
  <si>
    <t xml:space="preserve">FFSL IN</t>
  </si>
  <si>
    <t xml:space="preserve">INE734I01027</t>
  </si>
  <si>
    <t xml:space="preserve">Fino Payments Bank Ltd</t>
  </si>
  <si>
    <t xml:space="preserve">FINOPB</t>
  </si>
  <si>
    <t xml:space="preserve">FINOPB IN</t>
  </si>
  <si>
    <t xml:space="preserve">INE02NC01014</t>
  </si>
  <si>
    <t xml:space="preserve">Finolex Cables Ltd</t>
  </si>
  <si>
    <t xml:space="preserve">FINCABLES</t>
  </si>
  <si>
    <t xml:space="preserve">FNXC IN</t>
  </si>
  <si>
    <t xml:space="preserve">INE235A01022</t>
  </si>
  <si>
    <t xml:space="preserve">Finolex Industries Ltd</t>
  </si>
  <si>
    <t xml:space="preserve">FINPIPE</t>
  </si>
  <si>
    <t xml:space="preserve">FNXP IN</t>
  </si>
  <si>
    <t xml:space="preserve">INE183A01024</t>
  </si>
  <si>
    <t xml:space="preserve">Firstsource Solutions Ltd</t>
  </si>
  <si>
    <t xml:space="preserve">FSL</t>
  </si>
  <si>
    <t xml:space="preserve">FSOL IN</t>
  </si>
  <si>
    <t xml:space="preserve">INE684F01012</t>
  </si>
  <si>
    <t xml:space="preserve">Forbes &amp; Company Ltd</t>
  </si>
  <si>
    <t xml:space="preserve">FORBESGOK</t>
  </si>
  <si>
    <t xml:space="preserve">FG IN</t>
  </si>
  <si>
    <t xml:space="preserve">INE518A01013</t>
  </si>
  <si>
    <t xml:space="preserve">Force Motors Ltd</t>
  </si>
  <si>
    <t xml:space="preserve">FORCEMOT</t>
  </si>
  <si>
    <t xml:space="preserve">FML IN</t>
  </si>
  <si>
    <t xml:space="preserve">INE451A01017</t>
  </si>
  <si>
    <t xml:space="preserve">Fortis Healthcare Ltd</t>
  </si>
  <si>
    <t xml:space="preserve">FORTIS</t>
  </si>
  <si>
    <t xml:space="preserve">FORH IN</t>
  </si>
  <si>
    <t xml:space="preserve">INE061F01013</t>
  </si>
  <si>
    <t xml:space="preserve">Foseco India Ltd</t>
  </si>
  <si>
    <t xml:space="preserve">FOSECOIND</t>
  </si>
  <si>
    <t xml:space="preserve">FSC IN</t>
  </si>
  <si>
    <t xml:space="preserve">INE519A01011</t>
  </si>
  <si>
    <t xml:space="preserve">FSN E-Commerce Ventures Ltd</t>
  </si>
  <si>
    <t xml:space="preserve">NYKAA</t>
  </si>
  <si>
    <t xml:space="preserve">NYKAA IN</t>
  </si>
  <si>
    <t xml:space="preserve">INE388Y01029</t>
  </si>
  <si>
    <t xml:space="preserve">Future Consumer Ltd</t>
  </si>
  <si>
    <t xml:space="preserve">FCONSUMER</t>
  </si>
  <si>
    <t xml:space="preserve">FCON IN</t>
  </si>
  <si>
    <t xml:space="preserve">INE220J01025</t>
  </si>
  <si>
    <t xml:space="preserve">Future Lifestyle Fashions Ltd</t>
  </si>
  <si>
    <t xml:space="preserve">FLFL</t>
  </si>
  <si>
    <t xml:space="preserve">FLFL IN</t>
  </si>
  <si>
    <t xml:space="preserve">INE452O01016</t>
  </si>
  <si>
    <t xml:space="preserve">Future Retail Ltd</t>
  </si>
  <si>
    <t xml:space="preserve">FRETAIL</t>
  </si>
  <si>
    <t xml:space="preserve">FRETAIL IN</t>
  </si>
  <si>
    <t xml:space="preserve">INE752P01024</t>
  </si>
  <si>
    <t xml:space="preserve">Gabriel India Ltd</t>
  </si>
  <si>
    <t xml:space="preserve">GABRIEL</t>
  </si>
  <si>
    <t xml:space="preserve">GABR IN</t>
  </si>
  <si>
    <t xml:space="preserve">INE524A01029</t>
  </si>
  <si>
    <t xml:space="preserve">GAIL (India) Ltd</t>
  </si>
  <si>
    <t xml:space="preserve">GAIL</t>
  </si>
  <si>
    <t xml:space="preserve">GAIL IN</t>
  </si>
  <si>
    <t xml:space="preserve">INE129A01019</t>
  </si>
  <si>
    <t xml:space="preserve">Galaxy Surfactants Ltd</t>
  </si>
  <si>
    <t xml:space="preserve">GALAXYSURF</t>
  </si>
  <si>
    <t xml:space="preserve">GALSURF IN</t>
  </si>
  <si>
    <t xml:space="preserve">INE600K01018</t>
  </si>
  <si>
    <t xml:space="preserve">Gallantt Ispat Ltd</t>
  </si>
  <si>
    <t xml:space="preserve">GALLISPAT</t>
  </si>
  <si>
    <t xml:space="preserve">GALLIS IN</t>
  </si>
  <si>
    <t xml:space="preserve">INE528K01029</t>
  </si>
  <si>
    <t xml:space="preserve">Gallantt Metal Ltd</t>
  </si>
  <si>
    <t xml:space="preserve">GALLANTT</t>
  </si>
  <si>
    <t xml:space="preserve">GALL IN</t>
  </si>
  <si>
    <t xml:space="preserve">INE297H01019</t>
  </si>
  <si>
    <t xml:space="preserve">Ganesh Benzoplast Ltd</t>
  </si>
  <si>
    <t xml:space="preserve">GANESHBE</t>
  </si>
  <si>
    <t xml:space="preserve">GBP IN</t>
  </si>
  <si>
    <t xml:space="preserve">INE388A01029</t>
  </si>
  <si>
    <t xml:space="preserve">Ganesh Housing Corporation Ltd</t>
  </si>
  <si>
    <t xml:space="preserve">GANESHHOUC</t>
  </si>
  <si>
    <t xml:space="preserve">GHFC IN</t>
  </si>
  <si>
    <t xml:space="preserve">INE460C01014</t>
  </si>
  <si>
    <t xml:space="preserve">Ganesha Ecosphere Ltd</t>
  </si>
  <si>
    <t xml:space="preserve">GANECOS</t>
  </si>
  <si>
    <t xml:space="preserve">GNPL IN</t>
  </si>
  <si>
    <t xml:space="preserve">INE845D01014</t>
  </si>
  <si>
    <t xml:space="preserve">Garden Reach Shipbuilders &amp; Engineers Ltd</t>
  </si>
  <si>
    <t xml:space="preserve">GRSE</t>
  </si>
  <si>
    <t xml:space="preserve">GRSE IN</t>
  </si>
  <si>
    <t xml:space="preserve">INE382Z01011</t>
  </si>
  <si>
    <t xml:space="preserve">Garware Hi-Tech Films Ltd</t>
  </si>
  <si>
    <t xml:space="preserve">GARWARPOLY</t>
  </si>
  <si>
    <t xml:space="preserve">GWPL IN</t>
  </si>
  <si>
    <t xml:space="preserve">INE291A01017</t>
  </si>
  <si>
    <t xml:space="preserve">Garware Technical Fibres Ltd</t>
  </si>
  <si>
    <t xml:space="preserve">GARFIBRES</t>
  </si>
  <si>
    <t xml:space="preserve">GTFL IN</t>
  </si>
  <si>
    <t xml:space="preserve">INE276A01018</t>
  </si>
  <si>
    <t xml:space="preserve">Gateway Distriparks Ltd</t>
  </si>
  <si>
    <t xml:space="preserve">GDL</t>
  </si>
  <si>
    <t xml:space="preserve">GDPL IN</t>
  </si>
  <si>
    <t xml:space="preserve">INE852F01015</t>
  </si>
  <si>
    <t xml:space="preserve">GATI Ltd</t>
  </si>
  <si>
    <t xml:space="preserve">GATI</t>
  </si>
  <si>
    <t xml:space="preserve">GTIC IN</t>
  </si>
  <si>
    <t xml:space="preserve">INE152B01027</t>
  </si>
  <si>
    <t xml:space="preserve">Gayatri Projects Ltd</t>
  </si>
  <si>
    <t xml:space="preserve">GAYAPROJ</t>
  </si>
  <si>
    <t xml:space="preserve">GAYP IN</t>
  </si>
  <si>
    <t xml:space="preserve">INE336H01023</t>
  </si>
  <si>
    <t xml:space="preserve">GE Power India Ltd</t>
  </si>
  <si>
    <t xml:space="preserve">GEPIL</t>
  </si>
  <si>
    <t xml:space="preserve">GEPIL IN</t>
  </si>
  <si>
    <t xml:space="preserve">INE878A01011</t>
  </si>
  <si>
    <t xml:space="preserve">GE T&amp;D India Ltd</t>
  </si>
  <si>
    <t xml:space="preserve">GET&amp;D</t>
  </si>
  <si>
    <t xml:space="preserve">GETD IN</t>
  </si>
  <si>
    <t xml:space="preserve">INE200A01026</t>
  </si>
  <si>
    <t xml:space="preserve">General Insurance Corporation of India</t>
  </si>
  <si>
    <t xml:space="preserve">GICRE</t>
  </si>
  <si>
    <t xml:space="preserve">GICRE IN</t>
  </si>
  <si>
    <t xml:space="preserve">INE481Y01014</t>
  </si>
  <si>
    <t xml:space="preserve">Genesys International Corporation Ltd</t>
  </si>
  <si>
    <t xml:space="preserve">GENESYS</t>
  </si>
  <si>
    <t xml:space="preserve">GENE IN</t>
  </si>
  <si>
    <t xml:space="preserve">INE727B01026</t>
  </si>
  <si>
    <t xml:space="preserve">Genus Power Infrastructures Ltd</t>
  </si>
  <si>
    <t xml:space="preserve">GENUSPOWER</t>
  </si>
  <si>
    <t xml:space="preserve">GPIN IN</t>
  </si>
  <si>
    <t xml:space="preserve">INE955D01029</t>
  </si>
  <si>
    <t xml:space="preserve">Geojit Financial Services Ltd</t>
  </si>
  <si>
    <t xml:space="preserve">GEOJITFSL</t>
  </si>
  <si>
    <t xml:space="preserve">GEOFSL IN</t>
  </si>
  <si>
    <t xml:space="preserve">INE007B01023</t>
  </si>
  <si>
    <t xml:space="preserve">GFL Ltd</t>
  </si>
  <si>
    <t xml:space="preserve">GFLLIMITED</t>
  </si>
  <si>
    <t xml:space="preserve">GFLTD IN</t>
  </si>
  <si>
    <t xml:space="preserve">INE538A01037</t>
  </si>
  <si>
    <t xml:space="preserve">GHCL Ltd</t>
  </si>
  <si>
    <t xml:space="preserve">GHCL</t>
  </si>
  <si>
    <t xml:space="preserve">GHCL IN</t>
  </si>
  <si>
    <t xml:space="preserve">INE539A01019</t>
  </si>
  <si>
    <t xml:space="preserve">GIC Housing Finance Ltd</t>
  </si>
  <si>
    <t xml:space="preserve">GICHSGFIN</t>
  </si>
  <si>
    <t xml:space="preserve">GICHF IN</t>
  </si>
  <si>
    <t xml:space="preserve">INE289B01019</t>
  </si>
  <si>
    <t xml:space="preserve">Gillette India Ltd</t>
  </si>
  <si>
    <t xml:space="preserve">GILLETTE</t>
  </si>
  <si>
    <t xml:space="preserve">GILL IN</t>
  </si>
  <si>
    <t xml:space="preserve">INE322A01010</t>
  </si>
  <si>
    <t xml:space="preserve">Gland Pharma Ltd</t>
  </si>
  <si>
    <t xml:space="preserve">GLAND</t>
  </si>
  <si>
    <t xml:space="preserve">GLAND IN</t>
  </si>
  <si>
    <t xml:space="preserve">INE068V01023</t>
  </si>
  <si>
    <t xml:space="preserve">Glaxosmithkline Pharmaceuticals Ltd</t>
  </si>
  <si>
    <t xml:space="preserve">GLAXO</t>
  </si>
  <si>
    <t xml:space="preserve">GLXO IN</t>
  </si>
  <si>
    <t xml:space="preserve">INE159A01016</t>
  </si>
  <si>
    <t xml:space="preserve">Glenmark Life Sciences Ltd</t>
  </si>
  <si>
    <t xml:space="preserve">GLS</t>
  </si>
  <si>
    <t xml:space="preserve">GLS IN</t>
  </si>
  <si>
    <t xml:space="preserve">INE03Q201024</t>
  </si>
  <si>
    <t xml:space="preserve">Glenmark Pharmaceuticals Ltd</t>
  </si>
  <si>
    <t xml:space="preserve">GLENMARK</t>
  </si>
  <si>
    <t xml:space="preserve">GNP IN</t>
  </si>
  <si>
    <t xml:space="preserve">INE935A01035</t>
  </si>
  <si>
    <t xml:space="preserve">Globus Power Generation Ltd</t>
  </si>
  <si>
    <t xml:space="preserve">GUF IN</t>
  </si>
  <si>
    <t xml:space="preserve">INE064L01015</t>
  </si>
  <si>
    <t xml:space="preserve">Globus Spirits Ltd</t>
  </si>
  <si>
    <t xml:space="preserve">GLOBUSSPR</t>
  </si>
  <si>
    <t xml:space="preserve">GBSL IN</t>
  </si>
  <si>
    <t xml:space="preserve">INE615I01010</t>
  </si>
  <si>
    <t xml:space="preserve">Gloster Ltd</t>
  </si>
  <si>
    <t xml:space="preserve">GLOS IN</t>
  </si>
  <si>
    <t xml:space="preserve">INE350Z01018</t>
  </si>
  <si>
    <t xml:space="preserve">GM Breweries Ltd</t>
  </si>
  <si>
    <t xml:space="preserve">GMBREW</t>
  </si>
  <si>
    <t xml:space="preserve">GMBR IN</t>
  </si>
  <si>
    <t xml:space="preserve">INE075D01018</t>
  </si>
  <si>
    <t xml:space="preserve">GMM Pfaudler Ltd</t>
  </si>
  <si>
    <t xml:space="preserve">GMMPFAUDLR</t>
  </si>
  <si>
    <t xml:space="preserve">GMM IN</t>
  </si>
  <si>
    <t xml:space="preserve">INE541A01023</t>
  </si>
  <si>
    <t xml:space="preserve">GMR Infrastructure Ltd</t>
  </si>
  <si>
    <t xml:space="preserve">GMRINFRA</t>
  </si>
  <si>
    <t xml:space="preserve">GMRI IN</t>
  </si>
  <si>
    <t xml:space="preserve">INE776C01039</t>
  </si>
  <si>
    <t xml:space="preserve">GNA Axles Ltd</t>
  </si>
  <si>
    <t xml:space="preserve">GNA</t>
  </si>
  <si>
    <t xml:space="preserve">GNA IN</t>
  </si>
  <si>
    <t xml:space="preserve">INE934S01014</t>
  </si>
  <si>
    <t xml:space="preserve">Go Fashion (India) Ltd</t>
  </si>
  <si>
    <t xml:space="preserve">GOCOLORS</t>
  </si>
  <si>
    <t xml:space="preserve">GOCOLORS IN</t>
  </si>
  <si>
    <t xml:space="preserve">INE0BJS01011</t>
  </si>
  <si>
    <t xml:space="preserve">GOCL Corporation Ltd</t>
  </si>
  <si>
    <t xml:space="preserve">GOCLCORP</t>
  </si>
  <si>
    <t xml:space="preserve">GOCL IN</t>
  </si>
  <si>
    <t xml:space="preserve">INE077F01035</t>
  </si>
  <si>
    <t xml:space="preserve">Godawari Power And Ispat Ltd</t>
  </si>
  <si>
    <t xml:space="preserve">GPIL</t>
  </si>
  <si>
    <t xml:space="preserve">GODPI IN</t>
  </si>
  <si>
    <t xml:space="preserve">INE177H01021</t>
  </si>
  <si>
    <t xml:space="preserve">Godfrey Phillips India Ltd</t>
  </si>
  <si>
    <t xml:space="preserve">GODFRYPHLP</t>
  </si>
  <si>
    <t xml:space="preserve">GP IN</t>
  </si>
  <si>
    <t xml:space="preserve">INE260B01028</t>
  </si>
  <si>
    <t xml:space="preserve">Godrej Agrovet Ltd</t>
  </si>
  <si>
    <t xml:space="preserve">GODREJAGRO</t>
  </si>
  <si>
    <t xml:space="preserve">GOAGRO IN</t>
  </si>
  <si>
    <t xml:space="preserve">INE850D01014</t>
  </si>
  <si>
    <t xml:space="preserve">Godrej Consumer Products Ltd</t>
  </si>
  <si>
    <t xml:space="preserve">GODREJCP</t>
  </si>
  <si>
    <t xml:space="preserve">GCPL IN</t>
  </si>
  <si>
    <t xml:space="preserve">INE102D01028</t>
  </si>
  <si>
    <t xml:space="preserve">Godrej Industries Ltd</t>
  </si>
  <si>
    <t xml:space="preserve">GODREJIND</t>
  </si>
  <si>
    <t xml:space="preserve">GDSP IN</t>
  </si>
  <si>
    <t xml:space="preserve">INE233A01035</t>
  </si>
  <si>
    <t xml:space="preserve">Godrej Properties Ltd</t>
  </si>
  <si>
    <t xml:space="preserve">GODREJPROP</t>
  </si>
  <si>
    <t xml:space="preserve">GPL IN</t>
  </si>
  <si>
    <t xml:space="preserve">INE484J01027</t>
  </si>
  <si>
    <t xml:space="preserve">Gokaldas Exports Ltd</t>
  </si>
  <si>
    <t xml:space="preserve">GOKEX</t>
  </si>
  <si>
    <t xml:space="preserve">GEXP IN</t>
  </si>
  <si>
    <t xml:space="preserve">INE887G01027</t>
  </si>
  <si>
    <t xml:space="preserve">Gokul Agro Resources Ltd</t>
  </si>
  <si>
    <t xml:space="preserve">GOKULAGRO</t>
  </si>
  <si>
    <t xml:space="preserve">GOKUL IN</t>
  </si>
  <si>
    <t xml:space="preserve">INE314T01025</t>
  </si>
  <si>
    <t xml:space="preserve">Goldiam International Ltd</t>
  </si>
  <si>
    <t xml:space="preserve">GOLDIAM</t>
  </si>
  <si>
    <t xml:space="preserve">GLDM IN</t>
  </si>
  <si>
    <t xml:space="preserve">INE025B01017</t>
  </si>
  <si>
    <t xml:space="preserve">Goodluck India Ltd</t>
  </si>
  <si>
    <t xml:space="preserve">GOODLUCK</t>
  </si>
  <si>
    <t xml:space="preserve">GLIN IN</t>
  </si>
  <si>
    <t xml:space="preserve">INE127I01024</t>
  </si>
  <si>
    <t xml:space="preserve">Goodyear India Ltd</t>
  </si>
  <si>
    <t xml:space="preserve">GOODYEAR</t>
  </si>
  <si>
    <t xml:space="preserve">GDYR IN</t>
  </si>
  <si>
    <t xml:space="preserve">INE533A01012</t>
  </si>
  <si>
    <t xml:space="preserve">GR Infraprojects Ltd</t>
  </si>
  <si>
    <t xml:space="preserve">GRINFRA</t>
  </si>
  <si>
    <t xml:space="preserve">GRINFRA IN</t>
  </si>
  <si>
    <t xml:space="preserve">INE201P01022</t>
  </si>
  <si>
    <t xml:space="preserve">Granules India Ltd</t>
  </si>
  <si>
    <t xml:space="preserve">GRANULES</t>
  </si>
  <si>
    <t xml:space="preserve">GRAN IN</t>
  </si>
  <si>
    <t xml:space="preserve">INE101D01020</t>
  </si>
  <si>
    <t xml:space="preserve">Graphite India Ltd</t>
  </si>
  <si>
    <t xml:space="preserve">GRAPHITE</t>
  </si>
  <si>
    <t xml:space="preserve">GRIL IN</t>
  </si>
  <si>
    <t xml:space="preserve">INE371A01025</t>
  </si>
  <si>
    <t xml:space="preserve">Grasim Industries Ltd</t>
  </si>
  <si>
    <t xml:space="preserve">GRASIM</t>
  </si>
  <si>
    <t xml:space="preserve">GRASIM IN</t>
  </si>
  <si>
    <t xml:space="preserve">INE047A01021</t>
  </si>
  <si>
    <t xml:space="preserve">Grauer &amp; Weil (India) Ltd</t>
  </si>
  <si>
    <t xml:space="preserve">GRAUWEIL</t>
  </si>
  <si>
    <t xml:space="preserve">GW IN</t>
  </si>
  <si>
    <t xml:space="preserve">INE266D01021</t>
  </si>
  <si>
    <t xml:space="preserve">Gravita India Ltd</t>
  </si>
  <si>
    <t xml:space="preserve">GRAVITA</t>
  </si>
  <si>
    <t xml:space="preserve">GRAV IN</t>
  </si>
  <si>
    <t xml:space="preserve">INE024L01027</t>
  </si>
  <si>
    <t xml:space="preserve">Greaves Cotton Ltd</t>
  </si>
  <si>
    <t xml:space="preserve">GREAVESCOT</t>
  </si>
  <si>
    <t xml:space="preserve">GRV IN</t>
  </si>
  <si>
    <t xml:space="preserve">INE224A01026</t>
  </si>
  <si>
    <t xml:space="preserve">Greenlam Industries Ltd</t>
  </si>
  <si>
    <t xml:space="preserve">GREENLAM</t>
  </si>
  <si>
    <t xml:space="preserve">GRLM IN</t>
  </si>
  <si>
    <t xml:space="preserve">INE544R01013</t>
  </si>
  <si>
    <t xml:space="preserve">Greenpanel Industries Ltd</t>
  </si>
  <si>
    <t xml:space="preserve">GREENPANEL</t>
  </si>
  <si>
    <t xml:space="preserve">GREENP IN</t>
  </si>
  <si>
    <t xml:space="preserve">INE08ZM01014</t>
  </si>
  <si>
    <t xml:space="preserve">Greenply Industries Ltd</t>
  </si>
  <si>
    <t xml:space="preserve">GREENPLY</t>
  </si>
  <si>
    <t xml:space="preserve">MTLM IN</t>
  </si>
  <si>
    <t xml:space="preserve">INE461C01038</t>
  </si>
  <si>
    <t xml:space="preserve">Grindwell Norton Ltd</t>
  </si>
  <si>
    <t xml:space="preserve">GRINDWELL</t>
  </si>
  <si>
    <t xml:space="preserve">GWN IN</t>
  </si>
  <si>
    <t xml:space="preserve">INE536A01023</t>
  </si>
  <si>
    <t xml:space="preserve">GRM Overseas Ltd</t>
  </si>
  <si>
    <t xml:space="preserve">GRMO IN</t>
  </si>
  <si>
    <t xml:space="preserve">INE192H01020</t>
  </si>
  <si>
    <t xml:space="preserve">GTL Infrastructure Ltd</t>
  </si>
  <si>
    <t xml:space="preserve">GTLINFRA</t>
  </si>
  <si>
    <t xml:space="preserve">GTLI IN</t>
  </si>
  <si>
    <t xml:space="preserve">INE221H01019</t>
  </si>
  <si>
    <t xml:space="preserve">GTPL Hathway Ltd</t>
  </si>
  <si>
    <t xml:space="preserve">GTPL</t>
  </si>
  <si>
    <t xml:space="preserve">GTPL IN</t>
  </si>
  <si>
    <t xml:space="preserve">INE869I01013</t>
  </si>
  <si>
    <t xml:space="preserve">Gufic Biosciences Ltd</t>
  </si>
  <si>
    <t xml:space="preserve">GUFICBIO</t>
  </si>
  <si>
    <t xml:space="preserve">CF IN</t>
  </si>
  <si>
    <t xml:space="preserve">INE742B01025</t>
  </si>
  <si>
    <t xml:space="preserve">Gujarat Alkalies And Chemicals Ltd</t>
  </si>
  <si>
    <t xml:space="preserve">GUJALKALI</t>
  </si>
  <si>
    <t xml:space="preserve">GALK IN</t>
  </si>
  <si>
    <t xml:space="preserve">INE186A01019</t>
  </si>
  <si>
    <t xml:space="preserve">Gujarat Ambuja Exports Ltd</t>
  </si>
  <si>
    <t xml:space="preserve">GAEL</t>
  </si>
  <si>
    <t xml:space="preserve">GAEX IN</t>
  </si>
  <si>
    <t xml:space="preserve">INE036B01030</t>
  </si>
  <si>
    <t xml:space="preserve">Gujarat Fluorochemicals Ltd</t>
  </si>
  <si>
    <t xml:space="preserve">FLUOROCHEM</t>
  </si>
  <si>
    <t xml:space="preserve">FLUOROCH IN</t>
  </si>
  <si>
    <t xml:space="preserve">INE09N301011</t>
  </si>
  <si>
    <t xml:space="preserve">Gujarat Gas Ltd</t>
  </si>
  <si>
    <t xml:space="preserve">GUJGASLTD</t>
  </si>
  <si>
    <t xml:space="preserve">GUJGA IN</t>
  </si>
  <si>
    <t xml:space="preserve">INE844O01030</t>
  </si>
  <si>
    <t xml:space="preserve">Gujarat Industries Power Company Ltd</t>
  </si>
  <si>
    <t xml:space="preserve">GIPCL</t>
  </si>
  <si>
    <t xml:space="preserve">GIP IN</t>
  </si>
  <si>
    <t xml:space="preserve">INE162A01010</t>
  </si>
  <si>
    <t xml:space="preserve">Gujarat Mineral Development Corporation Ltd</t>
  </si>
  <si>
    <t xml:space="preserve">GMDCLTD</t>
  </si>
  <si>
    <t xml:space="preserve">GMDC IN</t>
  </si>
  <si>
    <t xml:space="preserve">INE131A01031</t>
  </si>
  <si>
    <t xml:space="preserve">Gujarat Narmada Valley Fertilizers &amp; Chemicals Ltd</t>
  </si>
  <si>
    <t xml:space="preserve">GNFC</t>
  </si>
  <si>
    <t xml:space="preserve">GNFC IN</t>
  </si>
  <si>
    <t xml:space="preserve">INE113A01013</t>
  </si>
  <si>
    <t xml:space="preserve">Gujarat Pipavav Port Ltd</t>
  </si>
  <si>
    <t xml:space="preserve">GPPL</t>
  </si>
  <si>
    <t xml:space="preserve">GPPV IN</t>
  </si>
  <si>
    <t xml:space="preserve">INE517F01014</t>
  </si>
  <si>
    <t xml:space="preserve">Gujarat State Fertilizers &amp; Chemicals Ltd</t>
  </si>
  <si>
    <t xml:space="preserve">GSFC</t>
  </si>
  <si>
    <t xml:space="preserve">GSFC IN</t>
  </si>
  <si>
    <t xml:space="preserve">INE026A01025</t>
  </si>
  <si>
    <t xml:space="preserve">Gujarat State Petronet Ltd</t>
  </si>
  <si>
    <t xml:space="preserve">GSPL</t>
  </si>
  <si>
    <t xml:space="preserve">GUJS IN</t>
  </si>
  <si>
    <t xml:space="preserve">INE246F01010</t>
  </si>
  <si>
    <t xml:space="preserve">Gujarat Themis Biosyn Ltd</t>
  </si>
  <si>
    <t xml:space="preserve">GUJTHEMIS</t>
  </si>
  <si>
    <t xml:space="preserve">GTB IN</t>
  </si>
  <si>
    <t xml:space="preserve">INE942C01029</t>
  </si>
  <si>
    <t xml:space="preserve">Gulf Oil Lubricants India Ltd</t>
  </si>
  <si>
    <t xml:space="preserve">GULFOILLUB</t>
  </si>
  <si>
    <t xml:space="preserve">GOLI IN</t>
  </si>
  <si>
    <t xml:space="preserve">INE635Q01029</t>
  </si>
  <si>
    <t xml:space="preserve">Gulshan Polyols Ltd</t>
  </si>
  <si>
    <t xml:space="preserve">GULPOLY</t>
  </si>
  <si>
    <t xml:space="preserve">GULP IN</t>
  </si>
  <si>
    <t xml:space="preserve">INE255D01024</t>
  </si>
  <si>
    <t xml:space="preserve">HGInfra Engineering Ltd</t>
  </si>
  <si>
    <t xml:space="preserve">HGINFRA</t>
  </si>
  <si>
    <t xml:space="preserve">HGINFRA IN</t>
  </si>
  <si>
    <t xml:space="preserve">INE926X01010</t>
  </si>
  <si>
    <t xml:space="preserve">Happiest Minds Technologies Ltd</t>
  </si>
  <si>
    <t xml:space="preserve">HAPPSTMNDS</t>
  </si>
  <si>
    <t xml:space="preserve">HAPPSTMN IN</t>
  </si>
  <si>
    <t xml:space="preserve">INE419U01012</t>
  </si>
  <si>
    <t xml:space="preserve">Hathway Cable &amp; Datacom Ltd</t>
  </si>
  <si>
    <t xml:space="preserve">HATHWAY</t>
  </si>
  <si>
    <t xml:space="preserve">HATH IN</t>
  </si>
  <si>
    <t xml:space="preserve">INE982F01036</t>
  </si>
  <si>
    <t xml:space="preserve">Hatsun Agro Product Ltd</t>
  </si>
  <si>
    <t xml:space="preserve">HATSUN</t>
  </si>
  <si>
    <t xml:space="preserve">HTSMF IN</t>
  </si>
  <si>
    <t xml:space="preserve">INE473B01035</t>
  </si>
  <si>
    <t xml:space="preserve">Havells India Ltd</t>
  </si>
  <si>
    <t xml:space="preserve">HAVELLS</t>
  </si>
  <si>
    <t xml:space="preserve">HAVL IN</t>
  </si>
  <si>
    <t xml:space="preserve">INE176B01034</t>
  </si>
  <si>
    <t xml:space="preserve">Hawkins Cookers Ltd</t>
  </si>
  <si>
    <t xml:space="preserve">HAWKINCOOK</t>
  </si>
  <si>
    <t xml:space="preserve">HAWK IN</t>
  </si>
  <si>
    <t xml:space="preserve">INE979B01015</t>
  </si>
  <si>
    <t xml:space="preserve">HBL Power Systems Ltd</t>
  </si>
  <si>
    <t xml:space="preserve">HBLPOWER</t>
  </si>
  <si>
    <t xml:space="preserve">HBPS IN</t>
  </si>
  <si>
    <t xml:space="preserve">INE292B01021</t>
  </si>
  <si>
    <t xml:space="preserve">HCL Infosystems Ltd</t>
  </si>
  <si>
    <t xml:space="preserve">HCL-INSYS</t>
  </si>
  <si>
    <t xml:space="preserve">HCLI IN</t>
  </si>
  <si>
    <t xml:space="preserve">INE236A01020</t>
  </si>
  <si>
    <t xml:space="preserve">HCL Technologies Ltd</t>
  </si>
  <si>
    <t xml:space="preserve">HCLTECH</t>
  </si>
  <si>
    <t xml:space="preserve">HCLT IN</t>
  </si>
  <si>
    <t xml:space="preserve">INE860A01027</t>
  </si>
  <si>
    <t xml:space="preserve">HCP Plastene Bulkpack Ltd</t>
  </si>
  <si>
    <t xml:space="preserve">GPPL IN</t>
  </si>
  <si>
    <t xml:space="preserve">INE136C01044</t>
  </si>
  <si>
    <t xml:space="preserve">HDFC Asset Management Company Ltd</t>
  </si>
  <si>
    <t xml:space="preserve">HDFCAMC</t>
  </si>
  <si>
    <t xml:space="preserve">HDFCAMC IN</t>
  </si>
  <si>
    <t xml:space="preserve">INE127D01025</t>
  </si>
  <si>
    <t xml:space="preserve">HDFC Bank Ltd</t>
  </si>
  <si>
    <t xml:space="preserve">HDFCBANK</t>
  </si>
  <si>
    <t xml:space="preserve">HDFCB IN</t>
  </si>
  <si>
    <t xml:space="preserve">INE040A01034</t>
  </si>
  <si>
    <t xml:space="preserve">HDFC Life Insurance Co Ltd</t>
  </si>
  <si>
    <t xml:space="preserve">HDFCLIFE</t>
  </si>
  <si>
    <t xml:space="preserve">HDFCLIFE IN</t>
  </si>
  <si>
    <t xml:space="preserve">INE795G01014</t>
  </si>
  <si>
    <t xml:space="preserve">Healthcare Global Enterprises Ltd</t>
  </si>
  <si>
    <t xml:space="preserve">HCG</t>
  </si>
  <si>
    <t xml:space="preserve">HCG IN</t>
  </si>
  <si>
    <t xml:space="preserve">INE075I01017</t>
  </si>
  <si>
    <t xml:space="preserve">HEG Ltd</t>
  </si>
  <si>
    <t xml:space="preserve">HEG</t>
  </si>
  <si>
    <t xml:space="preserve">HEG IN</t>
  </si>
  <si>
    <t xml:space="preserve">INE545A01016</t>
  </si>
  <si>
    <t xml:space="preserve">Heidelberg Cement India Ltd</t>
  </si>
  <si>
    <t xml:space="preserve">HEIDELBERG</t>
  </si>
  <si>
    <t xml:space="preserve">HEIM IN</t>
  </si>
  <si>
    <t xml:space="preserve">INE578A01017</t>
  </si>
  <si>
    <t xml:space="preserve">Hemisphere Properties India Ltd</t>
  </si>
  <si>
    <t xml:space="preserve">HEMIPROP</t>
  </si>
  <si>
    <t xml:space="preserve">HEMIPROP IN</t>
  </si>
  <si>
    <t xml:space="preserve">INE0AJG01018</t>
  </si>
  <si>
    <t xml:space="preserve">Heranba Industries Ltd</t>
  </si>
  <si>
    <t xml:space="preserve">HERANBA</t>
  </si>
  <si>
    <t xml:space="preserve">HERANBA IN</t>
  </si>
  <si>
    <t xml:space="preserve">INE694N01015</t>
  </si>
  <si>
    <t xml:space="preserve">Heritage Foods Ltd</t>
  </si>
  <si>
    <t xml:space="preserve">HERITGFOOD</t>
  </si>
  <si>
    <t xml:space="preserve">HTFL IN</t>
  </si>
  <si>
    <t xml:space="preserve">INE978A01027</t>
  </si>
  <si>
    <t xml:space="preserve">Hero MotoCorp Ltd</t>
  </si>
  <si>
    <t xml:space="preserve">HEROMOTOCO</t>
  </si>
  <si>
    <t xml:space="preserve">HMCL IN</t>
  </si>
  <si>
    <t xml:space="preserve">INE158A01026</t>
  </si>
  <si>
    <t xml:space="preserve">Hester Biosciences Ltd</t>
  </si>
  <si>
    <t xml:space="preserve">HESTERBIO</t>
  </si>
  <si>
    <t xml:space="preserve">HBIO IN</t>
  </si>
  <si>
    <t xml:space="preserve">INE782E01017</t>
  </si>
  <si>
    <t xml:space="preserve">Hexa Tradex Ltd</t>
  </si>
  <si>
    <t xml:space="preserve">HEXATRADEX</t>
  </si>
  <si>
    <t xml:space="preserve">HEXA IN</t>
  </si>
  <si>
    <t xml:space="preserve">INE750M01017</t>
  </si>
  <si>
    <t xml:space="preserve">HFCL Ltd</t>
  </si>
  <si>
    <t xml:space="preserve">HFCL</t>
  </si>
  <si>
    <t xml:space="preserve">HMFC IN</t>
  </si>
  <si>
    <t xml:space="preserve">INE548A01028</t>
  </si>
  <si>
    <t xml:space="preserve">Hikal Ltd</t>
  </si>
  <si>
    <t xml:space="preserve">HIKAL</t>
  </si>
  <si>
    <t xml:space="preserve">HKCI IN</t>
  </si>
  <si>
    <t xml:space="preserve">INE475B01022</t>
  </si>
  <si>
    <t xml:space="preserve">HIL Ltd</t>
  </si>
  <si>
    <t xml:space="preserve">HIL</t>
  </si>
  <si>
    <t xml:space="preserve">HIL IN</t>
  </si>
  <si>
    <t xml:space="preserve">INE557A01011</t>
  </si>
  <si>
    <t xml:space="preserve">Himadri Speciality Chemical Ltd</t>
  </si>
  <si>
    <t xml:space="preserve">HSCL</t>
  </si>
  <si>
    <t xml:space="preserve">HSCH IN</t>
  </si>
  <si>
    <t xml:space="preserve">INE019C01026</t>
  </si>
  <si>
    <t xml:space="preserve">Himatsingka Seide Ltd</t>
  </si>
  <si>
    <t xml:space="preserve">HIMATSEIDE</t>
  </si>
  <si>
    <t xml:space="preserve">HSS IN</t>
  </si>
  <si>
    <t xml:space="preserve">INE049A01027</t>
  </si>
  <si>
    <t xml:space="preserve">Hindalco Industries Ltd</t>
  </si>
  <si>
    <t xml:space="preserve">HINDALCO</t>
  </si>
  <si>
    <t xml:space="preserve">HNDL IN</t>
  </si>
  <si>
    <t xml:space="preserve">INE038A01020</t>
  </si>
  <si>
    <t xml:space="preserve">Hinduja Global Solutions Ltd</t>
  </si>
  <si>
    <t xml:space="preserve">HGS</t>
  </si>
  <si>
    <t xml:space="preserve">HGSL IN</t>
  </si>
  <si>
    <t xml:space="preserve">INE170I01016</t>
  </si>
  <si>
    <t xml:space="preserve">Hindustan Aeronautics Ltd</t>
  </si>
  <si>
    <t xml:space="preserve">HAL</t>
  </si>
  <si>
    <t xml:space="preserve">HNAL IN</t>
  </si>
  <si>
    <t xml:space="preserve">INE066F01012</t>
  </si>
  <si>
    <t xml:space="preserve">Hindustan Construction Company Ltd</t>
  </si>
  <si>
    <t xml:space="preserve">HCC</t>
  </si>
  <si>
    <t xml:space="preserve">HCC IN</t>
  </si>
  <si>
    <t xml:space="preserve">INE549A01026</t>
  </si>
  <si>
    <t xml:space="preserve">Hindustan Copper Ltd</t>
  </si>
  <si>
    <t xml:space="preserve">HINDCOPPER</t>
  </si>
  <si>
    <t xml:space="preserve">HCP IN</t>
  </si>
  <si>
    <t xml:space="preserve">INE531E01026</t>
  </si>
  <si>
    <t xml:space="preserve">Hindustan Foods Ltd</t>
  </si>
  <si>
    <t xml:space="preserve">HNDFDS</t>
  </si>
  <si>
    <t xml:space="preserve">HFD IN</t>
  </si>
  <si>
    <t xml:space="preserve">INE254N01018</t>
  </si>
  <si>
    <t xml:space="preserve">Hindustan Media Ventures Ltd</t>
  </si>
  <si>
    <t xml:space="preserve">HMVL</t>
  </si>
  <si>
    <t xml:space="preserve">HMVL IN</t>
  </si>
  <si>
    <t xml:space="preserve">INE871K01015</t>
  </si>
  <si>
    <t xml:space="preserve">Hindustan Oil Exploration Company Ltd</t>
  </si>
  <si>
    <t xml:space="preserve">HINDOILEXP</t>
  </si>
  <si>
    <t xml:space="preserve">HOE IN</t>
  </si>
  <si>
    <t xml:space="preserve">INE345A01011</t>
  </si>
  <si>
    <t xml:space="preserve">Hindustan Petroleum Corporation Ltd</t>
  </si>
  <si>
    <t xml:space="preserve">HINDPETRO</t>
  </si>
  <si>
    <t xml:space="preserve">HPCL IN</t>
  </si>
  <si>
    <t xml:space="preserve">INE094A01015</t>
  </si>
  <si>
    <t xml:space="preserve">Hindustan Unilever Ltd</t>
  </si>
  <si>
    <t xml:space="preserve">HINDUNILVR</t>
  </si>
  <si>
    <t xml:space="preserve">HUVR IN</t>
  </si>
  <si>
    <t xml:space="preserve">INE030A01027</t>
  </si>
  <si>
    <t xml:space="preserve">Hindustan Zinc Ltd</t>
  </si>
  <si>
    <t xml:space="preserve">HINDZINC</t>
  </si>
  <si>
    <t xml:space="preserve">HZ IN</t>
  </si>
  <si>
    <t xml:space="preserve">INE267A01025</t>
  </si>
  <si>
    <t xml:space="preserve">Hindusthan Urban Infrastructure Ltd</t>
  </si>
  <si>
    <t xml:space="preserve">HUIL IN</t>
  </si>
  <si>
    <t xml:space="preserve">INE799B01017</t>
  </si>
  <si>
    <t xml:space="preserve">Hitachi Energy India Ltd</t>
  </si>
  <si>
    <t xml:space="preserve">POWERINDIA</t>
  </si>
  <si>
    <t xml:space="preserve">POWERIND IN</t>
  </si>
  <si>
    <t xml:space="preserve">INE07Y701011</t>
  </si>
  <si>
    <t xml:space="preserve">Hitech Corporation Ltd</t>
  </si>
  <si>
    <t xml:space="preserve">HITECHCORP</t>
  </si>
  <si>
    <t xml:space="preserve">HTCORP IN</t>
  </si>
  <si>
    <t xml:space="preserve">INE120D01012</t>
  </si>
  <si>
    <t xml:space="preserve">Hi-Tech Pipes Ltd</t>
  </si>
  <si>
    <t xml:space="preserve">HITECH</t>
  </si>
  <si>
    <t xml:space="preserve">HITECH IN</t>
  </si>
  <si>
    <t xml:space="preserve">INE106T01017</t>
  </si>
  <si>
    <t xml:space="preserve">HLE Glascoat Ltd</t>
  </si>
  <si>
    <t xml:space="preserve">HLEGLAS</t>
  </si>
  <si>
    <t xml:space="preserve">HLEGLAS IN</t>
  </si>
  <si>
    <t xml:space="preserve">INE461D01010</t>
  </si>
  <si>
    <t xml:space="preserve">HLV Ltd</t>
  </si>
  <si>
    <t xml:space="preserve">HLVLTD</t>
  </si>
  <si>
    <t xml:space="preserve">LELA IN</t>
  </si>
  <si>
    <t xml:space="preserve">INE102A01024</t>
  </si>
  <si>
    <t xml:space="preserve">HMT Ltd</t>
  </si>
  <si>
    <t xml:space="preserve">HMT</t>
  </si>
  <si>
    <t xml:space="preserve">HMT IN</t>
  </si>
  <si>
    <t xml:space="preserve">INE262A01018</t>
  </si>
  <si>
    <t xml:space="preserve">Home First Finance Company India Ltd</t>
  </si>
  <si>
    <t xml:space="preserve">HOMEFIRST</t>
  </si>
  <si>
    <t xml:space="preserve">HOMEFIRS IN</t>
  </si>
  <si>
    <t xml:space="preserve">INE481N01025</t>
  </si>
  <si>
    <t xml:space="preserve">Honda India Power Products Ltd</t>
  </si>
  <si>
    <t xml:space="preserve">HONDAPOWER</t>
  </si>
  <si>
    <t xml:space="preserve">HONDAPWR IN</t>
  </si>
  <si>
    <t xml:space="preserve">INE634A01018</t>
  </si>
  <si>
    <t xml:space="preserve">Honeywell Automation India Ltd</t>
  </si>
  <si>
    <t xml:space="preserve">HONAUT</t>
  </si>
  <si>
    <t xml:space="preserve">HWA IN</t>
  </si>
  <si>
    <t xml:space="preserve">INE671A01010</t>
  </si>
  <si>
    <t xml:space="preserve">Housing &amp; Urban Development Corporation Ltd</t>
  </si>
  <si>
    <t xml:space="preserve">HUDCO</t>
  </si>
  <si>
    <t xml:space="preserve">HUDCO IN</t>
  </si>
  <si>
    <t xml:space="preserve">INE031A01017</t>
  </si>
  <si>
    <t xml:space="preserve">Housing Development Finance Corporation Ltd</t>
  </si>
  <si>
    <t xml:space="preserve">HDFC</t>
  </si>
  <si>
    <t xml:space="preserve">HDFC IN</t>
  </si>
  <si>
    <t xml:space="preserve">INE001A01036</t>
  </si>
  <si>
    <t xml:space="preserve">HP Adhesives Ltd</t>
  </si>
  <si>
    <t xml:space="preserve">HPAL</t>
  </si>
  <si>
    <t xml:space="preserve">HPAL IN</t>
  </si>
  <si>
    <t xml:space="preserve">INE0GSL01016</t>
  </si>
  <si>
    <t xml:space="preserve">HSIL Ltd</t>
  </si>
  <si>
    <t xml:space="preserve">HSIL</t>
  </si>
  <si>
    <t xml:space="preserve">HSI IN</t>
  </si>
  <si>
    <t xml:space="preserve">INE415A01038</t>
  </si>
  <si>
    <t xml:space="preserve">HT Media Ltd</t>
  </si>
  <si>
    <t xml:space="preserve">HTMEDIA</t>
  </si>
  <si>
    <t xml:space="preserve">HTML IN</t>
  </si>
  <si>
    <t xml:space="preserve">INE501G01024</t>
  </si>
  <si>
    <t xml:space="preserve">Huhtamaki India Ltd</t>
  </si>
  <si>
    <t xml:space="preserve">HUHTAMAKI</t>
  </si>
  <si>
    <t xml:space="preserve">HUIN IN</t>
  </si>
  <si>
    <t xml:space="preserve">INE275B01026</t>
  </si>
  <si>
    <t xml:space="preserve">ICICI Bank Ltd</t>
  </si>
  <si>
    <t xml:space="preserve">ICICIBANK</t>
  </si>
  <si>
    <t xml:space="preserve">ICICIBC IN</t>
  </si>
  <si>
    <t xml:space="preserve">INE090A01021</t>
  </si>
  <si>
    <t xml:space="preserve">ICICI Lombard General Insurance Company Ltd</t>
  </si>
  <si>
    <t xml:space="preserve">ICICIGI</t>
  </si>
  <si>
    <t xml:space="preserve">ICICIGI IN</t>
  </si>
  <si>
    <t xml:space="preserve">INE765G01017</t>
  </si>
  <si>
    <t xml:space="preserve">ICICI Prudential Life Insurance Company Ltd</t>
  </si>
  <si>
    <t xml:space="preserve">ICICIPRULI</t>
  </si>
  <si>
    <t xml:space="preserve">IPRU IN</t>
  </si>
  <si>
    <t xml:space="preserve">INE726G01019</t>
  </si>
  <si>
    <t xml:space="preserve">ICICI Securities Ltd</t>
  </si>
  <si>
    <t xml:space="preserve">ISEC</t>
  </si>
  <si>
    <t xml:space="preserve">ISEC IN</t>
  </si>
  <si>
    <t xml:space="preserve">INE763G01038</t>
  </si>
  <si>
    <t xml:space="preserve">ICRA Ltd</t>
  </si>
  <si>
    <t xml:space="preserve">ICRA</t>
  </si>
  <si>
    <t xml:space="preserve">ICRA IN</t>
  </si>
  <si>
    <t xml:space="preserve">INE725G01011</t>
  </si>
  <si>
    <t xml:space="preserve">IDBI Bank Ltd</t>
  </si>
  <si>
    <t xml:space="preserve">IDBI</t>
  </si>
  <si>
    <t xml:space="preserve">IDBI IN</t>
  </si>
  <si>
    <t xml:space="preserve">INE008A01015</t>
  </si>
  <si>
    <t xml:space="preserve">IDFC First Bank Ltd</t>
  </si>
  <si>
    <t xml:space="preserve">IDFCFIRSTB</t>
  </si>
  <si>
    <t xml:space="preserve">IDFCFB IN</t>
  </si>
  <si>
    <t xml:space="preserve">INE092T01019</t>
  </si>
  <si>
    <t xml:space="preserve">IDFC Ltd</t>
  </si>
  <si>
    <t xml:space="preserve">IDFC</t>
  </si>
  <si>
    <t xml:space="preserve">IDFC IN</t>
  </si>
  <si>
    <t xml:space="preserve">INE043D01016</t>
  </si>
  <si>
    <t xml:space="preserve">IFB Agro Industries Ltd</t>
  </si>
  <si>
    <t xml:space="preserve">IFBAGRO</t>
  </si>
  <si>
    <t xml:space="preserve">IFBA IN</t>
  </si>
  <si>
    <t xml:space="preserve">INE076C01018</t>
  </si>
  <si>
    <t xml:space="preserve">IFB Industries Ltd</t>
  </si>
  <si>
    <t xml:space="preserve">IFBIND</t>
  </si>
  <si>
    <t xml:space="preserve">IFBI IN</t>
  </si>
  <si>
    <t xml:space="preserve">INE559A01017</t>
  </si>
  <si>
    <t xml:space="preserve">IFCI Ltd</t>
  </si>
  <si>
    <t xml:space="preserve">IFCI</t>
  </si>
  <si>
    <t xml:space="preserve">IFCI IN</t>
  </si>
  <si>
    <t xml:space="preserve">INE039A01010</t>
  </si>
  <si>
    <t xml:space="preserve">IFGL Refractories Ltd</t>
  </si>
  <si>
    <t xml:space="preserve">IFGLEXPOR</t>
  </si>
  <si>
    <t xml:space="preserve">IFGLRF IN</t>
  </si>
  <si>
    <t xml:space="preserve">INE133Y01011</t>
  </si>
  <si>
    <t xml:space="preserve">IG Petrochemicals Ltd</t>
  </si>
  <si>
    <t xml:space="preserve">IGPL</t>
  </si>
  <si>
    <t xml:space="preserve">IGPL IN</t>
  </si>
  <si>
    <t xml:space="preserve">INE204A01010</t>
  </si>
  <si>
    <t xml:space="preserve">Igarashi Motors India Ltd</t>
  </si>
  <si>
    <t xml:space="preserve">IGARASHI</t>
  </si>
  <si>
    <t xml:space="preserve">IGM IN</t>
  </si>
  <si>
    <t xml:space="preserve">INE188B01013</t>
  </si>
  <si>
    <t xml:space="preserve">IIFL Finance Ltd</t>
  </si>
  <si>
    <t xml:space="preserve">IIFL</t>
  </si>
  <si>
    <t xml:space="preserve">IIFL IN</t>
  </si>
  <si>
    <t xml:space="preserve">INE530B01024</t>
  </si>
  <si>
    <t xml:space="preserve">IIFL Securities Ltd</t>
  </si>
  <si>
    <t xml:space="preserve">IIFLSEC</t>
  </si>
  <si>
    <t xml:space="preserve">IIFLSEC IN</t>
  </si>
  <si>
    <t xml:space="preserve">INE489L01022</t>
  </si>
  <si>
    <t xml:space="preserve">IIFL Wealth Management Ltd</t>
  </si>
  <si>
    <t xml:space="preserve">IIFLWAM</t>
  </si>
  <si>
    <t xml:space="preserve">IIFLWAM IN</t>
  </si>
  <si>
    <t xml:space="preserve">INE466L01020</t>
  </si>
  <si>
    <t xml:space="preserve">India Glycols Ltd</t>
  </si>
  <si>
    <t xml:space="preserve">INDIAGLYCO</t>
  </si>
  <si>
    <t xml:space="preserve">IGLY IN</t>
  </si>
  <si>
    <t xml:space="preserve">INE560A01015</t>
  </si>
  <si>
    <t xml:space="preserve">India Motor Parts &amp; Accessories Ltd</t>
  </si>
  <si>
    <t xml:space="preserve">IMPAL</t>
  </si>
  <si>
    <t xml:space="preserve">IMPL IN</t>
  </si>
  <si>
    <t xml:space="preserve">INE547E01014</t>
  </si>
  <si>
    <t xml:space="preserve">India Nippon Electricals Ltd</t>
  </si>
  <si>
    <t xml:space="preserve">INDNIPPON</t>
  </si>
  <si>
    <t xml:space="preserve">INE IN</t>
  </si>
  <si>
    <t xml:space="preserve">INE092B01025</t>
  </si>
  <si>
    <t xml:space="preserve">India Pesticides Ltd</t>
  </si>
  <si>
    <t xml:space="preserve">IPL</t>
  </si>
  <si>
    <t xml:space="preserve">IPL IN</t>
  </si>
  <si>
    <t xml:space="preserve">INE0D6701023</t>
  </si>
  <si>
    <t xml:space="preserve">India Power Corporation Ltd</t>
  </si>
  <si>
    <t xml:space="preserve">DPSCLTD</t>
  </si>
  <si>
    <t xml:space="preserve">DPSC IN</t>
  </si>
  <si>
    <t xml:space="preserve">INE360C01024</t>
  </si>
  <si>
    <t xml:space="preserve">India Tourism Development Corporation Ltd</t>
  </si>
  <si>
    <t xml:space="preserve">ITDC</t>
  </si>
  <si>
    <t xml:space="preserve">ITDC IN</t>
  </si>
  <si>
    <t xml:space="preserve">INE353K01014</t>
  </si>
  <si>
    <t xml:space="preserve">Indiabulls Housing Finance Ltd</t>
  </si>
  <si>
    <t xml:space="preserve">IBULHSGFIN</t>
  </si>
  <si>
    <t xml:space="preserve">IHFL IN</t>
  </si>
  <si>
    <t xml:space="preserve">INE148I01020</t>
  </si>
  <si>
    <t xml:space="preserve">Indiabulls Real Estate Ltd</t>
  </si>
  <si>
    <t xml:space="preserve">IBREALEST</t>
  </si>
  <si>
    <t xml:space="preserve">IBREL IN</t>
  </si>
  <si>
    <t xml:space="preserve">INE069I01010</t>
  </si>
  <si>
    <t xml:space="preserve">Indiamart Intermesh Ltd</t>
  </si>
  <si>
    <t xml:space="preserve">INDIAMART</t>
  </si>
  <si>
    <t xml:space="preserve">INMART IN</t>
  </si>
  <si>
    <t xml:space="preserve">INE933S01016</t>
  </si>
  <si>
    <t xml:space="preserve">Indian Bank</t>
  </si>
  <si>
    <t xml:space="preserve">INDIANB</t>
  </si>
  <si>
    <t xml:space="preserve">INBK IN</t>
  </si>
  <si>
    <t xml:space="preserve">INE562A01011</t>
  </si>
  <si>
    <t xml:space="preserve">Indian Energy Exchange Ltd</t>
  </si>
  <si>
    <t xml:space="preserve">IEX</t>
  </si>
  <si>
    <t xml:space="preserve">IEX IN</t>
  </si>
  <si>
    <t xml:space="preserve">INE022Q01020</t>
  </si>
  <si>
    <t xml:space="preserve">Indian Hume Pipe Company Ltd</t>
  </si>
  <si>
    <t xml:space="preserve">INDIANHUME</t>
  </si>
  <si>
    <t xml:space="preserve">INHP IN</t>
  </si>
  <si>
    <t xml:space="preserve">INE323C01030</t>
  </si>
  <si>
    <t xml:space="preserve">Indian Infotech &amp; Software Ltd</t>
  </si>
  <si>
    <t xml:space="preserve">INL IN</t>
  </si>
  <si>
    <t xml:space="preserve">INE300B01022</t>
  </si>
  <si>
    <t xml:space="preserve">Indian Metals &amp; Ferro Alloys Ltd</t>
  </si>
  <si>
    <t xml:space="preserve">IMFA</t>
  </si>
  <si>
    <t xml:space="preserve">IMFA IN</t>
  </si>
  <si>
    <t xml:space="preserve">INE919H01018</t>
  </si>
  <si>
    <t xml:space="preserve">Indian Oil Corporation Ltd</t>
  </si>
  <si>
    <t xml:space="preserve">IOC</t>
  </si>
  <si>
    <t xml:space="preserve">IOCL IN</t>
  </si>
  <si>
    <t xml:space="preserve">INE242A01010</t>
  </si>
  <si>
    <t xml:space="preserve">Indian Overseas Bank</t>
  </si>
  <si>
    <t xml:space="preserve">IOB</t>
  </si>
  <si>
    <t xml:space="preserve">IOB IN</t>
  </si>
  <si>
    <t xml:space="preserve">INE565A01014</t>
  </si>
  <si>
    <t xml:space="preserve">Indian Railway Catering And Tourism Corporation Ltd</t>
  </si>
  <si>
    <t xml:space="preserve">IRCTC</t>
  </si>
  <si>
    <t xml:space="preserve">IRCTC IN</t>
  </si>
  <si>
    <t xml:space="preserve">INE335Y01020</t>
  </si>
  <si>
    <t xml:space="preserve">Indian Railway Finance Corporation Ltd</t>
  </si>
  <si>
    <t xml:space="preserve">IRFC</t>
  </si>
  <si>
    <t xml:space="preserve">IRFC IN</t>
  </si>
  <si>
    <t xml:space="preserve">INE053F01010</t>
  </si>
  <si>
    <t xml:space="preserve">Indigo Paints Ltd</t>
  </si>
  <si>
    <t xml:space="preserve">INDIGOPNTS</t>
  </si>
  <si>
    <t xml:space="preserve">INDIGOPN IN</t>
  </si>
  <si>
    <t xml:space="preserve">INE09VQ01012</t>
  </si>
  <si>
    <t xml:space="preserve">Indo Amines Ltd</t>
  </si>
  <si>
    <t xml:space="preserve">INAM IN</t>
  </si>
  <si>
    <t xml:space="preserve">INE760F01010</t>
  </si>
  <si>
    <t xml:space="preserve">Indo Count Industries Ltd</t>
  </si>
  <si>
    <t xml:space="preserve">ICIL</t>
  </si>
  <si>
    <t xml:space="preserve">ICNT IN</t>
  </si>
  <si>
    <t xml:space="preserve">INE483B01026</t>
  </si>
  <si>
    <t xml:space="preserve">Indo Rama Synthetics (India) Ltd</t>
  </si>
  <si>
    <t xml:space="preserve">INDORAMA</t>
  </si>
  <si>
    <t xml:space="preserve">IRS IN</t>
  </si>
  <si>
    <t xml:space="preserve">INE156A01020</t>
  </si>
  <si>
    <t xml:space="preserve">Indoco Remedies Ltd</t>
  </si>
  <si>
    <t xml:space="preserve">INDOCO</t>
  </si>
  <si>
    <t xml:space="preserve">INDR IN</t>
  </si>
  <si>
    <t xml:space="preserve">INE873D01024</t>
  </si>
  <si>
    <t xml:space="preserve">Indostar Capital Finance Ltd</t>
  </si>
  <si>
    <t xml:space="preserve">INDOSTAR</t>
  </si>
  <si>
    <t xml:space="preserve">INDOSTAR IN</t>
  </si>
  <si>
    <t xml:space="preserve">INE896L01010</t>
  </si>
  <si>
    <t xml:space="preserve">Indraprastha Gas Ltd</t>
  </si>
  <si>
    <t xml:space="preserve">IGL</t>
  </si>
  <si>
    <t xml:space="preserve">IGL IN</t>
  </si>
  <si>
    <t xml:space="preserve">INE203G01027</t>
  </si>
  <si>
    <t xml:space="preserve">Indraprastha Medical Corporation Ltd</t>
  </si>
  <si>
    <t xml:space="preserve">INDRAMEDCO</t>
  </si>
  <si>
    <t xml:space="preserve">IPMC IN</t>
  </si>
  <si>
    <t xml:space="preserve">INE681B01017</t>
  </si>
  <si>
    <t xml:space="preserve">Indus Towers Ltd</t>
  </si>
  <si>
    <t xml:space="preserve">INDUSTOWER</t>
  </si>
  <si>
    <t xml:space="preserve">INDUSTOW IN</t>
  </si>
  <si>
    <t xml:space="preserve">INE121J01017</t>
  </si>
  <si>
    <t xml:space="preserve">IndusInd Bank Ltd</t>
  </si>
  <si>
    <t xml:space="preserve">INDUSINDBK</t>
  </si>
  <si>
    <t xml:space="preserve">IIB IN</t>
  </si>
  <si>
    <t xml:space="preserve">INE095A01012</t>
  </si>
  <si>
    <t xml:space="preserve">INEOS Styrolution India Ltd</t>
  </si>
  <si>
    <t xml:space="preserve">INEOSSTYRO</t>
  </si>
  <si>
    <t xml:space="preserve">INEOS IN</t>
  </si>
  <si>
    <t xml:space="preserve">INE189B01011</t>
  </si>
  <si>
    <t xml:space="preserve">Infibeam Avenues Ltd</t>
  </si>
  <si>
    <t xml:space="preserve">INFIBEAM</t>
  </si>
  <si>
    <t xml:space="preserve">INFIBEAM IN</t>
  </si>
  <si>
    <t xml:space="preserve">INE483S01020</t>
  </si>
  <si>
    <t xml:space="preserve">Info Edge (India) Ltd</t>
  </si>
  <si>
    <t xml:space="preserve">NAUKRI</t>
  </si>
  <si>
    <t xml:space="preserve">INFOE IN</t>
  </si>
  <si>
    <t xml:space="preserve">INE663F01024</t>
  </si>
  <si>
    <t xml:space="preserve">Infobeans Technologies Ltd</t>
  </si>
  <si>
    <t xml:space="preserve">INFOBEAN</t>
  </si>
  <si>
    <t xml:space="preserve">INBT IN</t>
  </si>
  <si>
    <t xml:space="preserve">INE344S01016</t>
  </si>
  <si>
    <t xml:space="preserve">Infosys Ltd</t>
  </si>
  <si>
    <t xml:space="preserve">INFY</t>
  </si>
  <si>
    <t xml:space="preserve">INFO IN</t>
  </si>
  <si>
    <t xml:space="preserve">INE009A01021</t>
  </si>
  <si>
    <t xml:space="preserve">Ingersoll-Rand (India) Ltd</t>
  </si>
  <si>
    <t xml:space="preserve">INGERRAND</t>
  </si>
  <si>
    <t xml:space="preserve">INGR IN</t>
  </si>
  <si>
    <t xml:space="preserve">INE177A01018</t>
  </si>
  <si>
    <t xml:space="preserve">Inox Leisure Ltd</t>
  </si>
  <si>
    <t xml:space="preserve">INOXLEISUR</t>
  </si>
  <si>
    <t xml:space="preserve">INOL IN</t>
  </si>
  <si>
    <t xml:space="preserve">INE312H01016</t>
  </si>
  <si>
    <t xml:space="preserve">Inox Wind Energy Ltd</t>
  </si>
  <si>
    <t xml:space="preserve">IWEL</t>
  </si>
  <si>
    <t xml:space="preserve">IWEL IN</t>
  </si>
  <si>
    <t xml:space="preserve">INE0FLR01028</t>
  </si>
  <si>
    <t xml:space="preserve">Inox Wind Ltd</t>
  </si>
  <si>
    <t xml:space="preserve">INOXWIND</t>
  </si>
  <si>
    <t xml:space="preserve">INXW IN</t>
  </si>
  <si>
    <t xml:space="preserve">INE066P01011</t>
  </si>
  <si>
    <t xml:space="preserve">Insecticides (India) Ltd</t>
  </si>
  <si>
    <t xml:space="preserve">INSECTICID</t>
  </si>
  <si>
    <t xml:space="preserve">INST IN</t>
  </si>
  <si>
    <t xml:space="preserve">INE070I01018</t>
  </si>
  <si>
    <t xml:space="preserve">Intellect Design Arena Ltd</t>
  </si>
  <si>
    <t xml:space="preserve">INTELLECT</t>
  </si>
  <si>
    <t xml:space="preserve">INDA IN</t>
  </si>
  <si>
    <t xml:space="preserve">INE306R01017</t>
  </si>
  <si>
    <t xml:space="preserve">Interglobe Aviation Ltd</t>
  </si>
  <si>
    <t xml:space="preserve">INDIGO</t>
  </si>
  <si>
    <t xml:space="preserve">INDIGO IN</t>
  </si>
  <si>
    <t xml:space="preserve">INE646L01027</t>
  </si>
  <si>
    <t xml:space="preserve">IOL Chemicals And Pharmaceuticals Ltd</t>
  </si>
  <si>
    <t xml:space="preserve">IOLCP</t>
  </si>
  <si>
    <t xml:space="preserve">ICP IN</t>
  </si>
  <si>
    <t xml:space="preserve">INE485C01011</t>
  </si>
  <si>
    <t xml:space="preserve">Ion Exchange (India) Ltd</t>
  </si>
  <si>
    <t xml:space="preserve">IONEXCHANG</t>
  </si>
  <si>
    <t xml:space="preserve">ION IN</t>
  </si>
  <si>
    <t xml:space="preserve">INE570A01014</t>
  </si>
  <si>
    <t xml:space="preserve">Ipca Laboratories Ltd</t>
  </si>
  <si>
    <t xml:space="preserve">IPCALAB</t>
  </si>
  <si>
    <t xml:space="preserve">IPCA IN</t>
  </si>
  <si>
    <t xml:space="preserve">INE571A01020</t>
  </si>
  <si>
    <t xml:space="preserve">IRB Infrastructure Developers Ltd</t>
  </si>
  <si>
    <t xml:space="preserve">IRB</t>
  </si>
  <si>
    <t xml:space="preserve">IRB IN</t>
  </si>
  <si>
    <t xml:space="preserve">INE821I01014</t>
  </si>
  <si>
    <t xml:space="preserve">Ircon International Ltd</t>
  </si>
  <si>
    <t xml:space="preserve">IRCON</t>
  </si>
  <si>
    <t xml:space="preserve">IRCON IN</t>
  </si>
  <si>
    <t xml:space="preserve">INE962Y01021</t>
  </si>
  <si>
    <t xml:space="preserve">ISGEC Heavy Engineering Ltd</t>
  </si>
  <si>
    <t xml:space="preserve">ISGEC</t>
  </si>
  <si>
    <t xml:space="preserve">IGSEC IN</t>
  </si>
  <si>
    <t xml:space="preserve">INE858B01029</t>
  </si>
  <si>
    <t xml:space="preserve">ISMT Ltd</t>
  </si>
  <si>
    <t xml:space="preserve">ISMTLTD</t>
  </si>
  <si>
    <t xml:space="preserve">ISMT IN</t>
  </si>
  <si>
    <t xml:space="preserve">INE732F01019</t>
  </si>
  <si>
    <t xml:space="preserve">IST Ltd</t>
  </si>
  <si>
    <t xml:space="preserve">IST IN</t>
  </si>
  <si>
    <t xml:space="preserve">INE684B01029</t>
  </si>
  <si>
    <t xml:space="preserve">ITC Ltd</t>
  </si>
  <si>
    <t xml:space="preserve">ITC</t>
  </si>
  <si>
    <t xml:space="preserve">ITC IN</t>
  </si>
  <si>
    <t xml:space="preserve">INE154A01025</t>
  </si>
  <si>
    <t xml:space="preserve">ITD Cementation India Ltd</t>
  </si>
  <si>
    <t xml:space="preserve">ITDCEM</t>
  </si>
  <si>
    <t xml:space="preserve">ITCE IN</t>
  </si>
  <si>
    <t xml:space="preserve">INE686A01026</t>
  </si>
  <si>
    <t xml:space="preserve">ITI Ltd</t>
  </si>
  <si>
    <t xml:space="preserve">ITI</t>
  </si>
  <si>
    <t xml:space="preserve">ITI IN</t>
  </si>
  <si>
    <t xml:space="preserve">INE248A01017</t>
  </si>
  <si>
    <t xml:space="preserve">J Kumar Infraprojects Ltd</t>
  </si>
  <si>
    <t xml:space="preserve">JKIL</t>
  </si>
  <si>
    <t xml:space="preserve">JKIL IN</t>
  </si>
  <si>
    <t xml:space="preserve">INE576I01022</t>
  </si>
  <si>
    <t xml:space="preserve">Jagran Prakashan Ltd</t>
  </si>
  <si>
    <t xml:space="preserve">JAGRAN</t>
  </si>
  <si>
    <t xml:space="preserve">JAGP IN</t>
  </si>
  <si>
    <t xml:space="preserve">INE199G01027</t>
  </si>
  <si>
    <t xml:space="preserve">Jai Balaji Industries Ltd</t>
  </si>
  <si>
    <t xml:space="preserve">JAIBALAJI</t>
  </si>
  <si>
    <t xml:space="preserve">JBIL IN</t>
  </si>
  <si>
    <t xml:space="preserve">INE091G01018</t>
  </si>
  <si>
    <t xml:space="preserve">Jai Corp Ltd</t>
  </si>
  <si>
    <t xml:space="preserve">JAICORPLTD</t>
  </si>
  <si>
    <t xml:space="preserve">JFI IN</t>
  </si>
  <si>
    <t xml:space="preserve">INE070D01027</t>
  </si>
  <si>
    <t xml:space="preserve">Jain Irrigation Systems Ltd</t>
  </si>
  <si>
    <t xml:space="preserve">JISLJALEQS</t>
  </si>
  <si>
    <t xml:space="preserve">JI IN</t>
  </si>
  <si>
    <t xml:space="preserve">INE175A01038</t>
  </si>
  <si>
    <t xml:space="preserve">Jaiprakash Associates Ltd</t>
  </si>
  <si>
    <t xml:space="preserve">JPASSOCIAT</t>
  </si>
  <si>
    <t xml:space="preserve">JPA IN</t>
  </si>
  <si>
    <t xml:space="preserve">INE455F01025</t>
  </si>
  <si>
    <t xml:space="preserve">Jaiprakash Power Ventures Ltd</t>
  </si>
  <si>
    <t xml:space="preserve">JPPOWER</t>
  </si>
  <si>
    <t xml:space="preserve">JPVL IN</t>
  </si>
  <si>
    <t xml:space="preserve">INE351F01018</t>
  </si>
  <si>
    <t xml:space="preserve">Jamna Auto Industries Ltd</t>
  </si>
  <si>
    <t xml:space="preserve">JAMNAAUTO</t>
  </si>
  <si>
    <t xml:space="preserve">JMNA IN</t>
  </si>
  <si>
    <t xml:space="preserve">INE039C01032</t>
  </si>
  <si>
    <t xml:space="preserve">Jash Engineering Ltd</t>
  </si>
  <si>
    <t xml:space="preserve">JASH</t>
  </si>
  <si>
    <t xml:space="preserve">JASH IN</t>
  </si>
  <si>
    <t xml:space="preserve">INE039O01011</t>
  </si>
  <si>
    <t xml:space="preserve">Jay Bharat Maruti Ltd</t>
  </si>
  <si>
    <t xml:space="preserve">JAYBARMARU</t>
  </si>
  <si>
    <t xml:space="preserve">JBM IN</t>
  </si>
  <si>
    <t xml:space="preserve">INE571B01028</t>
  </si>
  <si>
    <t xml:space="preserve">Jayant Agro-Organics Ltd</t>
  </si>
  <si>
    <t xml:space="preserve">JAYAGROGN</t>
  </si>
  <si>
    <t xml:space="preserve">JAO IN</t>
  </si>
  <si>
    <t xml:space="preserve">INE785A01026</t>
  </si>
  <si>
    <t xml:space="preserve">Jayaswal Neco Industries Ltd</t>
  </si>
  <si>
    <t xml:space="preserve">JAYNECOIND</t>
  </si>
  <si>
    <t xml:space="preserve">NGE IN</t>
  </si>
  <si>
    <t xml:space="preserve">INE854B01010</t>
  </si>
  <si>
    <t xml:space="preserve">JB Chemicals &amp; Pharmaceuticals Ltd</t>
  </si>
  <si>
    <t xml:space="preserve">JBCHEPHARM</t>
  </si>
  <si>
    <t xml:space="preserve">JBCP IN</t>
  </si>
  <si>
    <t xml:space="preserve">INE572A01028</t>
  </si>
  <si>
    <t xml:space="preserve">JBM Auto Ltd</t>
  </si>
  <si>
    <t xml:space="preserve">JBMA</t>
  </si>
  <si>
    <t xml:space="preserve">JBMA IN</t>
  </si>
  <si>
    <t xml:space="preserve">INE927D01028</t>
  </si>
  <si>
    <t xml:space="preserve">JCT Ltd</t>
  </si>
  <si>
    <t xml:space="preserve">JCT</t>
  </si>
  <si>
    <t xml:space="preserve">JCT IN</t>
  </si>
  <si>
    <t xml:space="preserve">INE945A01026</t>
  </si>
  <si>
    <t xml:space="preserve">Jet Airways (India) Ltd</t>
  </si>
  <si>
    <t xml:space="preserve">JETAIRWAYS</t>
  </si>
  <si>
    <t xml:space="preserve">JETIN IN</t>
  </si>
  <si>
    <t xml:space="preserve">INE802G01018</t>
  </si>
  <si>
    <t xml:space="preserve">Jindal Poly Films Ltd</t>
  </si>
  <si>
    <t xml:space="preserve">JINDALPOLY</t>
  </si>
  <si>
    <t xml:space="preserve">JDPF IN</t>
  </si>
  <si>
    <t xml:space="preserve">INE197D01010</t>
  </si>
  <si>
    <t xml:space="preserve">Jindal Saw Ltd</t>
  </si>
  <si>
    <t xml:space="preserve">JINDALSAW</t>
  </si>
  <si>
    <t xml:space="preserve">JSAW IN</t>
  </si>
  <si>
    <t xml:space="preserve">INE324A01024</t>
  </si>
  <si>
    <t xml:space="preserve">Jindal Stainless (Hisar) Ltd</t>
  </si>
  <si>
    <t xml:space="preserve">JSLHISAR</t>
  </si>
  <si>
    <t xml:space="preserve">JSHL IN</t>
  </si>
  <si>
    <t xml:space="preserve">INE455T01018</t>
  </si>
  <si>
    <t xml:space="preserve">Jindal Stainless Ltd</t>
  </si>
  <si>
    <t xml:space="preserve">JSL</t>
  </si>
  <si>
    <t xml:space="preserve">JDSL IN</t>
  </si>
  <si>
    <t xml:space="preserve">INE220G01021</t>
  </si>
  <si>
    <t xml:space="preserve">Jindal Steel &amp; Power Ltd</t>
  </si>
  <si>
    <t xml:space="preserve">JINDALSTEL</t>
  </si>
  <si>
    <t xml:space="preserve">JSP IN</t>
  </si>
  <si>
    <t xml:space="preserve">INE749A01030</t>
  </si>
  <si>
    <t xml:space="preserve">Jindal Worldwide Ltd</t>
  </si>
  <si>
    <t xml:space="preserve">JINDWORLD</t>
  </si>
  <si>
    <t xml:space="preserve">JINW IN</t>
  </si>
  <si>
    <t xml:space="preserve">INE247D01039</t>
  </si>
  <si>
    <t xml:space="preserve">JK Cement Ltd</t>
  </si>
  <si>
    <t xml:space="preserve">JKCEMENT</t>
  </si>
  <si>
    <t xml:space="preserve">JKCE IN</t>
  </si>
  <si>
    <t xml:space="preserve">INE823G01014</t>
  </si>
  <si>
    <t xml:space="preserve">JK Lakshmi Cement Ltd</t>
  </si>
  <si>
    <t xml:space="preserve">JKLAKSHMI</t>
  </si>
  <si>
    <t xml:space="preserve">JKLC IN</t>
  </si>
  <si>
    <t xml:space="preserve">INE786A01032</t>
  </si>
  <si>
    <t xml:space="preserve">JK Paper Ltd</t>
  </si>
  <si>
    <t xml:space="preserve">JKPAPER</t>
  </si>
  <si>
    <t xml:space="preserve">JKPAPER IN</t>
  </si>
  <si>
    <t xml:space="preserve">INE789E01012</t>
  </si>
  <si>
    <t xml:space="preserve">JK Tyre &amp; Industries Ltd</t>
  </si>
  <si>
    <t xml:space="preserve">JKTYRE</t>
  </si>
  <si>
    <t xml:space="preserve">JKI IN</t>
  </si>
  <si>
    <t xml:space="preserve">INE573A01042</t>
  </si>
  <si>
    <t xml:space="preserve">JM Financial Ltd</t>
  </si>
  <si>
    <t xml:space="preserve">JMFINANCIL</t>
  </si>
  <si>
    <t xml:space="preserve">JM IN</t>
  </si>
  <si>
    <t xml:space="preserve">INE780C01023</t>
  </si>
  <si>
    <t xml:space="preserve">JMC Projects (India) Ltd</t>
  </si>
  <si>
    <t xml:space="preserve">JMCPROJECT</t>
  </si>
  <si>
    <t xml:space="preserve">JMCP IN</t>
  </si>
  <si>
    <t xml:space="preserve">INE890A01024</t>
  </si>
  <si>
    <t xml:space="preserve">John Cockrill India Ltd</t>
  </si>
  <si>
    <t xml:space="preserve">FLATPROD</t>
  </si>
  <si>
    <t xml:space="preserve">FPE IN</t>
  </si>
  <si>
    <t xml:space="preserve">INE515A01019</t>
  </si>
  <si>
    <t xml:space="preserve">Johnson Controls - Hitachi Air Conditioning India Ltd</t>
  </si>
  <si>
    <t xml:space="preserve">JCHAC</t>
  </si>
  <si>
    <t xml:space="preserve">JCHAC IN</t>
  </si>
  <si>
    <t xml:space="preserve">INE782A01015</t>
  </si>
  <si>
    <t xml:space="preserve">JSW Energy Ltd</t>
  </si>
  <si>
    <t xml:space="preserve">JSWENERGY</t>
  </si>
  <si>
    <t xml:space="preserve">JSW IN</t>
  </si>
  <si>
    <t xml:space="preserve">INE121E01018</t>
  </si>
  <si>
    <t xml:space="preserve">JSW Holdings Ltd</t>
  </si>
  <si>
    <t xml:space="preserve">JSWHL</t>
  </si>
  <si>
    <t xml:space="preserve">SWH IN</t>
  </si>
  <si>
    <t xml:space="preserve">INE824G01012</t>
  </si>
  <si>
    <t xml:space="preserve">JSW Ispat Special Products Ltd</t>
  </si>
  <si>
    <t xml:space="preserve">JSWISPL</t>
  </si>
  <si>
    <t xml:space="preserve">JSWISPL IN</t>
  </si>
  <si>
    <t xml:space="preserve">INE743C01021</t>
  </si>
  <si>
    <t xml:space="preserve">JSW Steel Ltd</t>
  </si>
  <si>
    <t xml:space="preserve">JSWSTEEL</t>
  </si>
  <si>
    <t xml:space="preserve">JSTL IN</t>
  </si>
  <si>
    <t xml:space="preserve">INE019A01038</t>
  </si>
  <si>
    <t xml:space="preserve">JTEKT India Ltd</t>
  </si>
  <si>
    <t xml:space="preserve">JTEKTINDIA</t>
  </si>
  <si>
    <t xml:space="preserve">JTEKT IN</t>
  </si>
  <si>
    <t xml:space="preserve">INE643A01035</t>
  </si>
  <si>
    <t xml:space="preserve">JTL Infra Ltd</t>
  </si>
  <si>
    <t xml:space="preserve">JTLINFRA</t>
  </si>
  <si>
    <t xml:space="preserve">JTL IN</t>
  </si>
  <si>
    <t xml:space="preserve">INE391J01024</t>
  </si>
  <si>
    <t xml:space="preserve">Jubilant FoodWorks Ltd</t>
  </si>
  <si>
    <t xml:space="preserve">JUBLFOOD</t>
  </si>
  <si>
    <t xml:space="preserve">JUBI IN</t>
  </si>
  <si>
    <t xml:space="preserve">INE797F01012</t>
  </si>
  <si>
    <t xml:space="preserve">Jubilant Industries Ltd</t>
  </si>
  <si>
    <t xml:space="preserve">JUBLINDS</t>
  </si>
  <si>
    <t xml:space="preserve">JIND IN</t>
  </si>
  <si>
    <t xml:space="preserve">INE645L01011</t>
  </si>
  <si>
    <t xml:space="preserve">Jubilant Ingrevia Ltd</t>
  </si>
  <si>
    <t xml:space="preserve">JUBLINGREA</t>
  </si>
  <si>
    <t xml:space="preserve">JUBLINGR IN</t>
  </si>
  <si>
    <t xml:space="preserve">INE0BY001018</t>
  </si>
  <si>
    <t xml:space="preserve">Jubilant Pharmova Ltd</t>
  </si>
  <si>
    <t xml:space="preserve">JUBLPHARMA</t>
  </si>
  <si>
    <t xml:space="preserve">JUBLPHAR IN</t>
  </si>
  <si>
    <t xml:space="preserve">INE700A01033</t>
  </si>
  <si>
    <t xml:space="preserve">Just Dial Ltd</t>
  </si>
  <si>
    <t xml:space="preserve">JUSTDIAL</t>
  </si>
  <si>
    <t xml:space="preserve">JUST IN</t>
  </si>
  <si>
    <t xml:space="preserve">INE599M01018</t>
  </si>
  <si>
    <t xml:space="preserve">Jyothy Labs Ltd</t>
  </si>
  <si>
    <t xml:space="preserve">JYOTHYLAB</t>
  </si>
  <si>
    <t xml:space="preserve">JYL IN</t>
  </si>
  <si>
    <t xml:space="preserve">INE668F01031</t>
  </si>
  <si>
    <t xml:space="preserve">Jyoti Structures Ltd</t>
  </si>
  <si>
    <t xml:space="preserve">JYOTISTRUC</t>
  </si>
  <si>
    <t xml:space="preserve">JYS IN</t>
  </si>
  <si>
    <t xml:space="preserve">INE197A01024</t>
  </si>
  <si>
    <t xml:space="preserve">KPRMill Ltd</t>
  </si>
  <si>
    <t xml:space="preserve">KPRMILL</t>
  </si>
  <si>
    <t xml:space="preserve">KPR IN</t>
  </si>
  <si>
    <t xml:space="preserve">INE930H01031</t>
  </si>
  <si>
    <t xml:space="preserve">Kabra Extrusiontechnik Ltd</t>
  </si>
  <si>
    <t xml:space="preserve">KABRAEXTRU</t>
  </si>
  <si>
    <t xml:space="preserve">KE IN</t>
  </si>
  <si>
    <t xml:space="preserve">INE900B01029</t>
  </si>
  <si>
    <t xml:space="preserve">Kajaria Ceramics Ltd</t>
  </si>
  <si>
    <t xml:space="preserve">KAJARIACER</t>
  </si>
  <si>
    <t xml:space="preserve">KJC IN</t>
  </si>
  <si>
    <t xml:space="preserve">INE217B01036</t>
  </si>
  <si>
    <t xml:space="preserve">Kalpataru Power Transmission Ltd</t>
  </si>
  <si>
    <t xml:space="preserve">KALPATPOWR</t>
  </si>
  <si>
    <t xml:space="preserve">KPP IN</t>
  </si>
  <si>
    <t xml:space="preserve">INE220B01022</t>
  </si>
  <si>
    <t xml:space="preserve">Kalyan Jewellers India Ltd</t>
  </si>
  <si>
    <t xml:space="preserve">KALYANKJIL</t>
  </si>
  <si>
    <t xml:space="preserve">KALYANKJ IN</t>
  </si>
  <si>
    <t xml:space="preserve">INE303R01014</t>
  </si>
  <si>
    <t xml:space="preserve">Kalyani Investment Company Ltd</t>
  </si>
  <si>
    <t xml:space="preserve">KICL</t>
  </si>
  <si>
    <t xml:space="preserve">KALY IN</t>
  </si>
  <si>
    <t xml:space="preserve">INE029L01018</t>
  </si>
  <si>
    <t xml:space="preserve">Kalyani Steels Ltd</t>
  </si>
  <si>
    <t xml:space="preserve">KSL</t>
  </si>
  <si>
    <t xml:space="preserve">KS IN</t>
  </si>
  <si>
    <t xml:space="preserve">INE907A01026</t>
  </si>
  <si>
    <t xml:space="preserve">Kama Holdings Ltd</t>
  </si>
  <si>
    <t xml:space="preserve">KHL IN</t>
  </si>
  <si>
    <t xml:space="preserve">INE411F01010</t>
  </si>
  <si>
    <t xml:space="preserve">Kamdhenu Ltd</t>
  </si>
  <si>
    <t xml:space="preserve">KAMDHENU</t>
  </si>
  <si>
    <t xml:space="preserve">KAMD IN</t>
  </si>
  <si>
    <t xml:space="preserve">INE390H01012</t>
  </si>
  <si>
    <t xml:space="preserve">Kanoria Chemicals &amp; Industries Ltd</t>
  </si>
  <si>
    <t xml:space="preserve">KANORICHEM</t>
  </si>
  <si>
    <t xml:space="preserve">KC IN</t>
  </si>
  <si>
    <t xml:space="preserve">INE138C01024</t>
  </si>
  <si>
    <t xml:space="preserve">Kansai Nerolac Paints Ltd</t>
  </si>
  <si>
    <t xml:space="preserve">KANSAINER</t>
  </si>
  <si>
    <t xml:space="preserve">KNPL IN</t>
  </si>
  <si>
    <t xml:space="preserve">INE531A01024</t>
  </si>
  <si>
    <t xml:space="preserve">Karur Vysya Bank Ltd</t>
  </si>
  <si>
    <t xml:space="preserve">KARURVYSYA</t>
  </si>
  <si>
    <t xml:space="preserve">KVB IN</t>
  </si>
  <si>
    <t xml:space="preserve">INE036D01028</t>
  </si>
  <si>
    <t xml:space="preserve">Kaveri Seed Company Ltd</t>
  </si>
  <si>
    <t xml:space="preserve">KSCL</t>
  </si>
  <si>
    <t xml:space="preserve">KSCL IN</t>
  </si>
  <si>
    <t xml:space="preserve">INE455I01029</t>
  </si>
  <si>
    <t xml:space="preserve">Kaya Ltd</t>
  </si>
  <si>
    <t xml:space="preserve">KAYA</t>
  </si>
  <si>
    <t xml:space="preserve">KAYA IN</t>
  </si>
  <si>
    <t xml:space="preserve">INE587G01015</t>
  </si>
  <si>
    <t xml:space="preserve">KBC Global Ltd</t>
  </si>
  <si>
    <t xml:space="preserve">KBCGLOBAL</t>
  </si>
  <si>
    <t xml:space="preserve">KARDA IN</t>
  </si>
  <si>
    <t xml:space="preserve">INE278R01034</t>
  </si>
  <si>
    <t xml:space="preserve">KCP Ltd</t>
  </si>
  <si>
    <t xml:space="preserve">KCP</t>
  </si>
  <si>
    <t xml:space="preserve">KCPL IN</t>
  </si>
  <si>
    <t xml:space="preserve">INE805C01028</t>
  </si>
  <si>
    <t xml:space="preserve">KDDL Ltd</t>
  </si>
  <si>
    <t xml:space="preserve">KDDL</t>
  </si>
  <si>
    <t xml:space="preserve">KDDL IN</t>
  </si>
  <si>
    <t xml:space="preserve">INE291D01011</t>
  </si>
  <si>
    <t xml:space="preserve">KEC International Ltd</t>
  </si>
  <si>
    <t xml:space="preserve">KEC</t>
  </si>
  <si>
    <t xml:space="preserve">KECI IN</t>
  </si>
  <si>
    <t xml:space="preserve">INE389H01022</t>
  </si>
  <si>
    <t xml:space="preserve">KEI Industries Ltd</t>
  </si>
  <si>
    <t xml:space="preserve">KEI</t>
  </si>
  <si>
    <t xml:space="preserve">KEII IN</t>
  </si>
  <si>
    <t xml:space="preserve">INE878B01027</t>
  </si>
  <si>
    <t xml:space="preserve">Kellton Tech Solutions Ltd</t>
  </si>
  <si>
    <t xml:space="preserve">KELLTONTEC</t>
  </si>
  <si>
    <t xml:space="preserve">KTSL IN</t>
  </si>
  <si>
    <t xml:space="preserve">INE164B01022</t>
  </si>
  <si>
    <t xml:space="preserve">Kennametal India Ltd</t>
  </si>
  <si>
    <t xml:space="preserve">KENNAMET</t>
  </si>
  <si>
    <t xml:space="preserve">KNM IN</t>
  </si>
  <si>
    <t xml:space="preserve">INE717A01029</t>
  </si>
  <si>
    <t xml:space="preserve">Kesoram Industries Ltd</t>
  </si>
  <si>
    <t xml:space="preserve">KESORAMIND</t>
  </si>
  <si>
    <t xml:space="preserve">KSI IN</t>
  </si>
  <si>
    <t xml:space="preserve">INE087A01019</t>
  </si>
  <si>
    <t xml:space="preserve">Kewal Kiran Clothing Ltd</t>
  </si>
  <si>
    <t xml:space="preserve">KKCL</t>
  </si>
  <si>
    <t xml:space="preserve">KEKC IN</t>
  </si>
  <si>
    <t xml:space="preserve">INE401H01017</t>
  </si>
  <si>
    <t xml:space="preserve">Khaitan Chemicals &amp; Fertilizers Ltd</t>
  </si>
  <si>
    <t xml:space="preserve">KHAICHEM</t>
  </si>
  <si>
    <t xml:space="preserve">KCF IN</t>
  </si>
  <si>
    <t xml:space="preserve">INE745B01028</t>
  </si>
  <si>
    <t xml:space="preserve">Kingfa Science &amp; Technology (India) Ltd</t>
  </si>
  <si>
    <t xml:space="preserve">KINGFA</t>
  </si>
  <si>
    <t xml:space="preserve">KINGFA IN</t>
  </si>
  <si>
    <t xml:space="preserve">INE473D01015</t>
  </si>
  <si>
    <t xml:space="preserve">KIOCL Ltd</t>
  </si>
  <si>
    <t xml:space="preserve">KIOCL</t>
  </si>
  <si>
    <t xml:space="preserve">KIOCL IN</t>
  </si>
  <si>
    <t xml:space="preserve">INE880L01014</t>
  </si>
  <si>
    <t xml:space="preserve">Kiri Industries Ltd</t>
  </si>
  <si>
    <t xml:space="preserve">KIRIINDUS</t>
  </si>
  <si>
    <t xml:space="preserve">KIRI IN</t>
  </si>
  <si>
    <t xml:space="preserve">INE415I01015</t>
  </si>
  <si>
    <t xml:space="preserve">Kirloskar Brothers Ltd</t>
  </si>
  <si>
    <t xml:space="preserve">KIRLOSBROS</t>
  </si>
  <si>
    <t xml:space="preserve">KKB IN</t>
  </si>
  <si>
    <t xml:space="preserve">INE732A01036</t>
  </si>
  <si>
    <t xml:space="preserve">Kirloskar Ferrous Industries Ltd</t>
  </si>
  <si>
    <t xml:space="preserve">KIRLFER</t>
  </si>
  <si>
    <t xml:space="preserve">KKF IN</t>
  </si>
  <si>
    <t xml:space="preserve">INE884B01025</t>
  </si>
  <si>
    <t xml:space="preserve">Kirloskar Industries Ltd</t>
  </si>
  <si>
    <t xml:space="preserve">KIRLOSIND</t>
  </si>
  <si>
    <t xml:space="preserve">KKIL IN</t>
  </si>
  <si>
    <t xml:space="preserve">INE250A01039</t>
  </si>
  <si>
    <t xml:space="preserve">Kirloskar Oil Engines Ltd</t>
  </si>
  <si>
    <t xml:space="preserve">KIRLOSENG</t>
  </si>
  <si>
    <t xml:space="preserve">KOEL IN</t>
  </si>
  <si>
    <t xml:space="preserve">INE146L01010</t>
  </si>
  <si>
    <t xml:space="preserve">Kirloskar Pneumatic Company Ltd</t>
  </si>
  <si>
    <t xml:space="preserve">KGKHOSLA</t>
  </si>
  <si>
    <t xml:space="preserve">KKPC IN</t>
  </si>
  <si>
    <t xml:space="preserve">INE811A01020</t>
  </si>
  <si>
    <t xml:space="preserve">Kitex Garments Ltd</t>
  </si>
  <si>
    <t xml:space="preserve">KITEX</t>
  </si>
  <si>
    <t xml:space="preserve">KTG IN</t>
  </si>
  <si>
    <t xml:space="preserve">INE602G01020</t>
  </si>
  <si>
    <t xml:space="preserve">KMC Speciality Hospitals (India) Ltd</t>
  </si>
  <si>
    <t xml:space="preserve">KMCS IN</t>
  </si>
  <si>
    <t xml:space="preserve">INE879K01018</t>
  </si>
  <si>
    <t xml:space="preserve">KNR Constructions Ltd</t>
  </si>
  <si>
    <t xml:space="preserve">KNRCON</t>
  </si>
  <si>
    <t xml:space="preserve">KNRC IN</t>
  </si>
  <si>
    <t xml:space="preserve">INE634I01029</t>
  </si>
  <si>
    <t xml:space="preserve">Kokuyo Camlin Ltd</t>
  </si>
  <si>
    <t xml:space="preserve">KOKUYOCMLN</t>
  </si>
  <si>
    <t xml:space="preserve">CAMLN IN</t>
  </si>
  <si>
    <t xml:space="preserve">INE760A01029</t>
  </si>
  <si>
    <t xml:space="preserve">Kolte-Patil Developers Ltd</t>
  </si>
  <si>
    <t xml:space="preserve">KOLTEPATIL</t>
  </si>
  <si>
    <t xml:space="preserve">KPDL IN</t>
  </si>
  <si>
    <t xml:space="preserve">INE094I01018</t>
  </si>
  <si>
    <t xml:space="preserve">Kopran Ltd</t>
  </si>
  <si>
    <t xml:space="preserve">KOPRAN</t>
  </si>
  <si>
    <t xml:space="preserve">KOP IN</t>
  </si>
  <si>
    <t xml:space="preserve">INE082A01010</t>
  </si>
  <si>
    <t xml:space="preserve">Kotak Mahindra Bank Ltd</t>
  </si>
  <si>
    <t xml:space="preserve">KOTAKBANK</t>
  </si>
  <si>
    <t xml:space="preserve">KMB IN</t>
  </si>
  <si>
    <t xml:space="preserve">INE237A01028</t>
  </si>
  <si>
    <t xml:space="preserve">Kovai Medical Center &amp; Hospital Ltd</t>
  </si>
  <si>
    <t xml:space="preserve">KOVAI</t>
  </si>
  <si>
    <t xml:space="preserve">KMC IN</t>
  </si>
  <si>
    <t xml:space="preserve">INE177F01017</t>
  </si>
  <si>
    <t xml:space="preserve">KPI Global Infrastructure Ltd</t>
  </si>
  <si>
    <t xml:space="preserve">KPIGLOBAL</t>
  </si>
  <si>
    <t xml:space="preserve">KPIG IN</t>
  </si>
  <si>
    <t xml:space="preserve">INE542W01017</t>
  </si>
  <si>
    <t xml:space="preserve">KPIT Technologies Ltd</t>
  </si>
  <si>
    <t xml:space="preserve">KPITTECH</t>
  </si>
  <si>
    <t xml:space="preserve">KPITTECH IN</t>
  </si>
  <si>
    <t xml:space="preserve">INE04I401011</t>
  </si>
  <si>
    <t xml:space="preserve">KRBL Ltd</t>
  </si>
  <si>
    <t xml:space="preserve">KRBL</t>
  </si>
  <si>
    <t xml:space="preserve">KRB IN</t>
  </si>
  <si>
    <t xml:space="preserve">INE001B01026</t>
  </si>
  <si>
    <t xml:space="preserve">Krishana Phoschem Ltd</t>
  </si>
  <si>
    <t xml:space="preserve">KRISHANA</t>
  </si>
  <si>
    <t xml:space="preserve">KRISHANA IN</t>
  </si>
  <si>
    <t xml:space="preserve">INE506W01012</t>
  </si>
  <si>
    <t xml:space="preserve">Krishna Institute of Medical Sciences Ltd</t>
  </si>
  <si>
    <t xml:space="preserve">KIMS</t>
  </si>
  <si>
    <t xml:space="preserve">KIMS IN</t>
  </si>
  <si>
    <t xml:space="preserve">INE967H01017</t>
  </si>
  <si>
    <t xml:space="preserve">Kriti Industries (India) Ltd</t>
  </si>
  <si>
    <t xml:space="preserve">KRITI</t>
  </si>
  <si>
    <t xml:space="preserve">KAP IN</t>
  </si>
  <si>
    <t xml:space="preserve">INE479D01038</t>
  </si>
  <si>
    <t xml:space="preserve">Krsnaa Diagnostics Ltd</t>
  </si>
  <si>
    <t xml:space="preserve">KRSNAA</t>
  </si>
  <si>
    <t xml:space="preserve">KRSNAA IN</t>
  </si>
  <si>
    <t xml:space="preserve">INE08LI01020</t>
  </si>
  <si>
    <t xml:space="preserve">KSB Ltd</t>
  </si>
  <si>
    <t xml:space="preserve">KSB</t>
  </si>
  <si>
    <t xml:space="preserve">KSB IN</t>
  </si>
  <si>
    <t xml:space="preserve">INE999A01015</t>
  </si>
  <si>
    <t xml:space="preserve">KSE Ltd</t>
  </si>
  <si>
    <t xml:space="preserve">KSE</t>
  </si>
  <si>
    <t xml:space="preserve">KRSE IN</t>
  </si>
  <si>
    <t xml:space="preserve">INE953E01014</t>
  </si>
  <si>
    <t xml:space="preserve">Kuantum Papers Ltd</t>
  </si>
  <si>
    <t xml:space="preserve">KUANTUM</t>
  </si>
  <si>
    <t xml:space="preserve">KAUN IN</t>
  </si>
  <si>
    <t xml:space="preserve">INE529I01021</t>
  </si>
  <si>
    <t xml:space="preserve">Kwality Pharmaceuticals Ltd</t>
  </si>
  <si>
    <t xml:space="preserve">KWPL IN</t>
  </si>
  <si>
    <t xml:space="preserve">INE552U01010</t>
  </si>
  <si>
    <t xml:space="preserve">L&amp;T Finance Holdings Ltd</t>
  </si>
  <si>
    <t xml:space="preserve">L&amp;TFH</t>
  </si>
  <si>
    <t xml:space="preserve">LTFH IN</t>
  </si>
  <si>
    <t xml:space="preserve">INE498L01015</t>
  </si>
  <si>
    <t xml:space="preserve">L&amp;T Technology Services Ltd</t>
  </si>
  <si>
    <t xml:space="preserve">LTTS</t>
  </si>
  <si>
    <t xml:space="preserve">LTTS IN</t>
  </si>
  <si>
    <t xml:space="preserve">INE010V01017</t>
  </si>
  <si>
    <t xml:space="preserve">La Opala RG Ltd</t>
  </si>
  <si>
    <t xml:space="preserve">LAOPALA</t>
  </si>
  <si>
    <t xml:space="preserve">LOG IN</t>
  </si>
  <si>
    <t xml:space="preserve">INE059D01020</t>
  </si>
  <si>
    <t xml:space="preserve">Lakshmi Machine Works Ltd</t>
  </si>
  <si>
    <t xml:space="preserve">LAXMIMACH</t>
  </si>
  <si>
    <t xml:space="preserve">LMW IN</t>
  </si>
  <si>
    <t xml:space="preserve">INE269B01029</t>
  </si>
  <si>
    <t xml:space="preserve">Lancer Containers Lines Ltd</t>
  </si>
  <si>
    <t xml:space="preserve">LANCER IN</t>
  </si>
  <si>
    <t xml:space="preserve">INE359U01010</t>
  </si>
  <si>
    <t xml:space="preserve">Larsen &amp; Toubro Infotech Ltd</t>
  </si>
  <si>
    <t xml:space="preserve">LTI</t>
  </si>
  <si>
    <t xml:space="preserve">LTI IN</t>
  </si>
  <si>
    <t xml:space="preserve">INE214T01019</t>
  </si>
  <si>
    <t xml:space="preserve">Larsen &amp; Toubro Ltd</t>
  </si>
  <si>
    <t xml:space="preserve">LT</t>
  </si>
  <si>
    <t xml:space="preserve">LT IN</t>
  </si>
  <si>
    <t xml:space="preserve">INE018A01030</t>
  </si>
  <si>
    <t xml:space="preserve">Latent View Analytics Ltd</t>
  </si>
  <si>
    <t xml:space="preserve">LATENTVIEW</t>
  </si>
  <si>
    <t xml:space="preserve">LATENTVI IN</t>
  </si>
  <si>
    <t xml:space="preserve">INE0I7C01011</t>
  </si>
  <si>
    <t xml:space="preserve">Laurus Labs Ltd</t>
  </si>
  <si>
    <t xml:space="preserve">LAURUSLABS</t>
  </si>
  <si>
    <t xml:space="preserve">LAURUS IN</t>
  </si>
  <si>
    <t xml:space="preserve">INE947Q01028</t>
  </si>
  <si>
    <t xml:space="preserve">Laxmi Organic Industries Ltd</t>
  </si>
  <si>
    <t xml:space="preserve">LXCHEM</t>
  </si>
  <si>
    <t xml:space="preserve">LXCHEM IN</t>
  </si>
  <si>
    <t xml:space="preserve">INE576O01020</t>
  </si>
  <si>
    <t xml:space="preserve">Lemon Tree Hotels Ltd</t>
  </si>
  <si>
    <t xml:space="preserve">LEMONTREE</t>
  </si>
  <si>
    <t xml:space="preserve">LEMONTRE IN</t>
  </si>
  <si>
    <t xml:space="preserve">INE970X01018</t>
  </si>
  <si>
    <t xml:space="preserve">LG Balakrishnan &amp; Bros Ltd</t>
  </si>
  <si>
    <t xml:space="preserve">LGBBROSLTD</t>
  </si>
  <si>
    <t xml:space="preserve">LGBB IN</t>
  </si>
  <si>
    <t xml:space="preserve">INE337A01034</t>
  </si>
  <si>
    <t xml:space="preserve">LIC Housing Finance Ltd</t>
  </si>
  <si>
    <t xml:space="preserve">LICHSGFIN</t>
  </si>
  <si>
    <t xml:space="preserve">LICHF IN</t>
  </si>
  <si>
    <t xml:space="preserve">INE115A01026</t>
  </si>
  <si>
    <t xml:space="preserve">Likhitha Infrastructure Ltd</t>
  </si>
  <si>
    <t xml:space="preserve">LIKHITHA</t>
  </si>
  <si>
    <t xml:space="preserve">LIKHITHA IN</t>
  </si>
  <si>
    <t xml:space="preserve">INE060901019</t>
  </si>
  <si>
    <t xml:space="preserve">Lincoln Pharmaceuticals Ltd</t>
  </si>
  <si>
    <t xml:space="preserve">LINCOLN</t>
  </si>
  <si>
    <t xml:space="preserve">LPH IN</t>
  </si>
  <si>
    <t xml:space="preserve">INE405C01035</t>
  </si>
  <si>
    <t xml:space="preserve">Linde India Ltd</t>
  </si>
  <si>
    <t xml:space="preserve">LINDEINDIA</t>
  </si>
  <si>
    <t xml:space="preserve">LIIL IN</t>
  </si>
  <si>
    <t xml:space="preserve">INE473A01011</t>
  </si>
  <si>
    <t xml:space="preserve">Lloyds Metals &amp; Energy Ltd</t>
  </si>
  <si>
    <t xml:space="preserve">LLOYDMETAL</t>
  </si>
  <si>
    <t xml:space="preserve">LYDM IN</t>
  </si>
  <si>
    <t xml:space="preserve">INE281B01032</t>
  </si>
  <si>
    <t xml:space="preserve">Lloyds Steels Industries Ltd</t>
  </si>
  <si>
    <t xml:space="preserve">LSIL</t>
  </si>
  <si>
    <t xml:space="preserve">LSILIN IN</t>
  </si>
  <si>
    <t xml:space="preserve">INE093R01011</t>
  </si>
  <si>
    <t xml:space="preserve">Loyal Textile Mills Ltd</t>
  </si>
  <si>
    <t xml:space="preserve">LOYL IN</t>
  </si>
  <si>
    <t xml:space="preserve">INE970D01010</t>
  </si>
  <si>
    <t xml:space="preserve">LT Foods Ltd</t>
  </si>
  <si>
    <t xml:space="preserve">DAAWAT</t>
  </si>
  <si>
    <t xml:space="preserve">LTFO IN</t>
  </si>
  <si>
    <t xml:space="preserve">INE818H01020</t>
  </si>
  <si>
    <t xml:space="preserve">Lumax Auto Technologies Ltd</t>
  </si>
  <si>
    <t xml:space="preserve">LUMAXTECH</t>
  </si>
  <si>
    <t xml:space="preserve">LMAX IN</t>
  </si>
  <si>
    <t xml:space="preserve">INE872H01027</t>
  </si>
  <si>
    <t xml:space="preserve">Lumax Industries Ltd</t>
  </si>
  <si>
    <t xml:space="preserve">LUMAXIND</t>
  </si>
  <si>
    <t xml:space="preserve">LUMX IN</t>
  </si>
  <si>
    <t xml:space="preserve">INE162B01018</t>
  </si>
  <si>
    <t xml:space="preserve">Lupin Ltd</t>
  </si>
  <si>
    <t xml:space="preserve">LUPIN</t>
  </si>
  <si>
    <t xml:space="preserve">LPC IN</t>
  </si>
  <si>
    <t xml:space="preserve">INE326A01037</t>
  </si>
  <si>
    <t xml:space="preserve">Lux Industries Ltd</t>
  </si>
  <si>
    <t xml:space="preserve">LUXIND</t>
  </si>
  <si>
    <t xml:space="preserve">LUX IN</t>
  </si>
  <si>
    <t xml:space="preserve">INE150G01020</t>
  </si>
  <si>
    <t xml:space="preserve">Lyka Labs Ltd</t>
  </si>
  <si>
    <t xml:space="preserve">LYKALABS</t>
  </si>
  <si>
    <t xml:space="preserve">LYKA IN</t>
  </si>
  <si>
    <t xml:space="preserve">INE933A01014</t>
  </si>
  <si>
    <t xml:space="preserve">Mac Charles (India) Ltd</t>
  </si>
  <si>
    <t xml:space="preserve">MAC IN</t>
  </si>
  <si>
    <t xml:space="preserve">INE435D01014</t>
  </si>
  <si>
    <t xml:space="preserve">Macrotech Developers Ltd</t>
  </si>
  <si>
    <t xml:space="preserve">LODHA</t>
  </si>
  <si>
    <t xml:space="preserve">LODHA IN</t>
  </si>
  <si>
    <t xml:space="preserve">INE670K01029</t>
  </si>
  <si>
    <t xml:space="preserve">Mahanagar Gas Ltd</t>
  </si>
  <si>
    <t xml:space="preserve">MGL</t>
  </si>
  <si>
    <t xml:space="preserve">MAHGL IN</t>
  </si>
  <si>
    <t xml:space="preserve">INE002S01010</t>
  </si>
  <si>
    <t xml:space="preserve">Mahanagar Telephone Nigam Ltd</t>
  </si>
  <si>
    <t xml:space="preserve">MTNL</t>
  </si>
  <si>
    <t xml:space="preserve">MTNL IN</t>
  </si>
  <si>
    <t xml:space="preserve">INE153A01019</t>
  </si>
  <si>
    <t xml:space="preserve">Maharashtra Scooters Ltd</t>
  </si>
  <si>
    <t xml:space="preserve">MAHSCOOTER</t>
  </si>
  <si>
    <t xml:space="preserve">MHSC IN</t>
  </si>
  <si>
    <t xml:space="preserve">INE288A01013</t>
  </si>
  <si>
    <t xml:space="preserve">Maharashtra Seamless Ltd</t>
  </si>
  <si>
    <t xml:space="preserve">MAHSEAMLES</t>
  </si>
  <si>
    <t xml:space="preserve">MHS IN</t>
  </si>
  <si>
    <t xml:space="preserve">INE271B01025</t>
  </si>
  <si>
    <t xml:space="preserve">Mahindra &amp; Mahindra Financial Services Ltd</t>
  </si>
  <si>
    <t xml:space="preserve">M&amp;MFIN</t>
  </si>
  <si>
    <t xml:space="preserve">MMFS IN</t>
  </si>
  <si>
    <t xml:space="preserve">INE774D01024</t>
  </si>
  <si>
    <t xml:space="preserve">Mahindra &amp; Mahindra Ltd</t>
  </si>
  <si>
    <t xml:space="preserve">M&amp;M</t>
  </si>
  <si>
    <t xml:space="preserve">MM IN</t>
  </si>
  <si>
    <t xml:space="preserve">INE101A01026</t>
  </si>
  <si>
    <t xml:space="preserve">Mahindra CIE Automotive Ltd</t>
  </si>
  <si>
    <t xml:space="preserve">MAHINDCIE</t>
  </si>
  <si>
    <t xml:space="preserve">MACA IN</t>
  </si>
  <si>
    <t xml:space="preserve">INE536H01010</t>
  </si>
  <si>
    <t xml:space="preserve">Mahindra Holidays &amp; Resorts India Ltd</t>
  </si>
  <si>
    <t xml:space="preserve">MHRIL</t>
  </si>
  <si>
    <t xml:space="preserve">MHRL IN</t>
  </si>
  <si>
    <t xml:space="preserve">INE998I01010</t>
  </si>
  <si>
    <t xml:space="preserve">Mahindra Lifespace Developers Ltd</t>
  </si>
  <si>
    <t xml:space="preserve">MAHLIFE</t>
  </si>
  <si>
    <t xml:space="preserve">MLIFE IN</t>
  </si>
  <si>
    <t xml:space="preserve">INE813A01018</t>
  </si>
  <si>
    <t xml:space="preserve">Mahindra Logistics Ltd</t>
  </si>
  <si>
    <t xml:space="preserve">MAHLOG</t>
  </si>
  <si>
    <t xml:space="preserve">MAHLOG IN</t>
  </si>
  <si>
    <t xml:space="preserve">INE766P01016</t>
  </si>
  <si>
    <t xml:space="preserve">Maithan Alloys Ltd</t>
  </si>
  <si>
    <t xml:space="preserve">MAITHANALL</t>
  </si>
  <si>
    <t xml:space="preserve">MAIT IN</t>
  </si>
  <si>
    <t xml:space="preserve">INE683C01011</t>
  </si>
  <si>
    <t xml:space="preserve">Man Industries (India) Ltd</t>
  </si>
  <si>
    <t xml:space="preserve">MANINDS</t>
  </si>
  <si>
    <t xml:space="preserve">MAN IN</t>
  </si>
  <si>
    <t xml:space="preserve">INE993A01026</t>
  </si>
  <si>
    <t xml:space="preserve">Man InfraConstruction Ltd</t>
  </si>
  <si>
    <t xml:space="preserve">MANINFRA</t>
  </si>
  <si>
    <t xml:space="preserve">MINF IN</t>
  </si>
  <si>
    <t xml:space="preserve">INE949H01023</t>
  </si>
  <si>
    <t xml:space="preserve">Manali Petrochemicals Ltd</t>
  </si>
  <si>
    <t xml:space="preserve">MANALIPETC</t>
  </si>
  <si>
    <t xml:space="preserve">MPCH IN</t>
  </si>
  <si>
    <t xml:space="preserve">INE201A01024</t>
  </si>
  <si>
    <t xml:space="preserve">Manappuram Finance Ltd</t>
  </si>
  <si>
    <t xml:space="preserve">MANAPPURAM</t>
  </si>
  <si>
    <t xml:space="preserve">MGFL IN</t>
  </si>
  <si>
    <t xml:space="preserve">INE522D01027</t>
  </si>
  <si>
    <t xml:space="preserve">Mangalam Cement Ltd</t>
  </si>
  <si>
    <t xml:space="preserve">MANGLMCEM</t>
  </si>
  <si>
    <t xml:space="preserve">MGC IN</t>
  </si>
  <si>
    <t xml:space="preserve">INE347A01017</t>
  </si>
  <si>
    <t xml:space="preserve">Mangalam Industrial Finance Ltd</t>
  </si>
  <si>
    <t xml:space="preserve">MIFL IN</t>
  </si>
  <si>
    <t xml:space="preserve">INE717C01025</t>
  </si>
  <si>
    <t xml:space="preserve">Mangalam Organics Ltd</t>
  </si>
  <si>
    <t xml:space="preserve">MANORG</t>
  </si>
  <si>
    <t xml:space="preserve">MANORG IN</t>
  </si>
  <si>
    <t xml:space="preserve">INE370D01013</t>
  </si>
  <si>
    <t xml:space="preserve">Mangalore Chemicals &amp; Fertilizers Ltd</t>
  </si>
  <si>
    <t xml:space="preserve">MANGCHEFER</t>
  </si>
  <si>
    <t xml:space="preserve">MCF IN</t>
  </si>
  <si>
    <t xml:space="preserve">INE558B01017</t>
  </si>
  <si>
    <t xml:space="preserve">Mangalore Refinery And Petrochemicals Ltd</t>
  </si>
  <si>
    <t xml:space="preserve">MRPL</t>
  </si>
  <si>
    <t xml:space="preserve">MRPL IN</t>
  </si>
  <si>
    <t xml:space="preserve">INE103A01014</t>
  </si>
  <si>
    <t xml:space="preserve">Manorama Industries Ltd</t>
  </si>
  <si>
    <t xml:space="preserve">MANORAMA IN</t>
  </si>
  <si>
    <t xml:space="preserve">INE00VM01010</t>
  </si>
  <si>
    <t xml:space="preserve">Marathon Nextgen Realty Ltd</t>
  </si>
  <si>
    <t xml:space="preserve">MARATHON</t>
  </si>
  <si>
    <t xml:space="preserve">MNRT IN</t>
  </si>
  <si>
    <t xml:space="preserve">INE182D01020</t>
  </si>
  <si>
    <t xml:space="preserve">Marico Ltd</t>
  </si>
  <si>
    <t xml:space="preserve">MARICO</t>
  </si>
  <si>
    <t xml:space="preserve">MRCO IN</t>
  </si>
  <si>
    <t xml:space="preserve">INE196A01026</t>
  </si>
  <si>
    <t xml:space="preserve">Marine Electricals (India) Ltd</t>
  </si>
  <si>
    <t xml:space="preserve">MARINE</t>
  </si>
  <si>
    <t xml:space="preserve">MARINE IN</t>
  </si>
  <si>
    <t xml:space="preserve">INE01JE01028</t>
  </si>
  <si>
    <t xml:space="preserve">Marksans Pharma Ltd</t>
  </si>
  <si>
    <t xml:space="preserve">MARKSANS</t>
  </si>
  <si>
    <t xml:space="preserve">MRKS IN</t>
  </si>
  <si>
    <t xml:space="preserve">INE750C01026</t>
  </si>
  <si>
    <t xml:space="preserve">Maruti Suzuki India Ltd</t>
  </si>
  <si>
    <t xml:space="preserve">MARUTI</t>
  </si>
  <si>
    <t xml:space="preserve">MSIL IN</t>
  </si>
  <si>
    <t xml:space="preserve">INE585B01010</t>
  </si>
  <si>
    <t xml:space="preserve">MAS Financial Services Ltd</t>
  </si>
  <si>
    <t xml:space="preserve">MASFIN</t>
  </si>
  <si>
    <t xml:space="preserve">MASFIN IN</t>
  </si>
  <si>
    <t xml:space="preserve">INE348L01012</t>
  </si>
  <si>
    <t xml:space="preserve">Mastek Ltd</t>
  </si>
  <si>
    <t xml:space="preserve">MASTEK</t>
  </si>
  <si>
    <t xml:space="preserve">MAST IN</t>
  </si>
  <si>
    <t xml:space="preserve">INE759A01021</t>
  </si>
  <si>
    <t xml:space="preserve">MatrimonyCom Ltd</t>
  </si>
  <si>
    <t xml:space="preserve">MATRIMONY</t>
  </si>
  <si>
    <t xml:space="preserve">MATRIM IN</t>
  </si>
  <si>
    <t xml:space="preserve">INE866R01028</t>
  </si>
  <si>
    <t xml:space="preserve">Max Financial Services Ltd</t>
  </si>
  <si>
    <t xml:space="preserve">MFSL</t>
  </si>
  <si>
    <t xml:space="preserve">MAXF IN</t>
  </si>
  <si>
    <t xml:space="preserve">INE180A01020</t>
  </si>
  <si>
    <t xml:space="preserve">Max Healthcare Institute Ltd</t>
  </si>
  <si>
    <t xml:space="preserve">MAXHEALTH</t>
  </si>
  <si>
    <t xml:space="preserve">MAXHEALT IN</t>
  </si>
  <si>
    <t xml:space="preserve">INE027H01010</t>
  </si>
  <si>
    <t xml:space="preserve">Max Ventures And Industries Ltd</t>
  </si>
  <si>
    <t xml:space="preserve">MAXVIL</t>
  </si>
  <si>
    <t xml:space="preserve">MVIL IN</t>
  </si>
  <si>
    <t xml:space="preserve">INE154U01015</t>
  </si>
  <si>
    <t xml:space="preserve">Mayur Uniquoters Ltd</t>
  </si>
  <si>
    <t xml:space="preserve">MAYURUNIQ</t>
  </si>
  <si>
    <t xml:space="preserve">MUNI IN</t>
  </si>
  <si>
    <t xml:space="preserve">INE040D01038</t>
  </si>
  <si>
    <t xml:space="preserve">Mazagon Dock Shipbuilders Ltd</t>
  </si>
  <si>
    <t xml:space="preserve">MAZDOCK</t>
  </si>
  <si>
    <t xml:space="preserve">MAZDOCKS IN</t>
  </si>
  <si>
    <t xml:space="preserve">INE249Z01012</t>
  </si>
  <si>
    <t xml:space="preserve">Media Matrix Worldwide Ltd</t>
  </si>
  <si>
    <t xml:space="preserve">MMWL</t>
  </si>
  <si>
    <t xml:space="preserve">GFL IN</t>
  </si>
  <si>
    <t xml:space="preserve">INE200D01020</t>
  </si>
  <si>
    <t xml:space="preserve">Medicamen Biotech Ltd</t>
  </si>
  <si>
    <t xml:space="preserve">MEDICAMEQ</t>
  </si>
  <si>
    <t xml:space="preserve">MDCB IN</t>
  </si>
  <si>
    <t xml:space="preserve">INE646B01010</t>
  </si>
  <si>
    <t xml:space="preserve">Medplus Health Services Ltd</t>
  </si>
  <si>
    <t xml:space="preserve">MEDPLUS</t>
  </si>
  <si>
    <t xml:space="preserve">MEDPLUS IN</t>
  </si>
  <si>
    <t xml:space="preserve">INE804L01022</t>
  </si>
  <si>
    <t xml:space="preserve">Megasoft Ltd</t>
  </si>
  <si>
    <t xml:space="preserve">MEGASOFT</t>
  </si>
  <si>
    <t xml:space="preserve">MGSF IN</t>
  </si>
  <si>
    <t xml:space="preserve">INE933B01012</t>
  </si>
  <si>
    <t xml:space="preserve">Meghmani Finechem Ltd</t>
  </si>
  <si>
    <t xml:space="preserve">MFL</t>
  </si>
  <si>
    <t xml:space="preserve">MEGHFL IN</t>
  </si>
  <si>
    <t xml:space="preserve">INE071N01016</t>
  </si>
  <si>
    <t xml:space="preserve">Meghmani Organics Ltd</t>
  </si>
  <si>
    <t xml:space="preserve">MOL</t>
  </si>
  <si>
    <t xml:space="preserve">MEGH IN</t>
  </si>
  <si>
    <t xml:space="preserve">INE0CT101020</t>
  </si>
  <si>
    <t xml:space="preserve">Metro Brands Ltd</t>
  </si>
  <si>
    <t xml:space="preserve">METROBRAND</t>
  </si>
  <si>
    <t xml:space="preserve">METROBRA IN</t>
  </si>
  <si>
    <t xml:space="preserve">INE317I01021</t>
  </si>
  <si>
    <t xml:space="preserve">Metropolis Healthcare Ltd</t>
  </si>
  <si>
    <t xml:space="preserve">METROPOLIS</t>
  </si>
  <si>
    <t xml:space="preserve">METROHL IN</t>
  </si>
  <si>
    <t xml:space="preserve">INE112L01020</t>
  </si>
  <si>
    <t xml:space="preserve">Minda Corporation Ltd</t>
  </si>
  <si>
    <t xml:space="preserve">MINDACORP</t>
  </si>
  <si>
    <t xml:space="preserve">MDA IN</t>
  </si>
  <si>
    <t xml:space="preserve">INE842C01021</t>
  </si>
  <si>
    <t xml:space="preserve">Minda Industries Ltd</t>
  </si>
  <si>
    <t xml:space="preserve">MINDAIND</t>
  </si>
  <si>
    <t xml:space="preserve">MNDA IN</t>
  </si>
  <si>
    <t xml:space="preserve">INE405E01023</t>
  </si>
  <si>
    <t xml:space="preserve">Mindtree Ltd</t>
  </si>
  <si>
    <t xml:space="preserve">MINDTREE</t>
  </si>
  <si>
    <t xml:space="preserve">MTCL IN</t>
  </si>
  <si>
    <t xml:space="preserve">INE018I01017</t>
  </si>
  <si>
    <t xml:space="preserve">Mirc Electronics Ltd</t>
  </si>
  <si>
    <t xml:space="preserve">MIRCELECTR</t>
  </si>
  <si>
    <t xml:space="preserve">MIRC IN</t>
  </si>
  <si>
    <t xml:space="preserve">INE831A01028</t>
  </si>
  <si>
    <t xml:space="preserve">Mirza International Ltd</t>
  </si>
  <si>
    <t xml:space="preserve">MIRZAINT</t>
  </si>
  <si>
    <t xml:space="preserve">MRZI IN</t>
  </si>
  <si>
    <t xml:space="preserve">INE771A01026</t>
  </si>
  <si>
    <t xml:space="preserve">Mishra Dhatu Nigam Ltd</t>
  </si>
  <si>
    <t xml:space="preserve">MIDHANI</t>
  </si>
  <si>
    <t xml:space="preserve">MIDHANI IN</t>
  </si>
  <si>
    <t xml:space="preserve">INE099Z01011</t>
  </si>
  <si>
    <t xml:space="preserve">Mishtann Foods Ltd</t>
  </si>
  <si>
    <t xml:space="preserve">MISHF IN</t>
  </si>
  <si>
    <t xml:space="preserve">INE094S01041</t>
  </si>
  <si>
    <t xml:space="preserve">MM Forgings Ltd</t>
  </si>
  <si>
    <t xml:space="preserve">MMFL</t>
  </si>
  <si>
    <t xml:space="preserve">MMFG IN</t>
  </si>
  <si>
    <t xml:space="preserve">INE227C01017</t>
  </si>
  <si>
    <t xml:space="preserve">MMTC Ltd</t>
  </si>
  <si>
    <t xml:space="preserve">MMTC</t>
  </si>
  <si>
    <t xml:space="preserve">MMTC IN</t>
  </si>
  <si>
    <t xml:space="preserve">INE123F01029</t>
  </si>
  <si>
    <t xml:space="preserve">MOIL Ltd</t>
  </si>
  <si>
    <t xml:space="preserve">MOIL</t>
  </si>
  <si>
    <t xml:space="preserve">MOIL IN</t>
  </si>
  <si>
    <t xml:space="preserve">INE490G01020</t>
  </si>
  <si>
    <t xml:space="preserve">Mold-Tek Packaging Ltd</t>
  </si>
  <si>
    <t xml:space="preserve">MOLDTKPAC</t>
  </si>
  <si>
    <t xml:space="preserve">MTEP IN</t>
  </si>
  <si>
    <t xml:space="preserve">INE893J01029</t>
  </si>
  <si>
    <t xml:space="preserve">Monte Carlo Fashions Ltd</t>
  </si>
  <si>
    <t xml:space="preserve">MONTECARLO</t>
  </si>
  <si>
    <t xml:space="preserve">MOCF IN</t>
  </si>
  <si>
    <t xml:space="preserve">INE950M01013</t>
  </si>
  <si>
    <t xml:space="preserve">Morepen Laboratories Ltd</t>
  </si>
  <si>
    <t xml:space="preserve">MOREPENLAB</t>
  </si>
  <si>
    <t xml:space="preserve">MORE IN</t>
  </si>
  <si>
    <t xml:space="preserve">INE083A01026</t>
  </si>
  <si>
    <t xml:space="preserve">Morganite Crucible (India) Ltd</t>
  </si>
  <si>
    <t xml:space="preserve">MCIL IN</t>
  </si>
  <si>
    <t xml:space="preserve">INE599F01020</t>
  </si>
  <si>
    <t xml:space="preserve">Moschip Technologies Ltd</t>
  </si>
  <si>
    <t xml:space="preserve">MOSCHIP IN</t>
  </si>
  <si>
    <t xml:space="preserve">INE935B01025</t>
  </si>
  <si>
    <t xml:space="preserve">Motherson Sumi Systems Ltd</t>
  </si>
  <si>
    <t xml:space="preserve">MOTHERSUMI</t>
  </si>
  <si>
    <t xml:space="preserve">MSS IN</t>
  </si>
  <si>
    <t xml:space="preserve">INE775A01035</t>
  </si>
  <si>
    <t xml:space="preserve">Motilal Oswal Financial Services Ltd</t>
  </si>
  <si>
    <t xml:space="preserve">MOTILALOFS</t>
  </si>
  <si>
    <t xml:space="preserve">MOFS IN</t>
  </si>
  <si>
    <t xml:space="preserve">INE338I01027</t>
  </si>
  <si>
    <t xml:space="preserve">Mphasis Ltd</t>
  </si>
  <si>
    <t xml:space="preserve">MPHASIS</t>
  </si>
  <si>
    <t xml:space="preserve">MPHL IN</t>
  </si>
  <si>
    <t xml:space="preserve">INE356A01018</t>
  </si>
  <si>
    <t xml:space="preserve">MPS Ltd</t>
  </si>
  <si>
    <t xml:space="preserve">MPSLTD</t>
  </si>
  <si>
    <t xml:space="preserve">MPS IN</t>
  </si>
  <si>
    <t xml:space="preserve">INE943D01017</t>
  </si>
  <si>
    <t xml:space="preserve">MRF Ltd</t>
  </si>
  <si>
    <t xml:space="preserve">MRF</t>
  </si>
  <si>
    <t xml:space="preserve">MRF IN</t>
  </si>
  <si>
    <t xml:space="preserve">INE883A01011</t>
  </si>
  <si>
    <t xml:space="preserve">MrsBectors Food Specialities Ltd</t>
  </si>
  <si>
    <t xml:space="preserve">BECTORFOOD</t>
  </si>
  <si>
    <t xml:space="preserve">BECTORS IN</t>
  </si>
  <si>
    <t xml:space="preserve">INE495P01012</t>
  </si>
  <si>
    <t xml:space="preserve">MSTC Ltd</t>
  </si>
  <si>
    <t xml:space="preserve">MSTCLTD</t>
  </si>
  <si>
    <t xml:space="preserve">MSTCLTD IN</t>
  </si>
  <si>
    <t xml:space="preserve">INE255X01014</t>
  </si>
  <si>
    <t xml:space="preserve">MTAR Technologies Ltd</t>
  </si>
  <si>
    <t xml:space="preserve">MTARTECH</t>
  </si>
  <si>
    <t xml:space="preserve">MTARTECH IN</t>
  </si>
  <si>
    <t xml:space="preserve">INE864I01014</t>
  </si>
  <si>
    <t xml:space="preserve">Mukand Ltd</t>
  </si>
  <si>
    <t xml:space="preserve">MUKANDLTD</t>
  </si>
  <si>
    <t xml:space="preserve">MUK IN</t>
  </si>
  <si>
    <t xml:space="preserve">INE304A01026</t>
  </si>
  <si>
    <t xml:space="preserve">Multi Commodity Exchange Of India Ltd</t>
  </si>
  <si>
    <t xml:space="preserve">MCX</t>
  </si>
  <si>
    <t xml:space="preserve">MCX IN</t>
  </si>
  <si>
    <t xml:space="preserve">INE745G01035</t>
  </si>
  <si>
    <t xml:space="preserve">Munjal Auto Industries Ltd</t>
  </si>
  <si>
    <t xml:space="preserve">MUNJALAU</t>
  </si>
  <si>
    <t xml:space="preserve">GCY IN</t>
  </si>
  <si>
    <t xml:space="preserve">INE672B01032</t>
  </si>
  <si>
    <t xml:space="preserve">Music Broadcast Ltd</t>
  </si>
  <si>
    <t xml:space="preserve">RADIOCITY</t>
  </si>
  <si>
    <t xml:space="preserve">RADIOCIT IN</t>
  </si>
  <si>
    <t xml:space="preserve">INE919I01024</t>
  </si>
  <si>
    <t xml:space="preserve">Muthoot Capital Services Ltd</t>
  </si>
  <si>
    <t xml:space="preserve">MUTHOOTCAP</t>
  </si>
  <si>
    <t xml:space="preserve">MTCS IN</t>
  </si>
  <si>
    <t xml:space="preserve">INE296G01013</t>
  </si>
  <si>
    <t xml:space="preserve">Muthoot Finance Ltd</t>
  </si>
  <si>
    <t xml:space="preserve">MUTHOOTFIN</t>
  </si>
  <si>
    <t xml:space="preserve">MUTH IN</t>
  </si>
  <si>
    <t xml:space="preserve">INE414G01012</t>
  </si>
  <si>
    <t xml:space="preserve">NBIIndustrial Finance CoLtd</t>
  </si>
  <si>
    <t xml:space="preserve">NBIFIN</t>
  </si>
  <si>
    <t xml:space="preserve">NBI IN</t>
  </si>
  <si>
    <t xml:space="preserve">INE365I01020</t>
  </si>
  <si>
    <t xml:space="preserve">NACL Industries Ltd</t>
  </si>
  <si>
    <t xml:space="preserve">NACLIND</t>
  </si>
  <si>
    <t xml:space="preserve">NACLIND IN</t>
  </si>
  <si>
    <t xml:space="preserve">INE295D01020</t>
  </si>
  <si>
    <t xml:space="preserve">Nagarjuna Fertilizers and Chemicals Ltd</t>
  </si>
  <si>
    <t xml:space="preserve">NAGAFERT</t>
  </si>
  <si>
    <t xml:space="preserve">NAGARFER IN</t>
  </si>
  <si>
    <t xml:space="preserve">INE454M01024</t>
  </si>
  <si>
    <t xml:space="preserve">Nahar Capital And Financial Services Ltd</t>
  </si>
  <si>
    <t xml:space="preserve">NAHARCAP</t>
  </si>
  <si>
    <t xml:space="preserve">NCFS IN</t>
  </si>
  <si>
    <t xml:space="preserve">INE049I01012</t>
  </si>
  <si>
    <t xml:space="preserve">Nahar Poly Films Ltd</t>
  </si>
  <si>
    <t xml:space="preserve">NAHARPOLY</t>
  </si>
  <si>
    <t xml:space="preserve">NPFL IN</t>
  </si>
  <si>
    <t xml:space="preserve">INE308A01027</t>
  </si>
  <si>
    <t xml:space="preserve">Nahar Spinning Mills Ltd</t>
  </si>
  <si>
    <t xml:space="preserve">NAHARSPING</t>
  </si>
  <si>
    <t xml:space="preserve">NSM IN</t>
  </si>
  <si>
    <t xml:space="preserve">INE290A01027</t>
  </si>
  <si>
    <t xml:space="preserve">Nalwa Sons Investments Ltd</t>
  </si>
  <si>
    <t xml:space="preserve">NSIL</t>
  </si>
  <si>
    <t xml:space="preserve">NINV IN</t>
  </si>
  <si>
    <t xml:space="preserve">INE023A01030</t>
  </si>
  <si>
    <t xml:space="preserve">Nandan Denim Ltd</t>
  </si>
  <si>
    <t xml:space="preserve">NDL</t>
  </si>
  <si>
    <t xml:space="preserve">NAND IN</t>
  </si>
  <si>
    <t xml:space="preserve">INE875G01030</t>
  </si>
  <si>
    <t xml:space="preserve">Narayana Hrudayalaya Ltd</t>
  </si>
  <si>
    <t xml:space="preserve">NH</t>
  </si>
  <si>
    <t xml:space="preserve">NARH IN</t>
  </si>
  <si>
    <t xml:space="preserve">INE410P01011</t>
  </si>
  <si>
    <t xml:space="preserve">Natco Pharma Ltd</t>
  </si>
  <si>
    <t xml:space="preserve">NATCOPHARM</t>
  </si>
  <si>
    <t xml:space="preserve">NTCPH IN</t>
  </si>
  <si>
    <t xml:space="preserve">INE987B01026</t>
  </si>
  <si>
    <t xml:space="preserve">National Aluminium Company Ltd</t>
  </si>
  <si>
    <t xml:space="preserve">NATIONALUM</t>
  </si>
  <si>
    <t xml:space="preserve">NACL IN</t>
  </si>
  <si>
    <t xml:space="preserve">INE139A01034</t>
  </si>
  <si>
    <t xml:space="preserve">National Fertilizers Ltd</t>
  </si>
  <si>
    <t xml:space="preserve">NFL</t>
  </si>
  <si>
    <t xml:space="preserve">NFL IN</t>
  </si>
  <si>
    <t xml:space="preserve">INE870D01012</t>
  </si>
  <si>
    <t xml:space="preserve">National Peroxide Ltd</t>
  </si>
  <si>
    <t xml:space="preserve">NATPEROXID</t>
  </si>
  <si>
    <t xml:space="preserve">NPL IN</t>
  </si>
  <si>
    <t xml:space="preserve">INE585A01020</t>
  </si>
  <si>
    <t xml:space="preserve">National Standard (India) Ltd</t>
  </si>
  <si>
    <t xml:space="preserve">NTSD IN</t>
  </si>
  <si>
    <t xml:space="preserve">INE166R01015</t>
  </si>
  <si>
    <t xml:space="preserve">Nava Bharat Ventures Ltd</t>
  </si>
  <si>
    <t xml:space="preserve">NBVENTURES</t>
  </si>
  <si>
    <t xml:space="preserve">NBVL IN</t>
  </si>
  <si>
    <t xml:space="preserve">INE725A01022</t>
  </si>
  <si>
    <t xml:space="preserve">Navin Fluorine International Ltd</t>
  </si>
  <si>
    <t xml:space="preserve">NAVINFLUOR</t>
  </si>
  <si>
    <t xml:space="preserve">NFIL IN</t>
  </si>
  <si>
    <t xml:space="preserve">INE048G01026</t>
  </si>
  <si>
    <t xml:space="preserve">Navkar Corporation Ltd</t>
  </si>
  <si>
    <t xml:space="preserve">NAVKARCORP</t>
  </si>
  <si>
    <t xml:space="preserve">NACO IN</t>
  </si>
  <si>
    <t xml:space="preserve">INE278M01019</t>
  </si>
  <si>
    <t xml:space="preserve">Navneet Education Ltd</t>
  </si>
  <si>
    <t xml:space="preserve">NAVNETEDUL</t>
  </si>
  <si>
    <t xml:space="preserve">NELI IN</t>
  </si>
  <si>
    <t xml:space="preserve">INE060A01024</t>
  </si>
  <si>
    <t xml:space="preserve">Nazara Technologies Ltd</t>
  </si>
  <si>
    <t xml:space="preserve">NAZARA</t>
  </si>
  <si>
    <t xml:space="preserve">NAZARA IN</t>
  </si>
  <si>
    <t xml:space="preserve">INE418L01021</t>
  </si>
  <si>
    <t xml:space="preserve">NBCC (India) Ltd</t>
  </si>
  <si>
    <t xml:space="preserve">NBCC</t>
  </si>
  <si>
    <t xml:space="preserve">NBCC IN</t>
  </si>
  <si>
    <t xml:space="preserve">INE095N01031</t>
  </si>
  <si>
    <t xml:space="preserve">NCC Ltd</t>
  </si>
  <si>
    <t xml:space="preserve">NCC</t>
  </si>
  <si>
    <t xml:space="preserve">NJCC IN</t>
  </si>
  <si>
    <t xml:space="preserve">INE868B01028</t>
  </si>
  <si>
    <t xml:space="preserve">NCL Industries Ltd</t>
  </si>
  <si>
    <t xml:space="preserve">NCLIND</t>
  </si>
  <si>
    <t xml:space="preserve">NCLI IN</t>
  </si>
  <si>
    <t xml:space="preserve">INE732C01016</t>
  </si>
  <si>
    <t xml:space="preserve">Nectar Lifesciences Ltd</t>
  </si>
  <si>
    <t xml:space="preserve">NECLIFE</t>
  </si>
  <si>
    <t xml:space="preserve">NLSC IN</t>
  </si>
  <si>
    <t xml:space="preserve">INE023H01027</t>
  </si>
  <si>
    <t xml:space="preserve">Nelcast Ltd</t>
  </si>
  <si>
    <t xml:space="preserve">NELCAST</t>
  </si>
  <si>
    <t xml:space="preserve">NELC IN</t>
  </si>
  <si>
    <t xml:space="preserve">INE189I01024</t>
  </si>
  <si>
    <t xml:space="preserve">Nelco Ltd</t>
  </si>
  <si>
    <t xml:space="preserve">NELCO</t>
  </si>
  <si>
    <t xml:space="preserve">NELCO IN</t>
  </si>
  <si>
    <t xml:space="preserve">INE045B01015</t>
  </si>
  <si>
    <t xml:space="preserve">Neogen Chemicals Ltd</t>
  </si>
  <si>
    <t xml:space="preserve">NEOGEN</t>
  </si>
  <si>
    <t xml:space="preserve">NEOGEN IN</t>
  </si>
  <si>
    <t xml:space="preserve">INE136S01016</t>
  </si>
  <si>
    <t xml:space="preserve">Nesco Ltd</t>
  </si>
  <si>
    <t xml:space="preserve">NESCO</t>
  </si>
  <si>
    <t xml:space="preserve">NSE IN</t>
  </si>
  <si>
    <t xml:space="preserve">INE317F01035</t>
  </si>
  <si>
    <t xml:space="preserve">Nestle India Ltd</t>
  </si>
  <si>
    <t xml:space="preserve">NESTLEIND</t>
  </si>
  <si>
    <t xml:space="preserve">NEST IN</t>
  </si>
  <si>
    <t xml:space="preserve">INE239A01016</t>
  </si>
  <si>
    <t xml:space="preserve">Network 18 Media &amp; Investments Ltd</t>
  </si>
  <si>
    <t xml:space="preserve">NETWORK18</t>
  </si>
  <si>
    <t xml:space="preserve">NETM IN</t>
  </si>
  <si>
    <t xml:space="preserve">INE870H01013</t>
  </si>
  <si>
    <t xml:space="preserve">Neuland Laboratories Ltd</t>
  </si>
  <si>
    <t xml:space="preserve">NEULANDLAB</t>
  </si>
  <si>
    <t xml:space="preserve">NLL IN</t>
  </si>
  <si>
    <t xml:space="preserve">INE794A01010</t>
  </si>
  <si>
    <t xml:space="preserve">New Delhi Television Ltd</t>
  </si>
  <si>
    <t xml:space="preserve">NDTV</t>
  </si>
  <si>
    <t xml:space="preserve">NDTV IN</t>
  </si>
  <si>
    <t xml:space="preserve">INE155G01029</t>
  </si>
  <si>
    <t xml:space="preserve">Newgen Software Technologies Ltd</t>
  </si>
  <si>
    <t xml:space="preserve">NEWGEN</t>
  </si>
  <si>
    <t xml:space="preserve">NEWGEN IN</t>
  </si>
  <si>
    <t xml:space="preserve">INE619B01017</t>
  </si>
  <si>
    <t xml:space="preserve">NGL Fine-Chem Ltd</t>
  </si>
  <si>
    <t xml:space="preserve">NGLF IN</t>
  </si>
  <si>
    <t xml:space="preserve">INE887E01022</t>
  </si>
  <si>
    <t xml:space="preserve">NHPC Ltd</t>
  </si>
  <si>
    <t xml:space="preserve">NHPC</t>
  </si>
  <si>
    <t xml:space="preserve">NHPC IN</t>
  </si>
  <si>
    <t xml:space="preserve">INE848E01016</t>
  </si>
  <si>
    <t xml:space="preserve">NIIT Ltd</t>
  </si>
  <si>
    <t xml:space="preserve">NIITLTD</t>
  </si>
  <si>
    <t xml:space="preserve">NIIT IN</t>
  </si>
  <si>
    <t xml:space="preserve">INE161A01038</t>
  </si>
  <si>
    <t xml:space="preserve">Nilkamal Ltd</t>
  </si>
  <si>
    <t xml:space="preserve">NILKAMAL</t>
  </si>
  <si>
    <t xml:space="preserve">NILK IN</t>
  </si>
  <si>
    <t xml:space="preserve">INE310A01015</t>
  </si>
  <si>
    <t xml:space="preserve">Nippon Life India Asset Management Ltd</t>
  </si>
  <si>
    <t xml:space="preserve">NAM-INDIA</t>
  </si>
  <si>
    <t xml:space="preserve">NAM IN</t>
  </si>
  <si>
    <t xml:space="preserve">INE298J01013</t>
  </si>
  <si>
    <t xml:space="preserve">Nirlon Ltd</t>
  </si>
  <si>
    <t xml:space="preserve">NIRLON</t>
  </si>
  <si>
    <t xml:space="preserve">NIRL IN</t>
  </si>
  <si>
    <t xml:space="preserve">INE910A01012</t>
  </si>
  <si>
    <t xml:space="preserve">Nitin Spinners Ltd</t>
  </si>
  <si>
    <t xml:space="preserve">NITINSPIN</t>
  </si>
  <si>
    <t xml:space="preserve">NSPL IN</t>
  </si>
  <si>
    <t xml:space="preserve">INE229H01012</t>
  </si>
  <si>
    <t xml:space="preserve">Niyogin Fintech Ltd</t>
  </si>
  <si>
    <t xml:space="preserve">NIYOGIN IN</t>
  </si>
  <si>
    <t xml:space="preserve">INE480D01010</t>
  </si>
  <si>
    <t xml:space="preserve">NLC India Ltd</t>
  </si>
  <si>
    <t xml:space="preserve">NLCINDIA</t>
  </si>
  <si>
    <t xml:space="preserve">NLC IN</t>
  </si>
  <si>
    <t xml:space="preserve">INE589A01014</t>
  </si>
  <si>
    <t xml:space="preserve">NMDC Ltd</t>
  </si>
  <si>
    <t xml:space="preserve">NMDC</t>
  </si>
  <si>
    <t xml:space="preserve">NMDC IN</t>
  </si>
  <si>
    <t xml:space="preserve">INE584A01023</t>
  </si>
  <si>
    <t xml:space="preserve">Nocil Ltd</t>
  </si>
  <si>
    <t xml:space="preserve">NOCIL</t>
  </si>
  <si>
    <t xml:space="preserve">NOCIL IN</t>
  </si>
  <si>
    <t xml:space="preserve">INE163A01018</t>
  </si>
  <si>
    <t xml:space="preserve">Novartis India Ltd</t>
  </si>
  <si>
    <t xml:space="preserve">NOVARTIND</t>
  </si>
  <si>
    <t xml:space="preserve">HCBA IN</t>
  </si>
  <si>
    <t xml:space="preserve">INE234A01025</t>
  </si>
  <si>
    <t xml:space="preserve">NRB Bearings Ltd</t>
  </si>
  <si>
    <t xml:space="preserve">NRBBEARING</t>
  </si>
  <si>
    <t xml:space="preserve">NRBBR IN</t>
  </si>
  <si>
    <t xml:space="preserve">INE349A01021</t>
  </si>
  <si>
    <t xml:space="preserve">NTPC Ltd</t>
  </si>
  <si>
    <t xml:space="preserve">NTPC</t>
  </si>
  <si>
    <t xml:space="preserve">NTPC IN</t>
  </si>
  <si>
    <t xml:space="preserve">INE733E01010</t>
  </si>
  <si>
    <t xml:space="preserve">Nucleus Software Exports Ltd</t>
  </si>
  <si>
    <t xml:space="preserve">NUCLEUS</t>
  </si>
  <si>
    <t xml:space="preserve">NCS IN</t>
  </si>
  <si>
    <t xml:space="preserve">INE096B01018</t>
  </si>
  <si>
    <t xml:space="preserve">Nureca Ltd</t>
  </si>
  <si>
    <t xml:space="preserve">NURECA</t>
  </si>
  <si>
    <t xml:space="preserve">NURECA IN</t>
  </si>
  <si>
    <t xml:space="preserve">INE0DSF01015</t>
  </si>
  <si>
    <t xml:space="preserve">Nuvoco Vistas Corporation Ltd</t>
  </si>
  <si>
    <t xml:space="preserve">NUVOCO</t>
  </si>
  <si>
    <t xml:space="preserve">NUVOCO IN</t>
  </si>
  <si>
    <t xml:space="preserve">INE118D01016</t>
  </si>
  <si>
    <t xml:space="preserve">NXTDigital Ltd</t>
  </si>
  <si>
    <t xml:space="preserve">NXTDIGITAL</t>
  </si>
  <si>
    <t xml:space="preserve">NXTD IN</t>
  </si>
  <si>
    <t xml:space="preserve">INE353A01023</t>
  </si>
  <si>
    <t xml:space="preserve">Oberoi Realty Ltd</t>
  </si>
  <si>
    <t xml:space="preserve">OBEROIRLTY</t>
  </si>
  <si>
    <t xml:space="preserve">OBER IN</t>
  </si>
  <si>
    <t xml:space="preserve">INE093I01010</t>
  </si>
  <si>
    <t xml:space="preserve">Oil &amp; Natural Gas Corporation Ltd</t>
  </si>
  <si>
    <t xml:space="preserve">ONGC</t>
  </si>
  <si>
    <t xml:space="preserve">ONGC IN</t>
  </si>
  <si>
    <t xml:space="preserve">INE213A01029</t>
  </si>
  <si>
    <t xml:space="preserve">Oil India Ltd</t>
  </si>
  <si>
    <t xml:space="preserve">OIL</t>
  </si>
  <si>
    <t xml:space="preserve">OINL IN</t>
  </si>
  <si>
    <t xml:space="preserve">INE274J01014</t>
  </si>
  <si>
    <t xml:space="preserve">Olectra Greentech Ltd</t>
  </si>
  <si>
    <t xml:space="preserve">OLECTRA</t>
  </si>
  <si>
    <t xml:space="preserve">OLECTRA IN</t>
  </si>
  <si>
    <t xml:space="preserve">INE260D01016</t>
  </si>
  <si>
    <t xml:space="preserve">Omaxe Ltd</t>
  </si>
  <si>
    <t xml:space="preserve">OMAXE</t>
  </si>
  <si>
    <t xml:space="preserve">OAXE IN</t>
  </si>
  <si>
    <t xml:space="preserve">INE800H01010</t>
  </si>
  <si>
    <t xml:space="preserve">One97 Communications Ltd</t>
  </si>
  <si>
    <t xml:space="preserve">PAYTM</t>
  </si>
  <si>
    <t xml:space="preserve">PAYTM IN</t>
  </si>
  <si>
    <t xml:space="preserve">INE982J01020</t>
  </si>
  <si>
    <t xml:space="preserve">Onmobile Global Ltd</t>
  </si>
  <si>
    <t xml:space="preserve">ONMOBILE</t>
  </si>
  <si>
    <t xml:space="preserve">ONMB IN</t>
  </si>
  <si>
    <t xml:space="preserve">INE809I01019</t>
  </si>
  <si>
    <t xml:space="preserve">Onward Technologies Ltd</t>
  </si>
  <si>
    <t xml:space="preserve">ONWARDTEC</t>
  </si>
  <si>
    <t xml:space="preserve">ONT IN</t>
  </si>
  <si>
    <t xml:space="preserve">INE229A01017</t>
  </si>
  <si>
    <t xml:space="preserve">Optiemus Infracom Ltd</t>
  </si>
  <si>
    <t xml:space="preserve">OPTIEMUS</t>
  </si>
  <si>
    <t xml:space="preserve">OPIL IN</t>
  </si>
  <si>
    <t xml:space="preserve">INE350C01017</t>
  </si>
  <si>
    <t xml:space="preserve">Oracle Financial Services Software Ltd</t>
  </si>
  <si>
    <t xml:space="preserve">OFSS</t>
  </si>
  <si>
    <t xml:space="preserve">OFSS IN</t>
  </si>
  <si>
    <t xml:space="preserve">INE881D01027</t>
  </si>
  <si>
    <t xml:space="preserve">Orchid Pharma Ltd</t>
  </si>
  <si>
    <t xml:space="preserve">ORCHPHARMA</t>
  </si>
  <si>
    <t xml:space="preserve">ORCP IN</t>
  </si>
  <si>
    <t xml:space="preserve">INE191A01027</t>
  </si>
  <si>
    <t xml:space="preserve">Oricon Enterprises Ltd</t>
  </si>
  <si>
    <t xml:space="preserve">ORICONENT</t>
  </si>
  <si>
    <t xml:space="preserve">OTE IN</t>
  </si>
  <si>
    <t xml:space="preserve">INE730A01022</t>
  </si>
  <si>
    <t xml:space="preserve">Orient Cement Ltd</t>
  </si>
  <si>
    <t xml:space="preserve">ORIENTCEM</t>
  </si>
  <si>
    <t xml:space="preserve">ORCMNT IN</t>
  </si>
  <si>
    <t xml:space="preserve">INE876N01018</t>
  </si>
  <si>
    <t xml:space="preserve">Orient Electric Ltd</t>
  </si>
  <si>
    <t xml:space="preserve">ORIENTELEC</t>
  </si>
  <si>
    <t xml:space="preserve">ORIENTEL IN</t>
  </si>
  <si>
    <t xml:space="preserve">INE142Z01019</t>
  </si>
  <si>
    <t xml:space="preserve">Orient Green Power Company Ltd</t>
  </si>
  <si>
    <t xml:space="preserve">GREENPOWER</t>
  </si>
  <si>
    <t xml:space="preserve">OGPL IN</t>
  </si>
  <si>
    <t xml:space="preserve">INE999K01014</t>
  </si>
  <si>
    <t xml:space="preserve">Orient Paper &amp; Industries Ltd</t>
  </si>
  <si>
    <t xml:space="preserve">ORIENTPPR</t>
  </si>
  <si>
    <t xml:space="preserve">OPI IN</t>
  </si>
  <si>
    <t xml:space="preserve">INE592A01026</t>
  </si>
  <si>
    <t xml:space="preserve">Oriental Aromatics Ltd</t>
  </si>
  <si>
    <t xml:space="preserve">OAL</t>
  </si>
  <si>
    <t xml:space="preserve">OAL IN</t>
  </si>
  <si>
    <t xml:space="preserve">INE959C01023</t>
  </si>
  <si>
    <t xml:space="preserve">Oriental Carbon &amp; Chemicals Ltd</t>
  </si>
  <si>
    <t xml:space="preserve">OCCL</t>
  </si>
  <si>
    <t xml:space="preserve">OTCC IN</t>
  </si>
  <si>
    <t xml:space="preserve">INE321D01016</t>
  </si>
  <si>
    <t xml:space="preserve">Oriental Hotels Ltd</t>
  </si>
  <si>
    <t xml:space="preserve">ORIENTHOT</t>
  </si>
  <si>
    <t xml:space="preserve">OTH IN</t>
  </si>
  <si>
    <t xml:space="preserve">INE750A01020</t>
  </si>
  <si>
    <t xml:space="preserve">Oriental Rail Infrastructure Ltd</t>
  </si>
  <si>
    <t xml:space="preserve">OVP IN</t>
  </si>
  <si>
    <t xml:space="preserve">INE457G01029</t>
  </si>
  <si>
    <t xml:space="preserve">Orissa Bengal Carrier Ltd</t>
  </si>
  <si>
    <t xml:space="preserve">OBCL IN</t>
  </si>
  <si>
    <t xml:space="preserve">INE426Z01016</t>
  </si>
  <si>
    <t xml:space="preserve">Oswal Greentech Ltd</t>
  </si>
  <si>
    <t xml:space="preserve">BINDALAGRO</t>
  </si>
  <si>
    <t xml:space="preserve">OGL IN</t>
  </si>
  <si>
    <t xml:space="preserve">INE143A01010</t>
  </si>
  <si>
    <t xml:space="preserve">Page Industries Ltd</t>
  </si>
  <si>
    <t xml:space="preserve">PAGEIND</t>
  </si>
  <si>
    <t xml:space="preserve">PAG IN</t>
  </si>
  <si>
    <t xml:space="preserve">INE761H01022</t>
  </si>
  <si>
    <t xml:space="preserve">Paisalo Digital Ltd</t>
  </si>
  <si>
    <t xml:space="preserve">PAISALO</t>
  </si>
  <si>
    <t xml:space="preserve">PAISALO IN</t>
  </si>
  <si>
    <t xml:space="preserve">INE420C01042</t>
  </si>
  <si>
    <t xml:space="preserve">Panacea Biotec Ltd</t>
  </si>
  <si>
    <t xml:space="preserve">PANACEABIO</t>
  </si>
  <si>
    <t xml:space="preserve">PNCB IN</t>
  </si>
  <si>
    <t xml:space="preserve">INE922B01023</t>
  </si>
  <si>
    <t xml:space="preserve">Panama Petrochem Ltd</t>
  </si>
  <si>
    <t xml:space="preserve">PANAMAPET</t>
  </si>
  <si>
    <t xml:space="preserve">PNPC IN</t>
  </si>
  <si>
    <t xml:space="preserve">INE305C01029</t>
  </si>
  <si>
    <t xml:space="preserve">Parag Milk Foods Ltd</t>
  </si>
  <si>
    <t xml:space="preserve">PARAGMILK</t>
  </si>
  <si>
    <t xml:space="preserve">PARAG IN</t>
  </si>
  <si>
    <t xml:space="preserve">INE883N01014</t>
  </si>
  <si>
    <t xml:space="preserve">Paras Defence And Space Technologies Ltd</t>
  </si>
  <si>
    <t xml:space="preserve">PARAS</t>
  </si>
  <si>
    <t xml:space="preserve">PARAS IN</t>
  </si>
  <si>
    <t xml:space="preserve">INE045601015</t>
  </si>
  <si>
    <t xml:space="preserve">Parsvnath Developers Ltd</t>
  </si>
  <si>
    <t xml:space="preserve">PARSVNATH</t>
  </si>
  <si>
    <t xml:space="preserve">PARSV IN</t>
  </si>
  <si>
    <t xml:space="preserve">INE561H01026</t>
  </si>
  <si>
    <t xml:space="preserve">Patel Engineering Ltd</t>
  </si>
  <si>
    <t xml:space="preserve">PATELENG</t>
  </si>
  <si>
    <t xml:space="preserve">PEC IN</t>
  </si>
  <si>
    <t xml:space="preserve">INE244B01030</t>
  </si>
  <si>
    <t xml:space="preserve">Paushak Ltd</t>
  </si>
  <si>
    <t xml:space="preserve">PAUS IN</t>
  </si>
  <si>
    <t xml:space="preserve">INE111F01016</t>
  </si>
  <si>
    <t xml:space="preserve">PB Fintech Ltd</t>
  </si>
  <si>
    <t xml:space="preserve">POLICYBZR</t>
  </si>
  <si>
    <t xml:space="preserve">POLICYBZ IN</t>
  </si>
  <si>
    <t xml:space="preserve">INE417T01026</t>
  </si>
  <si>
    <t xml:space="preserve">PC Jeweller Ltd</t>
  </si>
  <si>
    <t xml:space="preserve">PCJEWELLER</t>
  </si>
  <si>
    <t xml:space="preserve">PCJL IN</t>
  </si>
  <si>
    <t xml:space="preserve">INE785M01013</t>
  </si>
  <si>
    <t xml:space="preserve">PCBL Ltd</t>
  </si>
  <si>
    <t xml:space="preserve">PHILIPCARB</t>
  </si>
  <si>
    <t xml:space="preserve">PHCB IN</t>
  </si>
  <si>
    <t xml:space="preserve">INE602A01023</t>
  </si>
  <si>
    <t xml:space="preserve">PDS Multinational Fashions Ltd</t>
  </si>
  <si>
    <t xml:space="preserve">PDSMFL</t>
  </si>
  <si>
    <t xml:space="preserve">PMFL IN</t>
  </si>
  <si>
    <t xml:space="preserve">INE111Q01013</t>
  </si>
  <si>
    <t xml:space="preserve">Pearl Global Industries Ltd</t>
  </si>
  <si>
    <t xml:space="preserve">PGIL</t>
  </si>
  <si>
    <t xml:space="preserve">PGIL IN</t>
  </si>
  <si>
    <t xml:space="preserve">INE940H01014</t>
  </si>
  <si>
    <t xml:space="preserve">Persistent Systems Ltd</t>
  </si>
  <si>
    <t xml:space="preserve">PERSISTENT</t>
  </si>
  <si>
    <t xml:space="preserve">PSYS IN</t>
  </si>
  <si>
    <t xml:space="preserve">INE262H01013</t>
  </si>
  <si>
    <t xml:space="preserve">Petronet LNG Ltd</t>
  </si>
  <si>
    <t xml:space="preserve">PETRONET</t>
  </si>
  <si>
    <t xml:space="preserve">PLNG IN</t>
  </si>
  <si>
    <t xml:space="preserve">INE347G01014</t>
  </si>
  <si>
    <t xml:space="preserve">Pfizer Ltd</t>
  </si>
  <si>
    <t xml:space="preserve">PFIZER</t>
  </si>
  <si>
    <t xml:space="preserve">PFIZ IN</t>
  </si>
  <si>
    <t xml:space="preserve">INE182A01018</t>
  </si>
  <si>
    <t xml:space="preserve">PG Electroplast Ltd</t>
  </si>
  <si>
    <t xml:space="preserve">PGEL</t>
  </si>
  <si>
    <t xml:space="preserve">PGEL IN</t>
  </si>
  <si>
    <t xml:space="preserve">INE457L01011</t>
  </si>
  <si>
    <t xml:space="preserve">PI Industries Ltd</t>
  </si>
  <si>
    <t xml:space="preserve">PIIND</t>
  </si>
  <si>
    <t xml:space="preserve">PI IN</t>
  </si>
  <si>
    <t xml:space="preserve">INE603J01030</t>
  </si>
  <si>
    <t xml:space="preserve">Pidilite Industries Ltd</t>
  </si>
  <si>
    <t xml:space="preserve">PIDILITIND</t>
  </si>
  <si>
    <t xml:space="preserve">PIDI IN</t>
  </si>
  <si>
    <t xml:space="preserve">INE318A01026</t>
  </si>
  <si>
    <t xml:space="preserve">Pilani Investment And Industries Corporation Ltd</t>
  </si>
  <si>
    <t xml:space="preserve">PILANIINVS</t>
  </si>
  <si>
    <t xml:space="preserve">PIICL IN</t>
  </si>
  <si>
    <t xml:space="preserve">INE417C01014</t>
  </si>
  <si>
    <t xml:space="preserve">Piramal Enterprises Ltd</t>
  </si>
  <si>
    <t xml:space="preserve">PEL</t>
  </si>
  <si>
    <t xml:space="preserve">PIEL IN</t>
  </si>
  <si>
    <t xml:space="preserve">INE140A01024</t>
  </si>
  <si>
    <t xml:space="preserve">Pitti Engineering Ltd</t>
  </si>
  <si>
    <t xml:space="preserve">PITTIENG</t>
  </si>
  <si>
    <t xml:space="preserve">PITTIENG IN</t>
  </si>
  <si>
    <t xml:space="preserve">INE450D01021</t>
  </si>
  <si>
    <t xml:space="preserve">Pix Transmissions Ltd</t>
  </si>
  <si>
    <t xml:space="preserve">PIX IN</t>
  </si>
  <si>
    <t xml:space="preserve">INE751B01018</t>
  </si>
  <si>
    <t xml:space="preserve">Plastiblends India Ltd</t>
  </si>
  <si>
    <t xml:space="preserve">PLASTIBLEN</t>
  </si>
  <si>
    <t xml:space="preserve">PBL IN</t>
  </si>
  <si>
    <t xml:space="preserve">INE083C01022</t>
  </si>
  <si>
    <t xml:space="preserve">PNB Gilts Ltd</t>
  </si>
  <si>
    <t xml:space="preserve">PNBGILTS</t>
  </si>
  <si>
    <t xml:space="preserve">PGLT IN</t>
  </si>
  <si>
    <t xml:space="preserve">INE859A01011</t>
  </si>
  <si>
    <t xml:space="preserve">PNB Housing Finance Ltd</t>
  </si>
  <si>
    <t xml:space="preserve">PNBHOUSING</t>
  </si>
  <si>
    <t xml:space="preserve">PNBHOUSI IN</t>
  </si>
  <si>
    <t xml:space="preserve">INE572E01012</t>
  </si>
  <si>
    <t xml:space="preserve">PNC Infratech Ltd</t>
  </si>
  <si>
    <t xml:space="preserve">PNCINFRA</t>
  </si>
  <si>
    <t xml:space="preserve">PNCL IN</t>
  </si>
  <si>
    <t xml:space="preserve">INE195J01029</t>
  </si>
  <si>
    <t xml:space="preserve">Pokarna Ltd</t>
  </si>
  <si>
    <t xml:space="preserve">POKARNA</t>
  </si>
  <si>
    <t xml:space="preserve">POKR IN</t>
  </si>
  <si>
    <t xml:space="preserve">INE637C01025</t>
  </si>
  <si>
    <t xml:space="preserve">Polo Queen Industrial &amp; Fintech Ltd</t>
  </si>
  <si>
    <t xml:space="preserve">PQIF IN</t>
  </si>
  <si>
    <t xml:space="preserve">INE689M01017</t>
  </si>
  <si>
    <t xml:space="preserve">Poly Medicure Ltd</t>
  </si>
  <si>
    <t xml:space="preserve">POLYMED</t>
  </si>
  <si>
    <t xml:space="preserve">PLM IN</t>
  </si>
  <si>
    <t xml:space="preserve">INE205C01021</t>
  </si>
  <si>
    <t xml:space="preserve">Polycab India Ltd</t>
  </si>
  <si>
    <t xml:space="preserve">POLYCAB</t>
  </si>
  <si>
    <t xml:space="preserve">POLYCAB IN</t>
  </si>
  <si>
    <t xml:space="preserve">INE455K01017</t>
  </si>
  <si>
    <t xml:space="preserve">Polyplex Corporation Ltd</t>
  </si>
  <si>
    <t xml:space="preserve">POLYPLEX</t>
  </si>
  <si>
    <t xml:space="preserve">PPC IN</t>
  </si>
  <si>
    <t xml:space="preserve">INE633B01018</t>
  </si>
  <si>
    <t xml:space="preserve">Poonawalla Fincorp Ltd</t>
  </si>
  <si>
    <t xml:space="preserve">POONAWALLA</t>
  </si>
  <si>
    <t xml:space="preserve">POONAWAL IN</t>
  </si>
  <si>
    <t xml:space="preserve">INE511C01022</t>
  </si>
  <si>
    <t xml:space="preserve">Power Finance Corporation Ltd</t>
  </si>
  <si>
    <t xml:space="preserve">PFC</t>
  </si>
  <si>
    <t xml:space="preserve">POWF IN</t>
  </si>
  <si>
    <t xml:space="preserve">INE134E01011</t>
  </si>
  <si>
    <t xml:space="preserve">Power Grid Corporation Of India Ltd</t>
  </si>
  <si>
    <t xml:space="preserve">POWERGRID</t>
  </si>
  <si>
    <t xml:space="preserve">PWGR IN</t>
  </si>
  <si>
    <t xml:space="preserve">INE752E01010</t>
  </si>
  <si>
    <t xml:space="preserve">Power Mech Projects Ltd</t>
  </si>
  <si>
    <t xml:space="preserve">POWERMECH</t>
  </si>
  <si>
    <t xml:space="preserve">POWM IN</t>
  </si>
  <si>
    <t xml:space="preserve">INE211R01019</t>
  </si>
  <si>
    <t xml:space="preserve">Praj Industries Ltd</t>
  </si>
  <si>
    <t xml:space="preserve">PRAJIND</t>
  </si>
  <si>
    <t xml:space="preserve">PRJ IN</t>
  </si>
  <si>
    <t xml:space="preserve">INE074A01025</t>
  </si>
  <si>
    <t xml:space="preserve">Prakash Industries Ltd</t>
  </si>
  <si>
    <t xml:space="preserve">PRAKASH</t>
  </si>
  <si>
    <t xml:space="preserve">PKI IN</t>
  </si>
  <si>
    <t xml:space="preserve">INE603A01013</t>
  </si>
  <si>
    <t xml:space="preserve">Prataap Snacks Ltd</t>
  </si>
  <si>
    <t xml:space="preserve">DIAMONDYD</t>
  </si>
  <si>
    <t xml:space="preserve">DIAMOND IN</t>
  </si>
  <si>
    <t xml:space="preserve">INE393P01035</t>
  </si>
  <si>
    <t xml:space="preserve">Precision Camshafts Ltd</t>
  </si>
  <si>
    <t xml:space="preserve">PRECAM</t>
  </si>
  <si>
    <t xml:space="preserve">PRECAM IN</t>
  </si>
  <si>
    <t xml:space="preserve">INE484I01029</t>
  </si>
  <si>
    <t xml:space="preserve">Precision Wires India Ltd</t>
  </si>
  <si>
    <t xml:space="preserve">PRECWIRE</t>
  </si>
  <si>
    <t xml:space="preserve">PWI IN</t>
  </si>
  <si>
    <t xml:space="preserve">INE372C01037</t>
  </si>
  <si>
    <t xml:space="preserve">Prestige Estates Projects Ltd</t>
  </si>
  <si>
    <t xml:space="preserve">PRESTIGE</t>
  </si>
  <si>
    <t xml:space="preserve">PEPL IN</t>
  </si>
  <si>
    <t xml:space="preserve">INE811K01011</t>
  </si>
  <si>
    <t xml:space="preserve">Pricol Ltd</t>
  </si>
  <si>
    <t xml:space="preserve">PRICOLLTD</t>
  </si>
  <si>
    <t xml:space="preserve">PRICOL IN</t>
  </si>
  <si>
    <t xml:space="preserve">INE726V01018</t>
  </si>
  <si>
    <t xml:space="preserve">Prime Focus Ltd</t>
  </si>
  <si>
    <t xml:space="preserve">PFOCUS</t>
  </si>
  <si>
    <t xml:space="preserve">PRIF IN</t>
  </si>
  <si>
    <t xml:space="preserve">INE367G01038</t>
  </si>
  <si>
    <t xml:space="preserve">Prince Pipes and Fittings Ltd</t>
  </si>
  <si>
    <t xml:space="preserve">PRINCEPIPE</t>
  </si>
  <si>
    <t xml:space="preserve">PRINCPIP IN</t>
  </si>
  <si>
    <t xml:space="preserve">INE689W01016</t>
  </si>
  <si>
    <t xml:space="preserve">Prism Johnson Ltd</t>
  </si>
  <si>
    <t xml:space="preserve">PRSMJOHNSN</t>
  </si>
  <si>
    <t xml:space="preserve">PRSMJ IN</t>
  </si>
  <si>
    <t xml:space="preserve">INE010A01011</t>
  </si>
  <si>
    <t xml:space="preserve">Privi Speciality Chemicals Ltd</t>
  </si>
  <si>
    <t xml:space="preserve">PRIVISCL</t>
  </si>
  <si>
    <t xml:space="preserve">PRIVISCL IN</t>
  </si>
  <si>
    <t xml:space="preserve">INE959A01019</t>
  </si>
  <si>
    <t xml:space="preserve">Procter &amp; Gamble Health Ltd</t>
  </si>
  <si>
    <t xml:space="preserve">PGHL</t>
  </si>
  <si>
    <t xml:space="preserve">PGHL IN</t>
  </si>
  <si>
    <t xml:space="preserve">INE199A01012</t>
  </si>
  <si>
    <t xml:space="preserve">Procter &amp; Gamble Hygiene and Health Care Ltd</t>
  </si>
  <si>
    <t xml:space="preserve">PGHH</t>
  </si>
  <si>
    <t xml:space="preserve">PG IN</t>
  </si>
  <si>
    <t xml:space="preserve">INE179A01014</t>
  </si>
  <si>
    <t xml:space="preserve">Prozone Intu Properties Ltd</t>
  </si>
  <si>
    <t xml:space="preserve">PROZONINTU</t>
  </si>
  <si>
    <t xml:space="preserve">PROZONE IN</t>
  </si>
  <si>
    <t xml:space="preserve">INE195N01013</t>
  </si>
  <si>
    <t xml:space="preserve">PSP Projects Ltd</t>
  </si>
  <si>
    <t xml:space="preserve">PSPPROJECT</t>
  </si>
  <si>
    <t xml:space="preserve">PSPPL IN</t>
  </si>
  <si>
    <t xml:space="preserve">INE488V01015</t>
  </si>
  <si>
    <t xml:space="preserve">PTC India Financial Services Ltd</t>
  </si>
  <si>
    <t xml:space="preserve">PFS</t>
  </si>
  <si>
    <t xml:space="preserve">PTCIF IN</t>
  </si>
  <si>
    <t xml:space="preserve">INE560K01014</t>
  </si>
  <si>
    <t xml:space="preserve">PTC India Ltd</t>
  </si>
  <si>
    <t xml:space="preserve">PTC</t>
  </si>
  <si>
    <t xml:space="preserve">PTCIN IN</t>
  </si>
  <si>
    <t xml:space="preserve">INE877F01012</t>
  </si>
  <si>
    <t xml:space="preserve">PTC Industries Ltd</t>
  </si>
  <si>
    <t xml:space="preserve">PTIN IN</t>
  </si>
  <si>
    <t xml:space="preserve">INE596F01018</t>
  </si>
  <si>
    <t xml:space="preserve">Punjab Alkalies &amp; Chemicals Ltd</t>
  </si>
  <si>
    <t xml:space="preserve">PUNALKALI</t>
  </si>
  <si>
    <t xml:space="preserve">PJAC IN</t>
  </si>
  <si>
    <t xml:space="preserve">INE607A01014</t>
  </si>
  <si>
    <t xml:space="preserve">Punjab Chemicals &amp; Crop Protection Ltd</t>
  </si>
  <si>
    <t xml:space="preserve">PUNJABCHEM</t>
  </si>
  <si>
    <t xml:space="preserve">PCCP IN</t>
  </si>
  <si>
    <t xml:space="preserve">INE277B01014</t>
  </si>
  <si>
    <t xml:space="preserve">Punjab National Bank</t>
  </si>
  <si>
    <t xml:space="preserve">PNB</t>
  </si>
  <si>
    <t xml:space="preserve">PNB IN</t>
  </si>
  <si>
    <t xml:space="preserve">INE160A01022</t>
  </si>
  <si>
    <t xml:space="preserve">Puravankara Ltd</t>
  </si>
  <si>
    <t xml:space="preserve">PURVA</t>
  </si>
  <si>
    <t xml:space="preserve">PURVA IN</t>
  </si>
  <si>
    <t xml:space="preserve">INE323I01011</t>
  </si>
  <si>
    <t xml:space="preserve">PVR Ltd</t>
  </si>
  <si>
    <t xml:space="preserve">PVR</t>
  </si>
  <si>
    <t xml:space="preserve">PVRL IN</t>
  </si>
  <si>
    <t xml:space="preserve">INE191H01014</t>
  </si>
  <si>
    <t xml:space="preserve">Quess Corp Ltd</t>
  </si>
  <si>
    <t xml:space="preserve">QUESS</t>
  </si>
  <si>
    <t xml:space="preserve">QUESS IN</t>
  </si>
  <si>
    <t xml:space="preserve">INE615P01015</t>
  </si>
  <si>
    <t xml:space="preserve">Quick Heal Technologies Ltd</t>
  </si>
  <si>
    <t xml:space="preserve">QUICKHEAL</t>
  </si>
  <si>
    <t xml:space="preserve">QUICKHEA IN</t>
  </si>
  <si>
    <t xml:space="preserve">INE306L01010</t>
  </si>
  <si>
    <t xml:space="preserve">Quint Digital Media Ltd</t>
  </si>
  <si>
    <t xml:space="preserve">GMRL IN</t>
  </si>
  <si>
    <t xml:space="preserve">INE641R01017</t>
  </si>
  <si>
    <t xml:space="preserve">R Systems International Ltd</t>
  </si>
  <si>
    <t xml:space="preserve">RSYSTEMS</t>
  </si>
  <si>
    <t xml:space="preserve">RSYS IN</t>
  </si>
  <si>
    <t xml:space="preserve">INE411H01032</t>
  </si>
  <si>
    <t xml:space="preserve">RACL Geartech Ltd</t>
  </si>
  <si>
    <t xml:space="preserve">RAC IN</t>
  </si>
  <si>
    <t xml:space="preserve">INE704B01017</t>
  </si>
  <si>
    <t xml:space="preserve">Radhe Developers (India) Ltd</t>
  </si>
  <si>
    <t xml:space="preserve">RDD IN</t>
  </si>
  <si>
    <t xml:space="preserve">INE986B01036</t>
  </si>
  <si>
    <t xml:space="preserve">Radico Khaitan Ltd</t>
  </si>
  <si>
    <t xml:space="preserve">RADICO</t>
  </si>
  <si>
    <t xml:space="preserve">RDCK IN</t>
  </si>
  <si>
    <t xml:space="preserve">INE944F01028</t>
  </si>
  <si>
    <t xml:space="preserve">Raghav Productivity Enhancers Ltd</t>
  </si>
  <si>
    <t xml:space="preserve">RPE IN</t>
  </si>
  <si>
    <t xml:space="preserve">INE912T01018</t>
  </si>
  <si>
    <t xml:space="preserve">Raghuvir Synthetics Ltd</t>
  </si>
  <si>
    <t xml:space="preserve">RGVS IN</t>
  </si>
  <si>
    <t xml:space="preserve">INE969C01022</t>
  </si>
  <si>
    <t xml:space="preserve">Rail Vikas Nigam Ltd</t>
  </si>
  <si>
    <t xml:space="preserve">RVNL</t>
  </si>
  <si>
    <t xml:space="preserve">RVNL IN</t>
  </si>
  <si>
    <t xml:space="preserve">INE415G01027</t>
  </si>
  <si>
    <t xml:space="preserve">Railtel Corporation Of India Ltd</t>
  </si>
  <si>
    <t xml:space="preserve">RAILTEL</t>
  </si>
  <si>
    <t xml:space="preserve">RAILTEL IN</t>
  </si>
  <si>
    <t xml:space="preserve">INE0DD101019</t>
  </si>
  <si>
    <t xml:space="preserve">Rain Industries Ltd</t>
  </si>
  <si>
    <t xml:space="preserve">RAIN</t>
  </si>
  <si>
    <t xml:space="preserve">RINDL IN</t>
  </si>
  <si>
    <t xml:space="preserve">INE855B01025</t>
  </si>
  <si>
    <t xml:space="preserve">Rajapalayam Mills Ltd</t>
  </si>
  <si>
    <t xml:space="preserve">RAJPALAYAM</t>
  </si>
  <si>
    <t xml:space="preserve">RJPM IN</t>
  </si>
  <si>
    <t xml:space="preserve">INE296E01026</t>
  </si>
  <si>
    <t xml:space="preserve">Rajesh Exports Ltd</t>
  </si>
  <si>
    <t xml:space="preserve">RAJESHEXPO</t>
  </si>
  <si>
    <t xml:space="preserve">RJEX IN</t>
  </si>
  <si>
    <t xml:space="preserve">INE343B01030</t>
  </si>
  <si>
    <t xml:space="preserve">Rajratan Global Wire Ltd</t>
  </si>
  <si>
    <t xml:space="preserve">RAJRATAN</t>
  </si>
  <si>
    <t xml:space="preserve">RGW IN</t>
  </si>
  <si>
    <t xml:space="preserve">INE451D01011</t>
  </si>
  <si>
    <t xml:space="preserve">Rallis India Ltd</t>
  </si>
  <si>
    <t xml:space="preserve">RALLIS</t>
  </si>
  <si>
    <t xml:space="preserve">RALI IN</t>
  </si>
  <si>
    <t xml:space="preserve">INE613A01020</t>
  </si>
  <si>
    <t xml:space="preserve">Rama Phosphates Ltd</t>
  </si>
  <si>
    <t xml:space="preserve">RAMAPHOSP</t>
  </si>
  <si>
    <t xml:space="preserve">RMPH IN</t>
  </si>
  <si>
    <t xml:space="preserve">INE809A01024</t>
  </si>
  <si>
    <t xml:space="preserve">Ramco Industries Ltd</t>
  </si>
  <si>
    <t xml:space="preserve">RAMCOIND</t>
  </si>
  <si>
    <t xml:space="preserve">RAMCO IN</t>
  </si>
  <si>
    <t xml:space="preserve">INE614A01028</t>
  </si>
  <si>
    <t xml:space="preserve">Ramco Systems Ltd</t>
  </si>
  <si>
    <t xml:space="preserve">RAMCOSYS</t>
  </si>
  <si>
    <t xml:space="preserve">RMCS IN</t>
  </si>
  <si>
    <t xml:space="preserve">INE246B01019</t>
  </si>
  <si>
    <t xml:space="preserve">Ramkrishna Forgings Ltd</t>
  </si>
  <si>
    <t xml:space="preserve">RKFORGE</t>
  </si>
  <si>
    <t xml:space="preserve">RMKF IN</t>
  </si>
  <si>
    <t xml:space="preserve">INE399G01015</t>
  </si>
  <si>
    <t xml:space="preserve">Ramky Infrastructure Ltd</t>
  </si>
  <si>
    <t xml:space="preserve">RAMKY</t>
  </si>
  <si>
    <t xml:space="preserve">RMKY IN</t>
  </si>
  <si>
    <t xml:space="preserve">INE874I01013</t>
  </si>
  <si>
    <t xml:space="preserve">Rane (Madras) Ltd</t>
  </si>
  <si>
    <t xml:space="preserve">RML</t>
  </si>
  <si>
    <t xml:space="preserve">RML IN</t>
  </si>
  <si>
    <t xml:space="preserve">INE050H01012</t>
  </si>
  <si>
    <t xml:space="preserve">Rane Brake Lining Ltd</t>
  </si>
  <si>
    <t xml:space="preserve">RBL</t>
  </si>
  <si>
    <t xml:space="preserve">RABL IN</t>
  </si>
  <si>
    <t xml:space="preserve">INE244J01017</t>
  </si>
  <si>
    <t xml:space="preserve">Rane Holdings Ltd</t>
  </si>
  <si>
    <t xml:space="preserve">RANEHOLDIN</t>
  </si>
  <si>
    <t xml:space="preserve">RHL IN</t>
  </si>
  <si>
    <t xml:space="preserve">INE384A01010</t>
  </si>
  <si>
    <t xml:space="preserve">Rashtriya Chemicals and Fertilizers Ltd</t>
  </si>
  <si>
    <t xml:space="preserve">RCF</t>
  </si>
  <si>
    <t xml:space="preserve">RCF IN</t>
  </si>
  <si>
    <t xml:space="preserve">INE027A01015</t>
  </si>
  <si>
    <t xml:space="preserve">RateGain Travel Technologies Ltd</t>
  </si>
  <si>
    <t xml:space="preserve">RATEGAIN</t>
  </si>
  <si>
    <t xml:space="preserve">RATEGAIN IN</t>
  </si>
  <si>
    <t xml:space="preserve">INE0CLI01024</t>
  </si>
  <si>
    <t xml:space="preserve">Ratnamani Metals &amp; Tubes Ltd</t>
  </si>
  <si>
    <t xml:space="preserve">RATNAMANI</t>
  </si>
  <si>
    <t xml:space="preserve">RMT IN</t>
  </si>
  <si>
    <t xml:space="preserve">INE703B01027</t>
  </si>
  <si>
    <t xml:space="preserve">RattanIndia Enterprises Ltd</t>
  </si>
  <si>
    <t xml:space="preserve">RTNINDIA</t>
  </si>
  <si>
    <t xml:space="preserve">RATI IN</t>
  </si>
  <si>
    <t xml:space="preserve">INE834M01019</t>
  </si>
  <si>
    <t xml:space="preserve">RattanIndia Power Ltd</t>
  </si>
  <si>
    <t xml:space="preserve">RTNPOWER</t>
  </si>
  <si>
    <t xml:space="preserve">RTPOW IN</t>
  </si>
  <si>
    <t xml:space="preserve">INE399K01017</t>
  </si>
  <si>
    <t xml:space="preserve">Ravindra Energy Ltd</t>
  </si>
  <si>
    <t xml:space="preserve">RELTD IN</t>
  </si>
  <si>
    <t xml:space="preserve">INE206N01018</t>
  </si>
  <si>
    <t xml:space="preserve">Raymond Ltd</t>
  </si>
  <si>
    <t xml:space="preserve">RAYMOND</t>
  </si>
  <si>
    <t xml:space="preserve">RW IN</t>
  </si>
  <si>
    <t xml:space="preserve">INE301A01014</t>
  </si>
  <si>
    <t xml:space="preserve">RBL Bank Ltd</t>
  </si>
  <si>
    <t xml:space="preserve">RBLBANK</t>
  </si>
  <si>
    <t xml:space="preserve">RBK IN</t>
  </si>
  <si>
    <t xml:space="preserve">INE976G01028</t>
  </si>
  <si>
    <t xml:space="preserve">REC Ltd</t>
  </si>
  <si>
    <t xml:space="preserve">RECLTD</t>
  </si>
  <si>
    <t xml:space="preserve">RECL IN</t>
  </si>
  <si>
    <t xml:space="preserve">INE020B01018</t>
  </si>
  <si>
    <t xml:space="preserve">Redington (India) Ltd</t>
  </si>
  <si>
    <t xml:space="preserve">REDINGTON</t>
  </si>
  <si>
    <t xml:space="preserve">REDI IN</t>
  </si>
  <si>
    <t xml:space="preserve">INE891D01026</t>
  </si>
  <si>
    <t xml:space="preserve">Relaxo Footwears Ltd</t>
  </si>
  <si>
    <t xml:space="preserve">RELAXO</t>
  </si>
  <si>
    <t xml:space="preserve">RLXF IN</t>
  </si>
  <si>
    <t xml:space="preserve">INE131B01039</t>
  </si>
  <si>
    <t xml:space="preserve">Reliance Communications Ltd</t>
  </si>
  <si>
    <t xml:space="preserve">RCOM</t>
  </si>
  <si>
    <t xml:space="preserve">RCOM IN</t>
  </si>
  <si>
    <t xml:space="preserve">INE330H01018</t>
  </si>
  <si>
    <t xml:space="preserve">Reliance Industrial Infrastructure Ltd</t>
  </si>
  <si>
    <t xml:space="preserve">RIIL</t>
  </si>
  <si>
    <t xml:space="preserve">RIIL IN</t>
  </si>
  <si>
    <t xml:space="preserve">INE046A01015</t>
  </si>
  <si>
    <t xml:space="preserve">Reliance Industries Ltd</t>
  </si>
  <si>
    <t xml:space="preserve">RELIANCE</t>
  </si>
  <si>
    <t xml:space="preserve">RIL IN</t>
  </si>
  <si>
    <t xml:space="preserve">INE002A01018</t>
  </si>
  <si>
    <t xml:space="preserve">Reliance Infrastructure Ltd</t>
  </si>
  <si>
    <t xml:space="preserve">RELINFRA</t>
  </si>
  <si>
    <t xml:space="preserve">RELI IN</t>
  </si>
  <si>
    <t xml:space="preserve">INE036A01016</t>
  </si>
  <si>
    <t xml:space="preserve">Reliance Power Ltd</t>
  </si>
  <si>
    <t xml:space="preserve">RPOWER</t>
  </si>
  <si>
    <t xml:space="preserve">RPWR IN</t>
  </si>
  <si>
    <t xml:space="preserve">INE614G01033</t>
  </si>
  <si>
    <t xml:space="preserve">Religare Enterprises Ltd</t>
  </si>
  <si>
    <t xml:space="preserve">RELIGARE</t>
  </si>
  <si>
    <t xml:space="preserve">RELG IN</t>
  </si>
  <si>
    <t xml:space="preserve">INE621H01010</t>
  </si>
  <si>
    <t xml:space="preserve">Renaissance Global Ltd</t>
  </si>
  <si>
    <t xml:space="preserve">RGL</t>
  </si>
  <si>
    <t xml:space="preserve">RENGL IN</t>
  </si>
  <si>
    <t xml:space="preserve">INE722H01016</t>
  </si>
  <si>
    <t xml:space="preserve">Repco Home Finance Ltd</t>
  </si>
  <si>
    <t xml:space="preserve">REPCOHOME</t>
  </si>
  <si>
    <t xml:space="preserve">REPCO IN</t>
  </si>
  <si>
    <t xml:space="preserve">INE612J01015</t>
  </si>
  <si>
    <t xml:space="preserve">Repro India Ltd</t>
  </si>
  <si>
    <t xml:space="preserve">REPRO</t>
  </si>
  <si>
    <t xml:space="preserve">REPR IN</t>
  </si>
  <si>
    <t xml:space="preserve">INE461B01014</t>
  </si>
  <si>
    <t xml:space="preserve">Responsive Industries Ltd</t>
  </si>
  <si>
    <t xml:space="preserve">RESPONIND</t>
  </si>
  <si>
    <t xml:space="preserve">RESP IN</t>
  </si>
  <si>
    <t xml:space="preserve">INE688D01026</t>
  </si>
  <si>
    <t xml:space="preserve">RHI Magnesita India Ltd</t>
  </si>
  <si>
    <t xml:space="preserve">RHIM</t>
  </si>
  <si>
    <t xml:space="preserve">RHIM IN</t>
  </si>
  <si>
    <t xml:space="preserve">INE743M01012</t>
  </si>
  <si>
    <t xml:space="preserve">Rico Auto Industries Ltd</t>
  </si>
  <si>
    <t xml:space="preserve">RICOAUTO</t>
  </si>
  <si>
    <t xml:space="preserve">RAI IN</t>
  </si>
  <si>
    <t xml:space="preserve">INE209B01025</t>
  </si>
  <si>
    <t xml:space="preserve">Rites Ltd</t>
  </si>
  <si>
    <t xml:space="preserve">RITES</t>
  </si>
  <si>
    <t xml:space="preserve">RITE IN</t>
  </si>
  <si>
    <t xml:space="preserve">INE320J01015</t>
  </si>
  <si>
    <t xml:space="preserve">Ritesh Properties &amp; Industries Ltd</t>
  </si>
  <si>
    <t xml:space="preserve">RPIL IN</t>
  </si>
  <si>
    <t xml:space="preserve">INE299D01014</t>
  </si>
  <si>
    <t xml:space="preserve">Rolex Rings Ltd</t>
  </si>
  <si>
    <t xml:space="preserve">ROLEXRINGS</t>
  </si>
  <si>
    <t xml:space="preserve">ROLEXRIN IN</t>
  </si>
  <si>
    <t xml:space="preserve">INE645S01016</t>
  </si>
  <si>
    <t xml:space="preserve">Rossari Biotech Ltd</t>
  </si>
  <si>
    <t xml:space="preserve">ROSSARI</t>
  </si>
  <si>
    <t xml:space="preserve">ROSSARI IN</t>
  </si>
  <si>
    <t xml:space="preserve">INE02A801020</t>
  </si>
  <si>
    <t xml:space="preserve">Rossell India Ltd</t>
  </si>
  <si>
    <t xml:space="preserve">ROSSELLIND</t>
  </si>
  <si>
    <t xml:space="preserve">ROST IN</t>
  </si>
  <si>
    <t xml:space="preserve">INE847C01020</t>
  </si>
  <si>
    <t xml:space="preserve">Roto Pumps Ltd</t>
  </si>
  <si>
    <t xml:space="preserve">RTP IN</t>
  </si>
  <si>
    <t xml:space="preserve">INE535D01029</t>
  </si>
  <si>
    <t xml:space="preserve">Route Mobile Ltd</t>
  </si>
  <si>
    <t xml:space="preserve">ROUTE</t>
  </si>
  <si>
    <t xml:space="preserve">ROUTE IN</t>
  </si>
  <si>
    <t xml:space="preserve">INE450U01017</t>
  </si>
  <si>
    <t xml:space="preserve">RPG Life Sciences Ltd</t>
  </si>
  <si>
    <t xml:space="preserve">RPGLIFE</t>
  </si>
  <si>
    <t xml:space="preserve">RPGL IN</t>
  </si>
  <si>
    <t xml:space="preserve">INE105J01010</t>
  </si>
  <si>
    <t xml:space="preserve">RPSG Ventures Ltd</t>
  </si>
  <si>
    <t xml:space="preserve">RPSGVENT</t>
  </si>
  <si>
    <t xml:space="preserve">CESCV IN</t>
  </si>
  <si>
    <t xml:space="preserve">INE425Y01011</t>
  </si>
  <si>
    <t xml:space="preserve">RSWM Ltd</t>
  </si>
  <si>
    <t xml:space="preserve">RSWM</t>
  </si>
  <si>
    <t xml:space="preserve">RJS IN</t>
  </si>
  <si>
    <t xml:space="preserve">INE611A01016</t>
  </si>
  <si>
    <t xml:space="preserve">Rubfila International Ltd</t>
  </si>
  <si>
    <t xml:space="preserve">RUBFILINTL</t>
  </si>
  <si>
    <t xml:space="preserve">RBFI IN</t>
  </si>
  <si>
    <t xml:space="preserve">INE642C01025</t>
  </si>
  <si>
    <t xml:space="preserve">Ruchi Soya Industries Ltd</t>
  </si>
  <si>
    <t xml:space="preserve">RUCHI</t>
  </si>
  <si>
    <t xml:space="preserve">RSI IN</t>
  </si>
  <si>
    <t xml:space="preserve">INE619A01035</t>
  </si>
  <si>
    <t xml:space="preserve">Rupa &amp; Company Ltd</t>
  </si>
  <si>
    <t xml:space="preserve">RUPA</t>
  </si>
  <si>
    <t xml:space="preserve">RUPA IN</t>
  </si>
  <si>
    <t xml:space="preserve">INE895B01021</t>
  </si>
  <si>
    <t xml:space="preserve">Rushil Decor Ltd</t>
  </si>
  <si>
    <t xml:space="preserve">RUSHIL</t>
  </si>
  <si>
    <t xml:space="preserve">RDL IN</t>
  </si>
  <si>
    <t xml:space="preserve">INE573K01017</t>
  </si>
  <si>
    <t xml:space="preserve">SPApparels Ltd</t>
  </si>
  <si>
    <t xml:space="preserve">SPAL</t>
  </si>
  <si>
    <t xml:space="preserve">SPAL IN</t>
  </si>
  <si>
    <t xml:space="preserve">INE212I01016</t>
  </si>
  <si>
    <t xml:space="preserve">Sadbhav Engineering Ltd</t>
  </si>
  <si>
    <t xml:space="preserve">SADBHAV</t>
  </si>
  <si>
    <t xml:space="preserve">SADE IN</t>
  </si>
  <si>
    <t xml:space="preserve">INE226H01026</t>
  </si>
  <si>
    <t xml:space="preserve">Sadbhav Infrastructure Project Ltd</t>
  </si>
  <si>
    <t xml:space="preserve">SADBHIN</t>
  </si>
  <si>
    <t xml:space="preserve">SINP IN</t>
  </si>
  <si>
    <t xml:space="preserve">INE764L01010</t>
  </si>
  <si>
    <t xml:space="preserve">Sadhana Nitro Chem Ltd</t>
  </si>
  <si>
    <t xml:space="preserve">SNC IN</t>
  </si>
  <si>
    <t xml:space="preserve">INE888C01040</t>
  </si>
  <si>
    <t xml:space="preserve">Safari Industries (India) Ltd</t>
  </si>
  <si>
    <t xml:space="preserve">SAFARI</t>
  </si>
  <si>
    <t xml:space="preserve">SII IN</t>
  </si>
  <si>
    <t xml:space="preserve">INE429E01023</t>
  </si>
  <si>
    <t xml:space="preserve">Sagar Cements Ltd</t>
  </si>
  <si>
    <t xml:space="preserve">SAGCEM</t>
  </si>
  <si>
    <t xml:space="preserve">SGC IN</t>
  </si>
  <si>
    <t xml:space="preserve">INE229C01021</t>
  </si>
  <si>
    <t xml:space="preserve">Sahyadri Industries Ltd</t>
  </si>
  <si>
    <t xml:space="preserve">SAHI IN</t>
  </si>
  <si>
    <t xml:space="preserve">INE280H01015</t>
  </si>
  <si>
    <t xml:space="preserve">Saint-Gobain Sekurit India Ltd</t>
  </si>
  <si>
    <t xml:space="preserve">MHGA IN</t>
  </si>
  <si>
    <t xml:space="preserve">INE068B01017</t>
  </si>
  <si>
    <t xml:space="preserve">Saksoft Ltd</t>
  </si>
  <si>
    <t xml:space="preserve">SAKSOFT</t>
  </si>
  <si>
    <t xml:space="preserve">SAK IN</t>
  </si>
  <si>
    <t xml:space="preserve">INE667G01015</t>
  </si>
  <si>
    <t xml:space="preserve">Salasar Techno Engineering Ltd</t>
  </si>
  <si>
    <t xml:space="preserve">SALASAR</t>
  </si>
  <si>
    <t xml:space="preserve">SALASAR IN</t>
  </si>
  <si>
    <t xml:space="preserve">INE170V01019</t>
  </si>
  <si>
    <t xml:space="preserve">Sandhar Technologies Ltd</t>
  </si>
  <si>
    <t xml:space="preserve">SANDHAR</t>
  </si>
  <si>
    <t xml:space="preserve">SANDHAR IN</t>
  </si>
  <si>
    <t xml:space="preserve">INE278H01035</t>
  </si>
  <si>
    <t xml:space="preserve">Sandur Manganese &amp; Iron Ores Ltd</t>
  </si>
  <si>
    <t xml:space="preserve">SMIO IN</t>
  </si>
  <si>
    <t xml:space="preserve">INE149K01016</t>
  </si>
  <si>
    <t xml:space="preserve">Sangam (India) Ltd</t>
  </si>
  <si>
    <t xml:space="preserve">SANGAMIND</t>
  </si>
  <si>
    <t xml:space="preserve">SNGM IN</t>
  </si>
  <si>
    <t xml:space="preserve">INE495C01010</t>
  </si>
  <si>
    <t xml:space="preserve">Sanghi Industries Ltd</t>
  </si>
  <si>
    <t xml:space="preserve">SANGHIIND</t>
  </si>
  <si>
    <t xml:space="preserve">SNGI IN</t>
  </si>
  <si>
    <t xml:space="preserve">INE999B01013</t>
  </si>
  <si>
    <t xml:space="preserve">Sanghvi Movers Ltd</t>
  </si>
  <si>
    <t xml:space="preserve">SANGHVIMOV</t>
  </si>
  <si>
    <t xml:space="preserve">SGM IN</t>
  </si>
  <si>
    <t xml:space="preserve">INE989A01024</t>
  </si>
  <si>
    <t xml:space="preserve">Sanofi India Ltd</t>
  </si>
  <si>
    <t xml:space="preserve">SANOFI</t>
  </si>
  <si>
    <t xml:space="preserve">SANL IN</t>
  </si>
  <si>
    <t xml:space="preserve">INE058A01010</t>
  </si>
  <si>
    <t xml:space="preserve">Sansera Engineering Ltd</t>
  </si>
  <si>
    <t xml:space="preserve">SANSERA</t>
  </si>
  <si>
    <t xml:space="preserve">SANSERA IN</t>
  </si>
  <si>
    <t xml:space="preserve">INE953O01021</t>
  </si>
  <si>
    <t xml:space="preserve">Sapphire Foods India Ltd</t>
  </si>
  <si>
    <t xml:space="preserve">SAPPHIRE</t>
  </si>
  <si>
    <t xml:space="preserve">SAPPHIRE IN</t>
  </si>
  <si>
    <t xml:space="preserve">INE806T01012</t>
  </si>
  <si>
    <t xml:space="preserve">Sarda Energy &amp; Minerals Ltd</t>
  </si>
  <si>
    <t xml:space="preserve">SARDAEN</t>
  </si>
  <si>
    <t xml:space="preserve">SEML IN</t>
  </si>
  <si>
    <t xml:space="preserve">INE385C01013</t>
  </si>
  <si>
    <t xml:space="preserve">Saregama India Ltd</t>
  </si>
  <si>
    <t xml:space="preserve">SAREGAMA</t>
  </si>
  <si>
    <t xml:space="preserve">SARE IN</t>
  </si>
  <si>
    <t xml:space="preserve">INE979A01017</t>
  </si>
  <si>
    <t xml:space="preserve">Sarla Performance Fibers Ltd</t>
  </si>
  <si>
    <t xml:space="preserve">SARLAPOLY</t>
  </si>
  <si>
    <t xml:space="preserve">SRPL IN</t>
  </si>
  <si>
    <t xml:space="preserve">INE453D01025</t>
  </si>
  <si>
    <t xml:space="preserve">Sasken Technologies Ltd</t>
  </si>
  <si>
    <t xml:space="preserve">SASKEN</t>
  </si>
  <si>
    <t xml:space="preserve">SASKEN IN</t>
  </si>
  <si>
    <t xml:space="preserve">INE231F01020</t>
  </si>
  <si>
    <t xml:space="preserve">Sastasundar Ventures Ltd</t>
  </si>
  <si>
    <t xml:space="preserve">SASTASUNDR</t>
  </si>
  <si>
    <t xml:space="preserve">SASV IN</t>
  </si>
  <si>
    <t xml:space="preserve">INE019J01013</t>
  </si>
  <si>
    <t xml:space="preserve">Satia Industries Ltd</t>
  </si>
  <si>
    <t xml:space="preserve">SATIA</t>
  </si>
  <si>
    <t xml:space="preserve">SATIA IN</t>
  </si>
  <si>
    <t xml:space="preserve">INE170E01023</t>
  </si>
  <si>
    <t xml:space="preserve">Satin Creditcare Network Ltd</t>
  </si>
  <si>
    <t xml:space="preserve">SATIN</t>
  </si>
  <si>
    <t xml:space="preserve">SATIN IN</t>
  </si>
  <si>
    <t xml:space="preserve">INE836B01017</t>
  </si>
  <si>
    <t xml:space="preserve">Savita Oil Technologies Ltd</t>
  </si>
  <si>
    <t xml:space="preserve">SOTL</t>
  </si>
  <si>
    <t xml:space="preserve">STEC IN</t>
  </si>
  <si>
    <t xml:space="preserve">INE035D01012</t>
  </si>
  <si>
    <t xml:space="preserve">SBI Cards And Payment Services Ltd</t>
  </si>
  <si>
    <t xml:space="preserve">SBICARD</t>
  </si>
  <si>
    <t xml:space="preserve">SBICARD IN</t>
  </si>
  <si>
    <t xml:space="preserve">INE018E01016</t>
  </si>
  <si>
    <t xml:space="preserve">SBI Life Insurance Company Ltd</t>
  </si>
  <si>
    <t xml:space="preserve">SBILIFE</t>
  </si>
  <si>
    <t xml:space="preserve">SBILIFE IN</t>
  </si>
  <si>
    <t xml:space="preserve">INE123W01016</t>
  </si>
  <si>
    <t xml:space="preserve">Schaeffler India Ltd</t>
  </si>
  <si>
    <t xml:space="preserve">SCHAEFFLER</t>
  </si>
  <si>
    <t xml:space="preserve">SCHFL IN</t>
  </si>
  <si>
    <t xml:space="preserve">INE513A01014</t>
  </si>
  <si>
    <t xml:space="preserve">Schneider Electric Infrastructure Ltd</t>
  </si>
  <si>
    <t xml:space="preserve">SCHNEIDER</t>
  </si>
  <si>
    <t xml:space="preserve">SCHN IN</t>
  </si>
  <si>
    <t xml:space="preserve">INE839M01018</t>
  </si>
  <si>
    <t xml:space="preserve">Seacoast Shipping Services Ltd</t>
  </si>
  <si>
    <t xml:space="preserve">SEACOAST IN</t>
  </si>
  <si>
    <t xml:space="preserve">INE277T01016</t>
  </si>
  <si>
    <t xml:space="preserve">Seamec Ltd</t>
  </si>
  <si>
    <t xml:space="preserve">SEAMECLTD</t>
  </si>
  <si>
    <t xml:space="preserve">SEAM IN</t>
  </si>
  <si>
    <t xml:space="preserve">INE497B01018</t>
  </si>
  <si>
    <t xml:space="preserve">Sequent Scientific Ltd</t>
  </si>
  <si>
    <t xml:space="preserve">SEQUENT</t>
  </si>
  <si>
    <t xml:space="preserve">SEQ IN</t>
  </si>
  <si>
    <t xml:space="preserve">INE807F01027</t>
  </si>
  <si>
    <t xml:space="preserve">Seshasayee Paper and Boards Ltd</t>
  </si>
  <si>
    <t xml:space="preserve">SESHAPAPER</t>
  </si>
  <si>
    <t xml:space="preserve">SPB IN</t>
  </si>
  <si>
    <t xml:space="preserve">INE630A01024</t>
  </si>
  <si>
    <t xml:space="preserve">SH Kelkar And Company Ltd</t>
  </si>
  <si>
    <t xml:space="preserve">SHK</t>
  </si>
  <si>
    <t xml:space="preserve">SHKL IN</t>
  </si>
  <si>
    <t xml:space="preserve">INE500L01026</t>
  </si>
  <si>
    <t xml:space="preserve">Shaily Engineering Plastics Ltd</t>
  </si>
  <si>
    <t xml:space="preserve">SHEP IN</t>
  </si>
  <si>
    <t xml:space="preserve">INE151G01010</t>
  </si>
  <si>
    <t xml:space="preserve">Shakti Pumps (India) Ltd</t>
  </si>
  <si>
    <t xml:space="preserve">SHAKTIPUMP</t>
  </si>
  <si>
    <t xml:space="preserve">SKPI IN</t>
  </si>
  <si>
    <t xml:space="preserve">INE908D01010</t>
  </si>
  <si>
    <t xml:space="preserve">Shalby Ltd</t>
  </si>
  <si>
    <t xml:space="preserve">SHALBY</t>
  </si>
  <si>
    <t xml:space="preserve">SHALBY IN</t>
  </si>
  <si>
    <t xml:space="preserve">INE597J01018</t>
  </si>
  <si>
    <t xml:space="preserve">Shalimar Paints Ltd</t>
  </si>
  <si>
    <t xml:space="preserve">SHALPAINTS</t>
  </si>
  <si>
    <t xml:space="preserve">SHP IN</t>
  </si>
  <si>
    <t xml:space="preserve">INE849C01026</t>
  </si>
  <si>
    <t xml:space="preserve">Shankara Building Products Ltd</t>
  </si>
  <si>
    <t xml:space="preserve">SHANKARA</t>
  </si>
  <si>
    <t xml:space="preserve">SHANKARA IN</t>
  </si>
  <si>
    <t xml:space="preserve">INE274V01019</t>
  </si>
  <si>
    <t xml:space="preserve">Shanthi Gears Ltd</t>
  </si>
  <si>
    <t xml:space="preserve">SHANTIGEAR</t>
  </si>
  <si>
    <t xml:space="preserve">SG IN</t>
  </si>
  <si>
    <t xml:space="preserve">INE631A01022</t>
  </si>
  <si>
    <t xml:space="preserve">Sharda Cropchem Ltd</t>
  </si>
  <si>
    <t xml:space="preserve">SHARDACROP</t>
  </si>
  <si>
    <t xml:space="preserve">SHCR IN</t>
  </si>
  <si>
    <t xml:space="preserve">INE221J01015</t>
  </si>
  <si>
    <t xml:space="preserve">Sharda Motor Industries Ltd</t>
  </si>
  <si>
    <t xml:space="preserve">SHARDAMOTR</t>
  </si>
  <si>
    <t xml:space="preserve">SHMO IN</t>
  </si>
  <si>
    <t xml:space="preserve">INE597I01028</t>
  </si>
  <si>
    <t xml:space="preserve">Share India Securities Ltd</t>
  </si>
  <si>
    <t xml:space="preserve">SHAREINDIA</t>
  </si>
  <si>
    <t xml:space="preserve">SISLTD IN</t>
  </si>
  <si>
    <t xml:space="preserve">INE932X01018</t>
  </si>
  <si>
    <t xml:space="preserve">Sheela Foam Ltd</t>
  </si>
  <si>
    <t xml:space="preserve">SFL</t>
  </si>
  <si>
    <t xml:space="preserve">SFL IN</t>
  </si>
  <si>
    <t xml:space="preserve">INE916U01025</t>
  </si>
  <si>
    <t xml:space="preserve">Shilpa Medicare Ltd</t>
  </si>
  <si>
    <t xml:space="preserve">SHILPAMED</t>
  </si>
  <si>
    <t xml:space="preserve">SLPA IN</t>
  </si>
  <si>
    <t xml:space="preserve">INE790G01031</t>
  </si>
  <si>
    <t xml:space="preserve">Shipping Corporation Of India Ltd</t>
  </si>
  <si>
    <t xml:space="preserve">SCI</t>
  </si>
  <si>
    <t xml:space="preserve">SCI IN</t>
  </si>
  <si>
    <t xml:space="preserve">INE109A01011</t>
  </si>
  <si>
    <t xml:space="preserve">Shiva Cement Ltd</t>
  </si>
  <si>
    <t xml:space="preserve">SCMN IN</t>
  </si>
  <si>
    <t xml:space="preserve">INE555C01029</t>
  </si>
  <si>
    <t xml:space="preserve">Shivalik Bimetal Controls Ltd</t>
  </si>
  <si>
    <t xml:space="preserve">SBCL</t>
  </si>
  <si>
    <t xml:space="preserve">SBC IN</t>
  </si>
  <si>
    <t xml:space="preserve">INE386D01027</t>
  </si>
  <si>
    <t xml:space="preserve">Shivalik Rasayan Ltd</t>
  </si>
  <si>
    <t xml:space="preserve">SHIVALIK</t>
  </si>
  <si>
    <t xml:space="preserve">SHVK IN</t>
  </si>
  <si>
    <t xml:space="preserve">INE788J01021</t>
  </si>
  <si>
    <t xml:space="preserve">Shoppers Stop Ltd</t>
  </si>
  <si>
    <t xml:space="preserve">SHOPERSTOP</t>
  </si>
  <si>
    <t xml:space="preserve">SHOP IN</t>
  </si>
  <si>
    <t xml:space="preserve">INE498B01024</t>
  </si>
  <si>
    <t xml:space="preserve">Shree Cement Ltd</t>
  </si>
  <si>
    <t xml:space="preserve">SHREECEM</t>
  </si>
  <si>
    <t xml:space="preserve">SRCM IN</t>
  </si>
  <si>
    <t xml:space="preserve">INE070A01015</t>
  </si>
  <si>
    <t xml:space="preserve">Shree Digvijay Cement Company Ltd</t>
  </si>
  <si>
    <t xml:space="preserve">SHREDIGCEM</t>
  </si>
  <si>
    <t xml:space="preserve">DIGV IN</t>
  </si>
  <si>
    <t xml:space="preserve">INE232A01011</t>
  </si>
  <si>
    <t xml:space="preserve">Shree Global Tradefin Ltd</t>
  </si>
  <si>
    <t xml:space="preserve">SGTF IN</t>
  </si>
  <si>
    <t xml:space="preserve">INE080I01025</t>
  </si>
  <si>
    <t xml:space="preserve">Shree Pushkar Chemicals &amp; Fertilisers Ltd</t>
  </si>
  <si>
    <t xml:space="preserve">SHREEPUSHK</t>
  </si>
  <si>
    <t xml:space="preserve">PCFL IN</t>
  </si>
  <si>
    <t xml:space="preserve">INE712K01011</t>
  </si>
  <si>
    <t xml:space="preserve">Shree Renuka Sugars Ltd</t>
  </si>
  <si>
    <t xml:space="preserve">RENUKA</t>
  </si>
  <si>
    <t xml:space="preserve">SHRS IN</t>
  </si>
  <si>
    <t xml:space="preserve">INE087H01022</t>
  </si>
  <si>
    <t xml:space="preserve">Shreyas Shipping &amp; Logistics Ltd</t>
  </si>
  <si>
    <t xml:space="preserve">SHREYAS</t>
  </si>
  <si>
    <t xml:space="preserve">SRYS IN</t>
  </si>
  <si>
    <t xml:space="preserve">INE757B01015</t>
  </si>
  <si>
    <t xml:space="preserve">Shri Jagdamba Polymers Ltd</t>
  </si>
  <si>
    <t xml:space="preserve">JDP IN</t>
  </si>
  <si>
    <t xml:space="preserve">INE564J01026</t>
  </si>
  <si>
    <t xml:space="preserve">Shriram City Union Finance Ltd</t>
  </si>
  <si>
    <t xml:space="preserve">SHRIRAMCIT</t>
  </si>
  <si>
    <t xml:space="preserve">SCUF IN</t>
  </si>
  <si>
    <t xml:space="preserve">INE722A01011</t>
  </si>
  <si>
    <t xml:space="preserve">Shriram EPC Ltd</t>
  </si>
  <si>
    <t xml:space="preserve">SHRIRAMEPC</t>
  </si>
  <si>
    <t xml:space="preserve">SEPC IN</t>
  </si>
  <si>
    <t xml:space="preserve">INE964H01014</t>
  </si>
  <si>
    <t xml:space="preserve">Shriram Pistons &amp; Rings Ltd</t>
  </si>
  <si>
    <t xml:space="preserve">SHRIPISTON</t>
  </si>
  <si>
    <t xml:space="preserve">SPRL IN</t>
  </si>
  <si>
    <t xml:space="preserve">INE526E01018</t>
  </si>
  <si>
    <t xml:space="preserve">Shriram Properties Ltd</t>
  </si>
  <si>
    <t xml:space="preserve">SHRIRAMPPS</t>
  </si>
  <si>
    <t xml:space="preserve">SHRIRAMP IN</t>
  </si>
  <si>
    <t xml:space="preserve">INE217L01019</t>
  </si>
  <si>
    <t xml:space="preserve">Shriram Transport Finance Company Ltd</t>
  </si>
  <si>
    <t xml:space="preserve">SRTRANSFIN</t>
  </si>
  <si>
    <t xml:space="preserve">SHTF IN</t>
  </si>
  <si>
    <t xml:space="preserve">INE721A01013</t>
  </si>
  <si>
    <t xml:space="preserve">Shyam Metalics And Energy Ltd</t>
  </si>
  <si>
    <t xml:space="preserve">SHYAMMETL</t>
  </si>
  <si>
    <t xml:space="preserve">SHYAMMET IN</t>
  </si>
  <si>
    <t xml:space="preserve">INE810G01011</t>
  </si>
  <si>
    <t xml:space="preserve">Siemens Ltd</t>
  </si>
  <si>
    <t xml:space="preserve">SIEMENS</t>
  </si>
  <si>
    <t xml:space="preserve">SIEM IN</t>
  </si>
  <si>
    <t xml:space="preserve">INE003A01024</t>
  </si>
  <si>
    <t xml:space="preserve">Sigachi Industries Ltd</t>
  </si>
  <si>
    <t xml:space="preserve">SIGACHI</t>
  </si>
  <si>
    <t xml:space="preserve">SIGACHI IN</t>
  </si>
  <si>
    <t xml:space="preserve">INE0D0K01014</t>
  </si>
  <si>
    <t xml:space="preserve">Sindhu Trade Links Ltd</t>
  </si>
  <si>
    <t xml:space="preserve">STLL IN</t>
  </si>
  <si>
    <t xml:space="preserve">INE325D01017</t>
  </si>
  <si>
    <t xml:space="preserve">Sintex Industries Ltd</t>
  </si>
  <si>
    <t xml:space="preserve">SINTEX</t>
  </si>
  <si>
    <t xml:space="preserve">SINT IN</t>
  </si>
  <si>
    <t xml:space="preserve">INE429C01035</t>
  </si>
  <si>
    <t xml:space="preserve">Sintex Plastics Technology Ltd</t>
  </si>
  <si>
    <t xml:space="preserve">SPTL</t>
  </si>
  <si>
    <t xml:space="preserve">SINTEX IN</t>
  </si>
  <si>
    <t xml:space="preserve">INE501W01021</t>
  </si>
  <si>
    <t xml:space="preserve">SIRCA Paints India Ltd</t>
  </si>
  <si>
    <t xml:space="preserve">SIRCA</t>
  </si>
  <si>
    <t xml:space="preserve">SIRCA IN</t>
  </si>
  <si>
    <t xml:space="preserve">INE792Z01011</t>
  </si>
  <si>
    <t xml:space="preserve">SIS Ltd</t>
  </si>
  <si>
    <t xml:space="preserve">SIS</t>
  </si>
  <si>
    <t xml:space="preserve">SECIS IN</t>
  </si>
  <si>
    <t xml:space="preserve">INE285J01028</t>
  </si>
  <si>
    <t xml:space="preserve">Siyaram Silk Mills Ltd</t>
  </si>
  <si>
    <t xml:space="preserve">SIYSIL</t>
  </si>
  <si>
    <t xml:space="preserve">SIYA IN</t>
  </si>
  <si>
    <t xml:space="preserve">INE076B01028</t>
  </si>
  <si>
    <t xml:space="preserve">SJS Enterprises Ltd</t>
  </si>
  <si>
    <t xml:space="preserve">SJS</t>
  </si>
  <si>
    <t xml:space="preserve">SJS IN</t>
  </si>
  <si>
    <t xml:space="preserve">INE284S01014</t>
  </si>
  <si>
    <t xml:space="preserve">SJVN Ltd</t>
  </si>
  <si>
    <t xml:space="preserve">SJVN</t>
  </si>
  <si>
    <t xml:space="preserve">SJVN IN</t>
  </si>
  <si>
    <t xml:space="preserve">INE002L01015</t>
  </si>
  <si>
    <t xml:space="preserve">SKF India Ltd</t>
  </si>
  <si>
    <t xml:space="preserve">SKFINDIA</t>
  </si>
  <si>
    <t xml:space="preserve">SKF IN</t>
  </si>
  <si>
    <t xml:space="preserve">INE640A01023</t>
  </si>
  <si>
    <t xml:space="preserve">Skipper Ltd</t>
  </si>
  <si>
    <t xml:space="preserve">SKIPPER</t>
  </si>
  <si>
    <t xml:space="preserve">SKIPPER IN</t>
  </si>
  <si>
    <t xml:space="preserve">INE439E01022</t>
  </si>
  <si>
    <t xml:space="preserve">SMC Global Securities Ltd</t>
  </si>
  <si>
    <t xml:space="preserve">SMCGLOBAL</t>
  </si>
  <si>
    <t xml:space="preserve">SMCGLOBA IN</t>
  </si>
  <si>
    <t xml:space="preserve">INE103C01036</t>
  </si>
  <si>
    <t xml:space="preserve">SML Isuzu Ltd</t>
  </si>
  <si>
    <t xml:space="preserve">SMLISUZU</t>
  </si>
  <si>
    <t xml:space="preserve">SM IN</t>
  </si>
  <si>
    <t xml:space="preserve">INE294B01019</t>
  </si>
  <si>
    <t xml:space="preserve">SMS Pharmaceuticals Ltd</t>
  </si>
  <si>
    <t xml:space="preserve">SMSPHARMA</t>
  </si>
  <si>
    <t xml:space="preserve">SMSPH IN</t>
  </si>
  <si>
    <t xml:space="preserve">INE812G01025</t>
  </si>
  <si>
    <t xml:space="preserve">Snowman Logistics Ltd</t>
  </si>
  <si>
    <t xml:space="preserve">SNOWMAN</t>
  </si>
  <si>
    <t xml:space="preserve">SNLL IN</t>
  </si>
  <si>
    <t xml:space="preserve">INE734N01019</t>
  </si>
  <si>
    <t xml:space="preserve">Sobha Ltd</t>
  </si>
  <si>
    <t xml:space="preserve">SOBHA</t>
  </si>
  <si>
    <t xml:space="preserve">SOBHA IN</t>
  </si>
  <si>
    <t xml:space="preserve">INE671H01015</t>
  </si>
  <si>
    <t xml:space="preserve">Solar Industries India Ltd</t>
  </si>
  <si>
    <t xml:space="preserve">SOLARINDS</t>
  </si>
  <si>
    <t xml:space="preserve">SOIL IN</t>
  </si>
  <si>
    <t xml:space="preserve">INE343H01029</t>
  </si>
  <si>
    <t xml:space="preserve">Solara Active Pharma Sciences Ltd</t>
  </si>
  <si>
    <t xml:space="preserve">SOLARA</t>
  </si>
  <si>
    <t xml:space="preserve">SOLARA IN</t>
  </si>
  <si>
    <t xml:space="preserve">INE624Z01016</t>
  </si>
  <si>
    <t xml:space="preserve">Somany Ceramics Ltd</t>
  </si>
  <si>
    <t xml:space="preserve">SOMANYCERA</t>
  </si>
  <si>
    <t xml:space="preserve">SOMC IN</t>
  </si>
  <si>
    <t xml:space="preserve">INE355A01028</t>
  </si>
  <si>
    <t xml:space="preserve">Somany Home Innovation Ltd</t>
  </si>
  <si>
    <t xml:space="preserve">SHIL</t>
  </si>
  <si>
    <t xml:space="preserve">SHILL IN</t>
  </si>
  <si>
    <t xml:space="preserve">INE05AN01011</t>
  </si>
  <si>
    <t xml:space="preserve">Sona BLW Precision Forgings Ltd</t>
  </si>
  <si>
    <t xml:space="preserve">SONACOMS</t>
  </si>
  <si>
    <t xml:space="preserve">SONACOMS IN</t>
  </si>
  <si>
    <t xml:space="preserve">INE073K01018</t>
  </si>
  <si>
    <t xml:space="preserve">Sonata Software Ltd</t>
  </si>
  <si>
    <t xml:space="preserve">SONATSOFTW</t>
  </si>
  <si>
    <t xml:space="preserve">SSOF IN</t>
  </si>
  <si>
    <t xml:space="preserve">INE269A01021</t>
  </si>
  <si>
    <t xml:space="preserve">Southern Petrochemical Industries Corporation Ltd</t>
  </si>
  <si>
    <t xml:space="preserve">SPIC</t>
  </si>
  <si>
    <t xml:space="preserve">SPET IN</t>
  </si>
  <si>
    <t xml:space="preserve">INE147A01011</t>
  </si>
  <si>
    <t xml:space="preserve">Spandana Sphoorty Financial Ltd</t>
  </si>
  <si>
    <t xml:space="preserve">SPANDANA</t>
  </si>
  <si>
    <t xml:space="preserve">SPANDANA IN</t>
  </si>
  <si>
    <t xml:space="preserve">INE572J01011</t>
  </si>
  <si>
    <t xml:space="preserve">Spencer's Retail Ltd</t>
  </si>
  <si>
    <t xml:space="preserve">SPENCERS</t>
  </si>
  <si>
    <t xml:space="preserve">SPENCER IN</t>
  </si>
  <si>
    <t xml:space="preserve">INE020801028</t>
  </si>
  <si>
    <t xml:space="preserve">SpiceJet Ltd</t>
  </si>
  <si>
    <t xml:space="preserve">SPICEJET</t>
  </si>
  <si>
    <t xml:space="preserve">SJET IN</t>
  </si>
  <si>
    <t xml:space="preserve">INE285B01017</t>
  </si>
  <si>
    <t xml:space="preserve">Sportking India Ltd</t>
  </si>
  <si>
    <t xml:space="preserve">SPRT IN</t>
  </si>
  <si>
    <t xml:space="preserve">INE885H01011</t>
  </si>
  <si>
    <t xml:space="preserve">Sree Rayalaseema Hi-Strength Hypo Ltd</t>
  </si>
  <si>
    <t xml:space="preserve">SRHHYPOLTD</t>
  </si>
  <si>
    <t xml:space="preserve">SRAY IN</t>
  </si>
  <si>
    <t xml:space="preserve">INE917H01012</t>
  </si>
  <si>
    <t xml:space="preserve">SRF Ltd</t>
  </si>
  <si>
    <t xml:space="preserve">SRF</t>
  </si>
  <si>
    <t xml:space="preserve">SRF IN</t>
  </si>
  <si>
    <t xml:space="preserve">INE647A01010</t>
  </si>
  <si>
    <t xml:space="preserve">Srikalahasthi Pipes Ltd</t>
  </si>
  <si>
    <t xml:space="preserve">SRIPIPES</t>
  </si>
  <si>
    <t xml:space="preserve">SRIK IN</t>
  </si>
  <si>
    <t xml:space="preserve">INE943C01027</t>
  </si>
  <si>
    <t xml:space="preserve">Star Cement Ltd</t>
  </si>
  <si>
    <t xml:space="preserve">STARCEMENT</t>
  </si>
  <si>
    <t xml:space="preserve">STRCEM IN</t>
  </si>
  <si>
    <t xml:space="preserve">INE460H01021</t>
  </si>
  <si>
    <t xml:space="preserve">Star Health and Allied Insurance Company Ltd</t>
  </si>
  <si>
    <t xml:space="preserve">STARHEALTH</t>
  </si>
  <si>
    <t xml:space="preserve">STARHEAL IN</t>
  </si>
  <si>
    <t xml:space="preserve">INE575P01011</t>
  </si>
  <si>
    <t xml:space="preserve">State Bank Of India</t>
  </si>
  <si>
    <t xml:space="preserve">SBIN</t>
  </si>
  <si>
    <t xml:space="preserve">SBIN IN</t>
  </si>
  <si>
    <t xml:space="preserve">INE062A01020</t>
  </si>
  <si>
    <t xml:space="preserve">Steel Authority Of India Ltd</t>
  </si>
  <si>
    <t xml:space="preserve">SAIL</t>
  </si>
  <si>
    <t xml:space="preserve">SAIL IN</t>
  </si>
  <si>
    <t xml:space="preserve">INE114A01011</t>
  </si>
  <si>
    <t xml:space="preserve">Steel Exchange India Ltd</t>
  </si>
  <si>
    <t xml:space="preserve">STEELXIND</t>
  </si>
  <si>
    <t xml:space="preserve">SEIL IN</t>
  </si>
  <si>
    <t xml:space="preserve">INE503B01013</t>
  </si>
  <si>
    <t xml:space="preserve">Steel Strips Wheels Ltd</t>
  </si>
  <si>
    <t xml:space="preserve">SSWL</t>
  </si>
  <si>
    <t xml:space="preserve">SSW IN</t>
  </si>
  <si>
    <t xml:space="preserve">INE802C01025</t>
  </si>
  <si>
    <t xml:space="preserve">Steelcast Ltd</t>
  </si>
  <si>
    <t xml:space="preserve">STEELCAS</t>
  </si>
  <si>
    <t xml:space="preserve">STLCS IN</t>
  </si>
  <si>
    <t xml:space="preserve">INE124E01020</t>
  </si>
  <si>
    <t xml:space="preserve">Sterling and Wilson Renewable Energy Ltd</t>
  </si>
  <si>
    <t xml:space="preserve">SWSOLAR</t>
  </si>
  <si>
    <t xml:space="preserve">SWSOLAR IN</t>
  </si>
  <si>
    <t xml:space="preserve">INE00M201021</t>
  </si>
  <si>
    <t xml:space="preserve">Sterling Tools Ltd</t>
  </si>
  <si>
    <t xml:space="preserve">STERTOOLS</t>
  </si>
  <si>
    <t xml:space="preserve">STRT IN</t>
  </si>
  <si>
    <t xml:space="preserve">INE334A01023</t>
  </si>
  <si>
    <t xml:space="preserve">Sterlite Technologies Ltd</t>
  </si>
  <si>
    <t xml:space="preserve">STLTECH</t>
  </si>
  <si>
    <t xml:space="preserve">SOTL IN</t>
  </si>
  <si>
    <t xml:space="preserve">INE089C01029</t>
  </si>
  <si>
    <t xml:space="preserve">Stove Kraft Ltd</t>
  </si>
  <si>
    <t xml:space="preserve">STOVEKRAFT</t>
  </si>
  <si>
    <t xml:space="preserve">STOVEKRA IN</t>
  </si>
  <si>
    <t xml:space="preserve">INE00IN01015</t>
  </si>
  <si>
    <t xml:space="preserve">Strides Pharma Science Ltd</t>
  </si>
  <si>
    <t xml:space="preserve">STAR</t>
  </si>
  <si>
    <t xml:space="preserve">STR IN</t>
  </si>
  <si>
    <t xml:space="preserve">INE939A01011</t>
  </si>
  <si>
    <t xml:space="preserve">Stylam Industries Ltd</t>
  </si>
  <si>
    <t xml:space="preserve">STYLAMIND</t>
  </si>
  <si>
    <t xml:space="preserve">SYIL IN</t>
  </si>
  <si>
    <t xml:space="preserve">INE239C01020</t>
  </si>
  <si>
    <t xml:space="preserve">Subex Ltd</t>
  </si>
  <si>
    <t xml:space="preserve">SUBEXLTD</t>
  </si>
  <si>
    <t xml:space="preserve">SUBX IN</t>
  </si>
  <si>
    <t xml:space="preserve">INE754A01055</t>
  </si>
  <si>
    <t xml:space="preserve">Subros Ltd</t>
  </si>
  <si>
    <t xml:space="preserve">SUBROS</t>
  </si>
  <si>
    <t xml:space="preserve">SUBR IN</t>
  </si>
  <si>
    <t xml:space="preserve">INE287B01021</t>
  </si>
  <si>
    <t xml:space="preserve">Sudarshan Chemical Industries Ltd</t>
  </si>
  <si>
    <t xml:space="preserve">SUDARSCHEM</t>
  </si>
  <si>
    <t xml:space="preserve">SCHI IN</t>
  </si>
  <si>
    <t xml:space="preserve">INE659A01023</t>
  </si>
  <si>
    <t xml:space="preserve">Sumitomo Chemical India Ltd</t>
  </si>
  <si>
    <t xml:space="preserve">SUMICHEM</t>
  </si>
  <si>
    <t xml:space="preserve">SUMICHEM IN</t>
  </si>
  <si>
    <t xml:space="preserve">INE258G01013</t>
  </si>
  <si>
    <t xml:space="preserve">Summit Securities Ltd</t>
  </si>
  <si>
    <t xml:space="preserve">SUMMITSEC</t>
  </si>
  <si>
    <t xml:space="preserve">SUMM IN</t>
  </si>
  <si>
    <t xml:space="preserve">INE519C01017</t>
  </si>
  <si>
    <t xml:space="preserve">Sun Pharma Advanced Research Company Ltd</t>
  </si>
  <si>
    <t xml:space="preserve">SPARC</t>
  </si>
  <si>
    <t xml:space="preserve">SPADV IN</t>
  </si>
  <si>
    <t xml:space="preserve">INE232I01014</t>
  </si>
  <si>
    <t xml:space="preserve">Sun Pharmaceutical Industries Ltd</t>
  </si>
  <si>
    <t xml:space="preserve">SUNPHARMA</t>
  </si>
  <si>
    <t xml:space="preserve">SUNP IN</t>
  </si>
  <si>
    <t xml:space="preserve">INE044A01036</t>
  </si>
  <si>
    <t xml:space="preserve">Sun TV Network Ltd</t>
  </si>
  <si>
    <t xml:space="preserve">SUNTV</t>
  </si>
  <si>
    <t xml:space="preserve">SUNTV IN</t>
  </si>
  <si>
    <t xml:space="preserve">INE424H01027</t>
  </si>
  <si>
    <t xml:space="preserve">Sundaram Finance Holdings Ltd</t>
  </si>
  <si>
    <t xml:space="preserve">SUNDARMHLD</t>
  </si>
  <si>
    <t xml:space="preserve">SFHL IN</t>
  </si>
  <si>
    <t xml:space="preserve">INE202Z01029</t>
  </si>
  <si>
    <t xml:space="preserve">Sundaram Finance Ltd</t>
  </si>
  <si>
    <t xml:space="preserve">SUNDARMFIN</t>
  </si>
  <si>
    <t xml:space="preserve">SUF IN</t>
  </si>
  <si>
    <t xml:space="preserve">INE660A01013</t>
  </si>
  <si>
    <t xml:space="preserve">Sundaram-Clayton Ltd</t>
  </si>
  <si>
    <t xml:space="preserve">SUNCLAYLTD</t>
  </si>
  <si>
    <t xml:space="preserve">SDC IN</t>
  </si>
  <si>
    <t xml:space="preserve">INE105A01035</t>
  </si>
  <si>
    <t xml:space="preserve">Sundram Fasteners Ltd</t>
  </si>
  <si>
    <t xml:space="preserve">SUNDRMFAST</t>
  </si>
  <si>
    <t xml:space="preserve">SF IN</t>
  </si>
  <si>
    <t xml:space="preserve">INE387A01021</t>
  </si>
  <si>
    <t xml:space="preserve">Sunflag Iron And Steel Company Ltd</t>
  </si>
  <si>
    <t xml:space="preserve">SUNFLAG</t>
  </si>
  <si>
    <t xml:space="preserve">SUNF IN</t>
  </si>
  <si>
    <t xml:space="preserve">INE947A01014</t>
  </si>
  <si>
    <t xml:space="preserve">Sunteck Realty Ltd</t>
  </si>
  <si>
    <t xml:space="preserve">SUNTECK</t>
  </si>
  <si>
    <t xml:space="preserve">SRIN IN</t>
  </si>
  <si>
    <t xml:space="preserve">INE805D01034</t>
  </si>
  <si>
    <t xml:space="preserve">Suprajit Engineering Ltd</t>
  </si>
  <si>
    <t xml:space="preserve">SUPRAJIT</t>
  </si>
  <si>
    <t xml:space="preserve">SEL IN</t>
  </si>
  <si>
    <t xml:space="preserve">INE399C01030</t>
  </si>
  <si>
    <t xml:space="preserve">Supreme Industries Ltd</t>
  </si>
  <si>
    <t xml:space="preserve">SUPREMEIND</t>
  </si>
  <si>
    <t xml:space="preserve">SI IN</t>
  </si>
  <si>
    <t xml:space="preserve">INE195A01028</t>
  </si>
  <si>
    <t xml:space="preserve">Supreme Petrochem Ltd</t>
  </si>
  <si>
    <t xml:space="preserve">SUPPETRO</t>
  </si>
  <si>
    <t xml:space="preserve">SPPT IN</t>
  </si>
  <si>
    <t xml:space="preserve">INE663A01017</t>
  </si>
  <si>
    <t xml:space="preserve">Supriya Lifescience Ltd</t>
  </si>
  <si>
    <t xml:space="preserve">SUPRIYA</t>
  </si>
  <si>
    <t xml:space="preserve">SUPRIYA IN</t>
  </si>
  <si>
    <t xml:space="preserve">INE07RO01027</t>
  </si>
  <si>
    <t xml:space="preserve">Surya Roshni Ltd</t>
  </si>
  <si>
    <t xml:space="preserve">SURYAROSNI</t>
  </si>
  <si>
    <t xml:space="preserve">SYR IN</t>
  </si>
  <si>
    <t xml:space="preserve">INE335A01012</t>
  </si>
  <si>
    <t xml:space="preserve">Suryoday Small Finance Bank Ltd</t>
  </si>
  <si>
    <t xml:space="preserve">SURYODAY</t>
  </si>
  <si>
    <t xml:space="preserve">SURYODAY IN</t>
  </si>
  <si>
    <t xml:space="preserve">INE428Q01011</t>
  </si>
  <si>
    <t xml:space="preserve">Sutlej Textiles And Industries Ltd</t>
  </si>
  <si>
    <t xml:space="preserve">SUTLEJTEX</t>
  </si>
  <si>
    <t xml:space="preserve">SUTJ IN</t>
  </si>
  <si>
    <t xml:space="preserve">INE645H01027</t>
  </si>
  <si>
    <t xml:space="preserve">Suumaya Industries Ltd</t>
  </si>
  <si>
    <t xml:space="preserve">SUULD</t>
  </si>
  <si>
    <t xml:space="preserve">SUULD IN</t>
  </si>
  <si>
    <t xml:space="preserve">INE591Q01016</t>
  </si>
  <si>
    <t xml:space="preserve">Suven Life Sciences Ltd</t>
  </si>
  <si>
    <t xml:space="preserve">SUVEN</t>
  </si>
  <si>
    <t xml:space="preserve">SVLS IN</t>
  </si>
  <si>
    <t xml:space="preserve">INE495B01038</t>
  </si>
  <si>
    <t xml:space="preserve">Suven Pharmaceuticals Ltd</t>
  </si>
  <si>
    <t xml:space="preserve">SUVENPHAR</t>
  </si>
  <si>
    <t xml:space="preserve">SUVENPHA IN</t>
  </si>
  <si>
    <t xml:space="preserve">INE03QK01018</t>
  </si>
  <si>
    <t xml:space="preserve">Suzlon Energy Ltd</t>
  </si>
  <si>
    <t xml:space="preserve">SUZLON</t>
  </si>
  <si>
    <t xml:space="preserve">SUEL IN</t>
  </si>
  <si>
    <t xml:space="preserve">INE040H01021</t>
  </si>
  <si>
    <t xml:space="preserve">SVP Global Textiles Ltd</t>
  </si>
  <si>
    <t xml:space="preserve">SVPGLOB</t>
  </si>
  <si>
    <t xml:space="preserve">SGVL IN</t>
  </si>
  <si>
    <t xml:space="preserve">INE308E01029</t>
  </si>
  <si>
    <t xml:space="preserve">Swan Energy Ltd</t>
  </si>
  <si>
    <t xml:space="preserve">SWANENERGY</t>
  </si>
  <si>
    <t xml:space="preserve">SWAN IN</t>
  </si>
  <si>
    <t xml:space="preserve">INE665A01038</t>
  </si>
  <si>
    <t xml:space="preserve">Swaraj Engines Ltd</t>
  </si>
  <si>
    <t xml:space="preserve">SWARAJENG</t>
  </si>
  <si>
    <t xml:space="preserve">SWE IN</t>
  </si>
  <si>
    <t xml:space="preserve">INE277A01016</t>
  </si>
  <si>
    <t xml:space="preserve">Symphony Ltd</t>
  </si>
  <si>
    <t xml:space="preserve">SYMPHONY</t>
  </si>
  <si>
    <t xml:space="preserve">SYML IN</t>
  </si>
  <si>
    <t xml:space="preserve">INE225D01027</t>
  </si>
  <si>
    <t xml:space="preserve">Syncom Formulations (India) Ltd</t>
  </si>
  <si>
    <t xml:space="preserve">SYNF IN</t>
  </si>
  <si>
    <t xml:space="preserve">INE312C01025</t>
  </si>
  <si>
    <t xml:space="preserve">Syngene International Ltd</t>
  </si>
  <si>
    <t xml:space="preserve">SYNGENE</t>
  </si>
  <si>
    <t xml:space="preserve">SYNG IN</t>
  </si>
  <si>
    <t xml:space="preserve">INE398R01022</t>
  </si>
  <si>
    <t xml:space="preserve">Systematix Corporate Services Ltd</t>
  </si>
  <si>
    <t xml:space="preserve">STXC IN</t>
  </si>
  <si>
    <t xml:space="preserve">INE356B01016</t>
  </si>
  <si>
    <t xml:space="preserve">TAAL Enterprises Ltd</t>
  </si>
  <si>
    <t xml:space="preserve">TAALENT IN</t>
  </si>
  <si>
    <t xml:space="preserve">INE524T01011</t>
  </si>
  <si>
    <t xml:space="preserve">Taj GVK Hotels &amp; Resorts Ltd</t>
  </si>
  <si>
    <t xml:space="preserve">TAJGVK</t>
  </si>
  <si>
    <t xml:space="preserve">TAJG IN</t>
  </si>
  <si>
    <t xml:space="preserve">INE586B01026</t>
  </si>
  <si>
    <t xml:space="preserve">Take Solutions Ltd</t>
  </si>
  <si>
    <t xml:space="preserve">TAKE</t>
  </si>
  <si>
    <t xml:space="preserve">TAKE IN</t>
  </si>
  <si>
    <t xml:space="preserve">INE142I01023</t>
  </si>
  <si>
    <t xml:space="preserve">Tamil Nadu Newsprint &amp; Papers Ltd</t>
  </si>
  <si>
    <t xml:space="preserve">TNPL</t>
  </si>
  <si>
    <t xml:space="preserve">TNNP IN</t>
  </si>
  <si>
    <t xml:space="preserve">INE107A01015</t>
  </si>
  <si>
    <t xml:space="preserve">Tamilnadu Petroproducts Ltd</t>
  </si>
  <si>
    <t xml:space="preserve">TNPETRO</t>
  </si>
  <si>
    <t xml:space="preserve">TNPP IN</t>
  </si>
  <si>
    <t xml:space="preserve">INE148A01019</t>
  </si>
  <si>
    <t xml:space="preserve">Tanfac Industries Ltd</t>
  </si>
  <si>
    <t xml:space="preserve">TANFACIND</t>
  </si>
  <si>
    <t xml:space="preserve">TANF IN</t>
  </si>
  <si>
    <t xml:space="preserve">INE639B01015</t>
  </si>
  <si>
    <t xml:space="preserve">Tanla Platforms Ltd</t>
  </si>
  <si>
    <t xml:space="preserve">TANLA</t>
  </si>
  <si>
    <t xml:space="preserve">TANLA IN</t>
  </si>
  <si>
    <t xml:space="preserve">INE483C01032</t>
  </si>
  <si>
    <t xml:space="preserve">TARC Ltd</t>
  </si>
  <si>
    <t xml:space="preserve">TARC</t>
  </si>
  <si>
    <t xml:space="preserve">ANANTRAJ IN</t>
  </si>
  <si>
    <t xml:space="preserve">INE0EK901012</t>
  </si>
  <si>
    <t xml:space="preserve">Tarsons Products Ltd</t>
  </si>
  <si>
    <t xml:space="preserve">TARSONS</t>
  </si>
  <si>
    <t xml:space="preserve">TARSONS IN</t>
  </si>
  <si>
    <t xml:space="preserve">INE144Z01023</t>
  </si>
  <si>
    <t xml:space="preserve">Tasty Bite Eatables Ltd</t>
  </si>
  <si>
    <t xml:space="preserve">TASTYBITE</t>
  </si>
  <si>
    <t xml:space="preserve">TSTY IN</t>
  </si>
  <si>
    <t xml:space="preserve">INE488B01017</t>
  </si>
  <si>
    <t xml:space="preserve">Tata Chemicals Ltd</t>
  </si>
  <si>
    <t xml:space="preserve">TATACHEM</t>
  </si>
  <si>
    <t xml:space="preserve">TTCH IN</t>
  </si>
  <si>
    <t xml:space="preserve">INE092A01019</t>
  </si>
  <si>
    <t xml:space="preserve">Tata Coffee Ltd</t>
  </si>
  <si>
    <t xml:space="preserve">TATACOFFEE</t>
  </si>
  <si>
    <t xml:space="preserve">TCO IN</t>
  </si>
  <si>
    <t xml:space="preserve">INE493A01027</t>
  </si>
  <si>
    <t xml:space="preserve">Tata Communications Ltd</t>
  </si>
  <si>
    <t xml:space="preserve">TATACOMM</t>
  </si>
  <si>
    <t xml:space="preserve">TCOM IN</t>
  </si>
  <si>
    <t xml:space="preserve">INE151A01013</t>
  </si>
  <si>
    <t xml:space="preserve">Tata Consultancy Services Ltd</t>
  </si>
  <si>
    <t xml:space="preserve">TCS</t>
  </si>
  <si>
    <t xml:space="preserve">TCS IN</t>
  </si>
  <si>
    <t xml:space="preserve">INE467B01029</t>
  </si>
  <si>
    <t xml:space="preserve">Tata Consumer Products Ltd</t>
  </si>
  <si>
    <t xml:space="preserve">TATACONSUM</t>
  </si>
  <si>
    <t xml:space="preserve">TATACONS IN</t>
  </si>
  <si>
    <t xml:space="preserve">INE192A01025</t>
  </si>
  <si>
    <t xml:space="preserve">Tata Elxsi Ltd</t>
  </si>
  <si>
    <t xml:space="preserve">TATAELXSI</t>
  </si>
  <si>
    <t xml:space="preserve">TELX IN</t>
  </si>
  <si>
    <t xml:space="preserve">INE670A01012</t>
  </si>
  <si>
    <t xml:space="preserve">Tata Investment Corporation Ltd</t>
  </si>
  <si>
    <t xml:space="preserve">TATAINVEST</t>
  </si>
  <si>
    <t xml:space="preserve">TICL IN</t>
  </si>
  <si>
    <t xml:space="preserve">INE672A01018</t>
  </si>
  <si>
    <t xml:space="preserve">Tata Metaliks Ltd</t>
  </si>
  <si>
    <t xml:space="preserve">TATAMETALI</t>
  </si>
  <si>
    <t xml:space="preserve">TML IN</t>
  </si>
  <si>
    <t xml:space="preserve">INE056C01010</t>
  </si>
  <si>
    <t xml:space="preserve">Tata Motors Ltd</t>
  </si>
  <si>
    <t xml:space="preserve">TATAMOTORS</t>
  </si>
  <si>
    <t xml:space="preserve">TTMT IN</t>
  </si>
  <si>
    <t xml:space="preserve">INE155A01022</t>
  </si>
  <si>
    <t xml:space="preserve">Tata Power Company Ltd</t>
  </si>
  <si>
    <t xml:space="preserve">TATAPOWER</t>
  </si>
  <si>
    <t xml:space="preserve">TPWR IN</t>
  </si>
  <si>
    <t xml:space="preserve">INE245A01021</t>
  </si>
  <si>
    <t xml:space="preserve">Tata Steel Long Products Ltd</t>
  </si>
  <si>
    <t xml:space="preserve">TATASTLLP</t>
  </si>
  <si>
    <t xml:space="preserve">TATASLPL IN</t>
  </si>
  <si>
    <t xml:space="preserve">INE674A01014</t>
  </si>
  <si>
    <t xml:space="preserve">Tata Steel Ltd</t>
  </si>
  <si>
    <t xml:space="preserve">TATASTEEL</t>
  </si>
  <si>
    <t xml:space="preserve">TATA IN</t>
  </si>
  <si>
    <t xml:space="preserve">INE081A01012</t>
  </si>
  <si>
    <t xml:space="preserve">Tata Teleservices (Maharashtra) Ltd</t>
  </si>
  <si>
    <t xml:space="preserve">TTML</t>
  </si>
  <si>
    <t xml:space="preserve">TTLS IN</t>
  </si>
  <si>
    <t xml:space="preserve">INE517B01013</t>
  </si>
  <si>
    <t xml:space="preserve">Tatva Chintan Pharma Chem Ltd</t>
  </si>
  <si>
    <t xml:space="preserve">TATVA</t>
  </si>
  <si>
    <t xml:space="preserve">TATVA IN</t>
  </si>
  <si>
    <t xml:space="preserve">INE0GK401011</t>
  </si>
  <si>
    <t xml:space="preserve">TCI Express Ltd</t>
  </si>
  <si>
    <t xml:space="preserve">TCIEXP</t>
  </si>
  <si>
    <t xml:space="preserve">TCIEXP IN</t>
  </si>
  <si>
    <t xml:space="preserve">INE586V01016</t>
  </si>
  <si>
    <t xml:space="preserve">TCNS Clothing CoLtd</t>
  </si>
  <si>
    <t xml:space="preserve">TCNSBRANDS</t>
  </si>
  <si>
    <t xml:space="preserve">TCNSBR IN</t>
  </si>
  <si>
    <t xml:space="preserve">INE778U01029</t>
  </si>
  <si>
    <t xml:space="preserve">TD Power Systems Ltd</t>
  </si>
  <si>
    <t xml:space="preserve">TDPOWERSYS</t>
  </si>
  <si>
    <t xml:space="preserve">TDPS IN</t>
  </si>
  <si>
    <t xml:space="preserve">INE419M01019</t>
  </si>
  <si>
    <t xml:space="preserve">TeamLease Services Ltd</t>
  </si>
  <si>
    <t xml:space="preserve">TEAMLEASE</t>
  </si>
  <si>
    <t xml:space="preserve">TEAM IN</t>
  </si>
  <si>
    <t xml:space="preserve">INE985S01024</t>
  </si>
  <si>
    <t xml:space="preserve">Tech Mahindra Ltd</t>
  </si>
  <si>
    <t xml:space="preserve">TECHM</t>
  </si>
  <si>
    <t xml:space="preserve">TECHM IN</t>
  </si>
  <si>
    <t xml:space="preserve">INE669C01036</t>
  </si>
  <si>
    <t xml:space="preserve">Techno Electric &amp; Engineering Company Ltd</t>
  </si>
  <si>
    <t xml:space="preserve">TECHNOE</t>
  </si>
  <si>
    <t xml:space="preserve">TECHNOE IN</t>
  </si>
  <si>
    <t xml:space="preserve">INE285K01026</t>
  </si>
  <si>
    <t xml:space="preserve">Technocraft Industries (India) Ltd</t>
  </si>
  <si>
    <t xml:space="preserve">TIIL</t>
  </si>
  <si>
    <t xml:space="preserve">TIIL IN</t>
  </si>
  <si>
    <t xml:space="preserve">INE545H01011</t>
  </si>
  <si>
    <t xml:space="preserve">Tega Industries Ltd</t>
  </si>
  <si>
    <t xml:space="preserve">TEGA</t>
  </si>
  <si>
    <t xml:space="preserve">TEGA IN</t>
  </si>
  <si>
    <t xml:space="preserve">INE011K01018</t>
  </si>
  <si>
    <t xml:space="preserve">Tejas Networks Ltd</t>
  </si>
  <si>
    <t xml:space="preserve">TEJASNET</t>
  </si>
  <si>
    <t xml:space="preserve">TEJASNET IN</t>
  </si>
  <si>
    <t xml:space="preserve">INE010J01012</t>
  </si>
  <si>
    <t xml:space="preserve">Texmaco Infrastructure &amp; Holdings Ltd</t>
  </si>
  <si>
    <t xml:space="preserve">TEXINFRA</t>
  </si>
  <si>
    <t xml:space="preserve">TXM IN</t>
  </si>
  <si>
    <t xml:space="preserve">INE435C01024</t>
  </si>
  <si>
    <t xml:space="preserve">Texmaco Rail &amp; Engineering Ltd</t>
  </si>
  <si>
    <t xml:space="preserve">TEXRAIL</t>
  </si>
  <si>
    <t xml:space="preserve">TXMRE IN</t>
  </si>
  <si>
    <t xml:space="preserve">INE621L01012</t>
  </si>
  <si>
    <t xml:space="preserve">TGV SRACC Ltd</t>
  </si>
  <si>
    <t xml:space="preserve">SREERAYALK</t>
  </si>
  <si>
    <t xml:space="preserve">TGVSL IN</t>
  </si>
  <si>
    <t xml:space="preserve">INE284B01028</t>
  </si>
  <si>
    <t xml:space="preserve">Thangamayil Jewellery Ltd</t>
  </si>
  <si>
    <t xml:space="preserve">THANGAMAYL</t>
  </si>
  <si>
    <t xml:space="preserve">TJL IN</t>
  </si>
  <si>
    <t xml:space="preserve">INE085J01014</t>
  </si>
  <si>
    <t xml:space="preserve">The Andhra Sugars Ltd</t>
  </si>
  <si>
    <t xml:space="preserve">ANDHRSUGAR</t>
  </si>
  <si>
    <t xml:space="preserve">ASG IN</t>
  </si>
  <si>
    <t xml:space="preserve">INE715B01013</t>
  </si>
  <si>
    <t xml:space="preserve">The Anup Engineering Ltd</t>
  </si>
  <si>
    <t xml:space="preserve">ANUP</t>
  </si>
  <si>
    <t xml:space="preserve">ANUP IN</t>
  </si>
  <si>
    <t xml:space="preserve">INE294Z01018</t>
  </si>
  <si>
    <t xml:space="preserve">The Federal Bank Ltd</t>
  </si>
  <si>
    <t xml:space="preserve">FEDERALBNK</t>
  </si>
  <si>
    <t xml:space="preserve">FB IN</t>
  </si>
  <si>
    <t xml:space="preserve">INE171A01029</t>
  </si>
  <si>
    <t xml:space="preserve">The Fertilisers And Chemicals Travancore Ltd</t>
  </si>
  <si>
    <t xml:space="preserve">FACT</t>
  </si>
  <si>
    <t xml:space="preserve">FCT IN</t>
  </si>
  <si>
    <t xml:space="preserve">INE188A01015</t>
  </si>
  <si>
    <t xml:space="preserve">The Great Eastern Shipping Company Ltd</t>
  </si>
  <si>
    <t xml:space="preserve">GESHIP</t>
  </si>
  <si>
    <t xml:space="preserve">GESCO IN</t>
  </si>
  <si>
    <t xml:space="preserve">INE017A01032</t>
  </si>
  <si>
    <t xml:space="preserve">The India Cements Ltd</t>
  </si>
  <si>
    <t xml:space="preserve">INDIACEM</t>
  </si>
  <si>
    <t xml:space="preserve">ICEM IN</t>
  </si>
  <si>
    <t xml:space="preserve">INE383A01012</t>
  </si>
  <si>
    <t xml:space="preserve">The Indian Hotels Company Ltd</t>
  </si>
  <si>
    <t xml:space="preserve">INDHOTEL</t>
  </si>
  <si>
    <t xml:space="preserve">IH IN</t>
  </si>
  <si>
    <t xml:space="preserve">INE053A01029</t>
  </si>
  <si>
    <t xml:space="preserve">The Investment Trust of India Ltd</t>
  </si>
  <si>
    <t xml:space="preserve">THEINVEST</t>
  </si>
  <si>
    <t xml:space="preserve">THEINVES IN</t>
  </si>
  <si>
    <t xml:space="preserve">INE924D01017</t>
  </si>
  <si>
    <t xml:space="preserve">The Jammu &amp; Kashmir Bank Ltd</t>
  </si>
  <si>
    <t xml:space="preserve">J&amp;KBANK</t>
  </si>
  <si>
    <t xml:space="preserve">JKBK IN</t>
  </si>
  <si>
    <t xml:space="preserve">INE168A01041</t>
  </si>
  <si>
    <t xml:space="preserve">The Karnataka Bank Ltd</t>
  </si>
  <si>
    <t xml:space="preserve">KTKBANK</t>
  </si>
  <si>
    <t xml:space="preserve">KBL IN</t>
  </si>
  <si>
    <t xml:space="preserve">INE614B01018</t>
  </si>
  <si>
    <t xml:space="preserve">The New India Assurance Company Ltd</t>
  </si>
  <si>
    <t xml:space="preserve">NIACL</t>
  </si>
  <si>
    <t xml:space="preserve">NIACL IN</t>
  </si>
  <si>
    <t xml:space="preserve">INE470Y01017</t>
  </si>
  <si>
    <t xml:space="preserve">The Orissa Minerals Development Company Ltd</t>
  </si>
  <si>
    <t xml:space="preserve">ORISSAMINE</t>
  </si>
  <si>
    <t xml:space="preserve">OMDC IN</t>
  </si>
  <si>
    <t xml:space="preserve">INE725E01024</t>
  </si>
  <si>
    <t xml:space="preserve">The Phoenix Mills Ltd</t>
  </si>
  <si>
    <t xml:space="preserve">PHOENIXLTD</t>
  </si>
  <si>
    <t xml:space="preserve">PHNX IN</t>
  </si>
  <si>
    <t xml:space="preserve">INE211B01039</t>
  </si>
  <si>
    <t xml:space="preserve">The Ramco Cements Ltd</t>
  </si>
  <si>
    <t xml:space="preserve">RAMCOCEM</t>
  </si>
  <si>
    <t xml:space="preserve">TRCL IN</t>
  </si>
  <si>
    <t xml:space="preserve">INE331A01037</t>
  </si>
  <si>
    <t xml:space="preserve">The Sandesh Ltd</t>
  </si>
  <si>
    <t xml:space="preserve">SANDESH</t>
  </si>
  <si>
    <t xml:space="preserve">SDSH IN</t>
  </si>
  <si>
    <t xml:space="preserve">INE583B01015</t>
  </si>
  <si>
    <t xml:space="preserve">The South Indian Bank Ltd</t>
  </si>
  <si>
    <t xml:space="preserve">SOUTHBANK</t>
  </si>
  <si>
    <t xml:space="preserve">SIB IN</t>
  </si>
  <si>
    <t xml:space="preserve">INE683A01023</t>
  </si>
  <si>
    <t xml:space="preserve">The State Trading Corporation Of India Ltd</t>
  </si>
  <si>
    <t xml:space="preserve">STCINDIA</t>
  </si>
  <si>
    <t xml:space="preserve">STC IN</t>
  </si>
  <si>
    <t xml:space="preserve">INE655A01013</t>
  </si>
  <si>
    <t xml:space="preserve">Thejo Engineering Ltd</t>
  </si>
  <si>
    <t xml:space="preserve">THEJO</t>
  </si>
  <si>
    <t xml:space="preserve">THEL IN</t>
  </si>
  <si>
    <t xml:space="preserve">INE121N01019</t>
  </si>
  <si>
    <t xml:space="preserve">Themis Medicare Ltd</t>
  </si>
  <si>
    <t xml:space="preserve">THEMISMED</t>
  </si>
  <si>
    <t xml:space="preserve">TMCH IN</t>
  </si>
  <si>
    <t xml:space="preserve">INE083B01016</t>
  </si>
  <si>
    <t xml:space="preserve">Thermax Ltd</t>
  </si>
  <si>
    <t xml:space="preserve">THERMAX</t>
  </si>
  <si>
    <t xml:space="preserve">TMX IN</t>
  </si>
  <si>
    <t xml:space="preserve">INE152A01029</t>
  </si>
  <si>
    <t xml:space="preserve">Thirumalai Chemicals Ltd</t>
  </si>
  <si>
    <t xml:space="preserve">TIRUMALCHM</t>
  </si>
  <si>
    <t xml:space="preserve">TMC IN</t>
  </si>
  <si>
    <t xml:space="preserve">INE338A01024</t>
  </si>
  <si>
    <t xml:space="preserve">Thomas Cook (India) Ltd</t>
  </si>
  <si>
    <t xml:space="preserve">THOMASCOOK</t>
  </si>
  <si>
    <t xml:space="preserve">TC IN</t>
  </si>
  <si>
    <t xml:space="preserve">INE332A01027</t>
  </si>
  <si>
    <t xml:space="preserve">Thyrocare Technologies Ltd</t>
  </si>
  <si>
    <t xml:space="preserve">THYROCARE</t>
  </si>
  <si>
    <t xml:space="preserve">THYROCAR IN</t>
  </si>
  <si>
    <t xml:space="preserve">INE594H01019</t>
  </si>
  <si>
    <t xml:space="preserve">Tide Water Oil Company (India) Ltd</t>
  </si>
  <si>
    <t xml:space="preserve">TIDEWATER</t>
  </si>
  <si>
    <t xml:space="preserve">TWO IN</t>
  </si>
  <si>
    <t xml:space="preserve">INE484C01030</t>
  </si>
  <si>
    <t xml:space="preserve">Tilaknagar Industries Ltd</t>
  </si>
  <si>
    <t xml:space="preserve">TI</t>
  </si>
  <si>
    <t xml:space="preserve">TLNGR IN</t>
  </si>
  <si>
    <t xml:space="preserve">INE133E01013</t>
  </si>
  <si>
    <t xml:space="preserve">Time Technoplast Ltd</t>
  </si>
  <si>
    <t xml:space="preserve">TIMETECHNO</t>
  </si>
  <si>
    <t xml:space="preserve">TIME IN</t>
  </si>
  <si>
    <t xml:space="preserve">INE508G01029</t>
  </si>
  <si>
    <t xml:space="preserve">Timex Group India Ltd</t>
  </si>
  <si>
    <t xml:space="preserve">TIMEXWATCH</t>
  </si>
  <si>
    <t xml:space="preserve">TIMX IN</t>
  </si>
  <si>
    <t xml:space="preserve">INE064A01026</t>
  </si>
  <si>
    <t xml:space="preserve">Timken India Ltd</t>
  </si>
  <si>
    <t xml:space="preserve">TIMKEN</t>
  </si>
  <si>
    <t xml:space="preserve">TMKN IN</t>
  </si>
  <si>
    <t xml:space="preserve">INE325A01013</t>
  </si>
  <si>
    <t xml:space="preserve">Tinplate Company Of India Ltd</t>
  </si>
  <si>
    <t xml:space="preserve">TINPLATE</t>
  </si>
  <si>
    <t xml:space="preserve">TPC IN</t>
  </si>
  <si>
    <t xml:space="preserve">INE422C01014</t>
  </si>
  <si>
    <t xml:space="preserve">Tips Industries Ltd</t>
  </si>
  <si>
    <t xml:space="preserve">TIPSINDLTD</t>
  </si>
  <si>
    <t xml:space="preserve">TPS IN</t>
  </si>
  <si>
    <t xml:space="preserve">INE716B01011</t>
  </si>
  <si>
    <t xml:space="preserve">Titagarh Wagons Ltd</t>
  </si>
  <si>
    <t xml:space="preserve">TWL</t>
  </si>
  <si>
    <t xml:space="preserve">TWL IN</t>
  </si>
  <si>
    <t xml:space="preserve">INE615H01020</t>
  </si>
  <si>
    <t xml:space="preserve">Titan Company Ltd</t>
  </si>
  <si>
    <t xml:space="preserve">TITAN</t>
  </si>
  <si>
    <t xml:space="preserve">TTAN IN</t>
  </si>
  <si>
    <t xml:space="preserve">INE280A01028</t>
  </si>
  <si>
    <t xml:space="preserve">Torrent Pharmaceuticals Ltd</t>
  </si>
  <si>
    <t xml:space="preserve">TORNTPHARM</t>
  </si>
  <si>
    <t xml:space="preserve">TRP IN</t>
  </si>
  <si>
    <t xml:space="preserve">INE685A01028</t>
  </si>
  <si>
    <t xml:space="preserve">Torrent Power Ltd</t>
  </si>
  <si>
    <t xml:space="preserve">TORNTPOWER</t>
  </si>
  <si>
    <t xml:space="preserve">TPW IN</t>
  </si>
  <si>
    <t xml:space="preserve">INE813H01021</t>
  </si>
  <si>
    <t xml:space="preserve">Tourism Finance Corporation Of India Ltd</t>
  </si>
  <si>
    <t xml:space="preserve">TFCILTD</t>
  </si>
  <si>
    <t xml:space="preserve">TFCI IN</t>
  </si>
  <si>
    <t xml:space="preserve">INE305A01015</t>
  </si>
  <si>
    <t xml:space="preserve">Transpek Industry Ltd</t>
  </si>
  <si>
    <t xml:space="preserve">TRANSPEK</t>
  </si>
  <si>
    <t xml:space="preserve">TPI IN</t>
  </si>
  <si>
    <t xml:space="preserve">INE687A01016</t>
  </si>
  <si>
    <t xml:space="preserve">Transport Corporation Of India Ltd</t>
  </si>
  <si>
    <t xml:space="preserve">TCI</t>
  </si>
  <si>
    <t xml:space="preserve">TRPC IN</t>
  </si>
  <si>
    <t xml:space="preserve">INE688A01022</t>
  </si>
  <si>
    <t xml:space="preserve">Trent Ltd</t>
  </si>
  <si>
    <t xml:space="preserve">TRENT</t>
  </si>
  <si>
    <t xml:space="preserve">TRENT IN</t>
  </si>
  <si>
    <t xml:space="preserve">INE849A01020</t>
  </si>
  <si>
    <t xml:space="preserve">Tribhovandas Bhimji Zaveri Ltd</t>
  </si>
  <si>
    <t xml:space="preserve">TBZ</t>
  </si>
  <si>
    <t xml:space="preserve">TBZL IN</t>
  </si>
  <si>
    <t xml:space="preserve">INE760L01018</t>
  </si>
  <si>
    <t xml:space="preserve">Trident Ltd</t>
  </si>
  <si>
    <t xml:space="preserve">TRIDENT</t>
  </si>
  <si>
    <t xml:space="preserve">TRID IN</t>
  </si>
  <si>
    <t xml:space="preserve">INE064C01022</t>
  </si>
  <si>
    <t xml:space="preserve">Triveni Engineering &amp; Industries Ltd</t>
  </si>
  <si>
    <t xml:space="preserve">TRIVENI</t>
  </si>
  <si>
    <t xml:space="preserve">TRE IN</t>
  </si>
  <si>
    <t xml:space="preserve">INE256C01024</t>
  </si>
  <si>
    <t xml:space="preserve">Triveni Turbine Ltd</t>
  </si>
  <si>
    <t xml:space="preserve">TRITURBINE</t>
  </si>
  <si>
    <t xml:space="preserve">TRIV IN</t>
  </si>
  <si>
    <t xml:space="preserve">INE152M01016</t>
  </si>
  <si>
    <t xml:space="preserve">TTK Healthcare Ltd</t>
  </si>
  <si>
    <t xml:space="preserve">TTKHLTCARE</t>
  </si>
  <si>
    <t xml:space="preserve">TTKP IN</t>
  </si>
  <si>
    <t xml:space="preserve">INE910C01018</t>
  </si>
  <si>
    <t xml:space="preserve">TTK Prestige Ltd</t>
  </si>
  <si>
    <t xml:space="preserve">TTKPRESTIG</t>
  </si>
  <si>
    <t xml:space="preserve">TTKPT IN</t>
  </si>
  <si>
    <t xml:space="preserve">INE690A01028</t>
  </si>
  <si>
    <t xml:space="preserve">Tube Investments of India Ltd</t>
  </si>
  <si>
    <t xml:space="preserve">TIINDIA</t>
  </si>
  <si>
    <t xml:space="preserve">TIINDIA IN</t>
  </si>
  <si>
    <t xml:space="preserve">INE974X01010</t>
  </si>
  <si>
    <t xml:space="preserve">TV Today Network Ltd</t>
  </si>
  <si>
    <t xml:space="preserve">TVTODAY</t>
  </si>
  <si>
    <t xml:space="preserve">TVTN IN</t>
  </si>
  <si>
    <t xml:space="preserve">INE038F01029</t>
  </si>
  <si>
    <t xml:space="preserve">TV18 Broadcast Ltd</t>
  </si>
  <si>
    <t xml:space="preserve">TV18BRDCST</t>
  </si>
  <si>
    <t xml:space="preserve">TV18 IN</t>
  </si>
  <si>
    <t xml:space="preserve">INE886H01027</t>
  </si>
  <si>
    <t xml:space="preserve">TVS Motor Company Ltd</t>
  </si>
  <si>
    <t xml:space="preserve">TVSMOTOR</t>
  </si>
  <si>
    <t xml:space="preserve">TVSL IN</t>
  </si>
  <si>
    <t xml:space="preserve">INE494B01023</t>
  </si>
  <si>
    <t xml:space="preserve">TVS Srichakra Ltd</t>
  </si>
  <si>
    <t xml:space="preserve">TVSSRICHAK</t>
  </si>
  <si>
    <t xml:space="preserve">SRTY IN</t>
  </si>
  <si>
    <t xml:space="preserve">INE421C01016</t>
  </si>
  <si>
    <t xml:space="preserve">UCO Bank</t>
  </si>
  <si>
    <t xml:space="preserve">UCOBANK</t>
  </si>
  <si>
    <t xml:space="preserve">UCO IN</t>
  </si>
  <si>
    <t xml:space="preserve">INE691A01018</t>
  </si>
  <si>
    <t xml:space="preserve">Udaipur Cement Works Ltd</t>
  </si>
  <si>
    <t xml:space="preserve">UDAICEMENT</t>
  </si>
  <si>
    <t xml:space="preserve">UCW IN</t>
  </si>
  <si>
    <t xml:space="preserve">INE225C01029</t>
  </si>
  <si>
    <t xml:space="preserve">Uflex Ltd</t>
  </si>
  <si>
    <t xml:space="preserve">UFLEX</t>
  </si>
  <si>
    <t xml:space="preserve">UFLX IN</t>
  </si>
  <si>
    <t xml:space="preserve">INE516A01017</t>
  </si>
  <si>
    <t xml:space="preserve">Ugro Capital Ltd</t>
  </si>
  <si>
    <t xml:space="preserve">UGROCAP</t>
  </si>
  <si>
    <t xml:space="preserve">UGRO IN</t>
  </si>
  <si>
    <t xml:space="preserve">INE583D01011</t>
  </si>
  <si>
    <t xml:space="preserve">Ujjivan Financial Services Ltd</t>
  </si>
  <si>
    <t xml:space="preserve">UJJIVAN</t>
  </si>
  <si>
    <t xml:space="preserve">UJJIVAN IN</t>
  </si>
  <si>
    <t xml:space="preserve">INE334L01012</t>
  </si>
  <si>
    <t xml:space="preserve">Ujjivan Small Finance Bank Ltd</t>
  </si>
  <si>
    <t xml:space="preserve">UJJIVANSFB</t>
  </si>
  <si>
    <t xml:space="preserve">UJJIVANS IN</t>
  </si>
  <si>
    <t xml:space="preserve">INE551W01018</t>
  </si>
  <si>
    <t xml:space="preserve">Ultramarine &amp; Pigments Ltd</t>
  </si>
  <si>
    <t xml:space="preserve">ULTRMARINE</t>
  </si>
  <si>
    <t xml:space="preserve">UMP IN</t>
  </si>
  <si>
    <t xml:space="preserve">INE405A01021</t>
  </si>
  <si>
    <t xml:space="preserve">Ultratech Cement Ltd</t>
  </si>
  <si>
    <t xml:space="preserve">ULTRACEMCO</t>
  </si>
  <si>
    <t xml:space="preserve">UTCEM IN</t>
  </si>
  <si>
    <t xml:space="preserve">INE481G01011</t>
  </si>
  <si>
    <t xml:space="preserve">Unichem Laboratories Ltd</t>
  </si>
  <si>
    <t xml:space="preserve">UNICHEMLAB</t>
  </si>
  <si>
    <t xml:space="preserve">UL IN</t>
  </si>
  <si>
    <t xml:space="preserve">INE351A01035</t>
  </si>
  <si>
    <t xml:space="preserve">Union Bank Of India</t>
  </si>
  <si>
    <t xml:space="preserve">UNIONBANK</t>
  </si>
  <si>
    <t xml:space="preserve">UNBK IN</t>
  </si>
  <si>
    <t xml:space="preserve">INE692A01016</t>
  </si>
  <si>
    <t xml:space="preserve">Uniphos Enterprises Ltd</t>
  </si>
  <si>
    <t xml:space="preserve">UNIENTER</t>
  </si>
  <si>
    <t xml:space="preserve">UPE IN</t>
  </si>
  <si>
    <t xml:space="preserve">INE037A01022</t>
  </si>
  <si>
    <t xml:space="preserve">Unitech Ltd</t>
  </si>
  <si>
    <t xml:space="preserve">UNITECH</t>
  </si>
  <si>
    <t xml:space="preserve">UT IN</t>
  </si>
  <si>
    <t xml:space="preserve">INE694A01020</t>
  </si>
  <si>
    <t xml:space="preserve">United Breweries Ltd</t>
  </si>
  <si>
    <t xml:space="preserve">UBL</t>
  </si>
  <si>
    <t xml:space="preserve">UBBL IN</t>
  </si>
  <si>
    <t xml:space="preserve">INE686F01025</t>
  </si>
  <si>
    <t xml:space="preserve">United Drilling Tools Ltd</t>
  </si>
  <si>
    <t xml:space="preserve">UNIDT</t>
  </si>
  <si>
    <t xml:space="preserve">UDT IN</t>
  </si>
  <si>
    <t xml:space="preserve">INE961D01019</t>
  </si>
  <si>
    <t xml:space="preserve">United Spirits Ltd</t>
  </si>
  <si>
    <t xml:space="preserve">MCDOWELL-N</t>
  </si>
  <si>
    <t xml:space="preserve">UNSP IN</t>
  </si>
  <si>
    <t xml:space="preserve">INE854D01024</t>
  </si>
  <si>
    <t xml:space="preserve">Universal Cables Ltd</t>
  </si>
  <si>
    <t xml:space="preserve">UNIVCABLES</t>
  </si>
  <si>
    <t xml:space="preserve">UVC IN</t>
  </si>
  <si>
    <t xml:space="preserve">INE279A01012</t>
  </si>
  <si>
    <t xml:space="preserve">Universus Photo Imagings Ltd</t>
  </si>
  <si>
    <t xml:space="preserve">UNIVPHOTO</t>
  </si>
  <si>
    <t xml:space="preserve">UNIPHOTO IN</t>
  </si>
  <si>
    <t xml:space="preserve">INE03V001013</t>
  </si>
  <si>
    <t xml:space="preserve">UPL Ltd</t>
  </si>
  <si>
    <t xml:space="preserve">UPL</t>
  </si>
  <si>
    <t xml:space="preserve">UPLL IN</t>
  </si>
  <si>
    <t xml:space="preserve">INE628A01036</t>
  </si>
  <si>
    <t xml:space="preserve">Urja Global Ltd</t>
  </si>
  <si>
    <t xml:space="preserve">URJA</t>
  </si>
  <si>
    <t xml:space="preserve">UGL IN</t>
  </si>
  <si>
    <t xml:space="preserve">INE550C01020</t>
  </si>
  <si>
    <t xml:space="preserve">Usha Martin Ltd</t>
  </si>
  <si>
    <t xml:space="preserve">USHAMART</t>
  </si>
  <si>
    <t xml:space="preserve">USM IN</t>
  </si>
  <si>
    <t xml:space="preserve">INE228A01035</t>
  </si>
  <si>
    <t xml:space="preserve">UTI Asset Management Company Ltd</t>
  </si>
  <si>
    <t xml:space="preserve">UTIAMC</t>
  </si>
  <si>
    <t xml:space="preserve">UTIAM IN</t>
  </si>
  <si>
    <t xml:space="preserve">INE094J01016</t>
  </si>
  <si>
    <t xml:space="preserve">Uttam Sugar Mills Ltd</t>
  </si>
  <si>
    <t xml:space="preserve">UTTAMSUGAR</t>
  </si>
  <si>
    <t xml:space="preserve">UTSM IN</t>
  </si>
  <si>
    <t xml:space="preserve">INE786F01031</t>
  </si>
  <si>
    <t xml:space="preserve">VSTTillers Tractors Ltd</t>
  </si>
  <si>
    <t xml:space="preserve">VSTTILLERS</t>
  </si>
  <si>
    <t xml:space="preserve">VSTT IN</t>
  </si>
  <si>
    <t xml:space="preserve">INE764D01017</t>
  </si>
  <si>
    <t xml:space="preserve">V2 Retail Ltd</t>
  </si>
  <si>
    <t xml:space="preserve">V2RETAIL</t>
  </si>
  <si>
    <t xml:space="preserve">VREL IN</t>
  </si>
  <si>
    <t xml:space="preserve">INE945H01013</t>
  </si>
  <si>
    <t xml:space="preserve">VA Tech Wabag Ltd</t>
  </si>
  <si>
    <t xml:space="preserve">WABAG</t>
  </si>
  <si>
    <t xml:space="preserve">VATW IN</t>
  </si>
  <si>
    <t xml:space="preserve">INE956G01038</t>
  </si>
  <si>
    <t xml:space="preserve">Vadilal Industries Ltd</t>
  </si>
  <si>
    <t xml:space="preserve">VADILALIND</t>
  </si>
  <si>
    <t xml:space="preserve">VDI IN</t>
  </si>
  <si>
    <t xml:space="preserve">INE694D01016</t>
  </si>
  <si>
    <t xml:space="preserve">Vaibhav Global Ltd</t>
  </si>
  <si>
    <t xml:space="preserve">VAIBHAVGBL</t>
  </si>
  <si>
    <t xml:space="preserve">VGM IN</t>
  </si>
  <si>
    <t xml:space="preserve">INE884A01027</t>
  </si>
  <si>
    <t xml:space="preserve">Vakrangee Ltd</t>
  </si>
  <si>
    <t xml:space="preserve">VAKRANGEE</t>
  </si>
  <si>
    <t xml:space="preserve">VKI IN</t>
  </si>
  <si>
    <t xml:space="preserve">INE051B01021</t>
  </si>
  <si>
    <t xml:space="preserve">Valiant Organics Ltd</t>
  </si>
  <si>
    <t xml:space="preserve">VALIANTORG</t>
  </si>
  <si>
    <t xml:space="preserve">VORG IN</t>
  </si>
  <si>
    <t xml:space="preserve">INE565V01010</t>
  </si>
  <si>
    <t xml:space="preserve">Vardhman Holdings Ltd</t>
  </si>
  <si>
    <t xml:space="preserve">VHL</t>
  </si>
  <si>
    <t xml:space="preserve">VARH IN</t>
  </si>
  <si>
    <t xml:space="preserve">INE701A01023</t>
  </si>
  <si>
    <t xml:space="preserve">Vardhman Special Steels Ltd</t>
  </si>
  <si>
    <t xml:space="preserve">VSSL</t>
  </si>
  <si>
    <t xml:space="preserve">VSSL IN</t>
  </si>
  <si>
    <t xml:space="preserve">INE050M01012</t>
  </si>
  <si>
    <t xml:space="preserve">Vardhman Textiles Ltd</t>
  </si>
  <si>
    <t xml:space="preserve">VTL</t>
  </si>
  <si>
    <t xml:space="preserve">VTEX IN</t>
  </si>
  <si>
    <t xml:space="preserve">INE825A01012</t>
  </si>
  <si>
    <t xml:space="preserve">Varroc Engineering Ltd</t>
  </si>
  <si>
    <t xml:space="preserve">VARROC</t>
  </si>
  <si>
    <t xml:space="preserve">VARROC IN</t>
  </si>
  <si>
    <t xml:space="preserve">INE665L01035</t>
  </si>
  <si>
    <t xml:space="preserve">Varun Beverages Ltd</t>
  </si>
  <si>
    <t xml:space="preserve">VBL</t>
  </si>
  <si>
    <t xml:space="preserve">VBL IN</t>
  </si>
  <si>
    <t xml:space="preserve">INE200M01013</t>
  </si>
  <si>
    <t xml:space="preserve">Vascon Engineers Ltd</t>
  </si>
  <si>
    <t xml:space="preserve">VASCONEQ</t>
  </si>
  <si>
    <t xml:space="preserve">VSCN IN</t>
  </si>
  <si>
    <t xml:space="preserve">INE893I01013</t>
  </si>
  <si>
    <t xml:space="preserve">Vedanta Ltd</t>
  </si>
  <si>
    <t xml:space="preserve">VEDL</t>
  </si>
  <si>
    <t xml:space="preserve">VEDL IN</t>
  </si>
  <si>
    <t xml:space="preserve">INE205A01025</t>
  </si>
  <si>
    <t xml:space="preserve">Venky'S (India) Ltd</t>
  </si>
  <si>
    <t xml:space="preserve">VENKEYS</t>
  </si>
  <si>
    <t xml:space="preserve">WH IN</t>
  </si>
  <si>
    <t xml:space="preserve">INE398A01010</t>
  </si>
  <si>
    <t xml:space="preserve">Venus Remedies Ltd</t>
  </si>
  <si>
    <t xml:space="preserve">VENUSREM</t>
  </si>
  <si>
    <t xml:space="preserve">VNR IN</t>
  </si>
  <si>
    <t xml:space="preserve">INE411B01019</t>
  </si>
  <si>
    <t xml:space="preserve">Vesuvius India Ltd</t>
  </si>
  <si>
    <t xml:space="preserve">VESUVIUS</t>
  </si>
  <si>
    <t xml:space="preserve">VI IN</t>
  </si>
  <si>
    <t xml:space="preserve">INE386A01015</t>
  </si>
  <si>
    <t xml:space="preserve">V-Guard Industries Ltd</t>
  </si>
  <si>
    <t xml:space="preserve">VGUARD</t>
  </si>
  <si>
    <t xml:space="preserve">VGRD IN</t>
  </si>
  <si>
    <t xml:space="preserve">INE951I01027</t>
  </si>
  <si>
    <t xml:space="preserve">Vidhi Specialty Food Ingredients Ltd</t>
  </si>
  <si>
    <t xml:space="preserve">VIDHIING</t>
  </si>
  <si>
    <t xml:space="preserve">VSFI IN</t>
  </si>
  <si>
    <t xml:space="preserve">INE632C01026</t>
  </si>
  <si>
    <t xml:space="preserve">Vijay Solvex Ltd</t>
  </si>
  <si>
    <t xml:space="preserve">VJS IN</t>
  </si>
  <si>
    <t xml:space="preserve">INE362D01010</t>
  </si>
  <si>
    <t xml:space="preserve">Vijaya Diagnostic Centre Ltd</t>
  </si>
  <si>
    <t xml:space="preserve">VIJAYA</t>
  </si>
  <si>
    <t xml:space="preserve">VIJAYA IN</t>
  </si>
  <si>
    <t xml:space="preserve">INE043W01024</t>
  </si>
  <si>
    <t xml:space="preserve">Vimta Labs Ltd</t>
  </si>
  <si>
    <t xml:space="preserve">VIMTALABS</t>
  </si>
  <si>
    <t xml:space="preserve">VL IN</t>
  </si>
  <si>
    <t xml:space="preserve">INE579C01029</t>
  </si>
  <si>
    <t xml:space="preserve">Vinati Organics Ltd</t>
  </si>
  <si>
    <t xml:space="preserve">VINATIORGA</t>
  </si>
  <si>
    <t xml:space="preserve">VO IN</t>
  </si>
  <si>
    <t xml:space="preserve">INE410B01037</t>
  </si>
  <si>
    <t xml:space="preserve">Vindhya Telelinks Ltd</t>
  </si>
  <si>
    <t xml:space="preserve">VINDHYATEL</t>
  </si>
  <si>
    <t xml:space="preserve">VT IN</t>
  </si>
  <si>
    <t xml:space="preserve">INE707A01012</t>
  </si>
  <si>
    <t xml:space="preserve">Vintage Coffee &amp; Beverages Ltd</t>
  </si>
  <si>
    <t xml:space="preserve">SPAC IN</t>
  </si>
  <si>
    <t xml:space="preserve">INE498Q01014</t>
  </si>
  <si>
    <t xml:space="preserve">VIP Industries Ltd</t>
  </si>
  <si>
    <t xml:space="preserve">VIPIND</t>
  </si>
  <si>
    <t xml:space="preserve">VIP IN</t>
  </si>
  <si>
    <t xml:space="preserve">INE054A01027</t>
  </si>
  <si>
    <t xml:space="preserve">Visaka Industries Ltd</t>
  </si>
  <si>
    <t xml:space="preserve">VISAKAIND</t>
  </si>
  <si>
    <t xml:space="preserve">VSKI IN</t>
  </si>
  <si>
    <t xml:space="preserve">INE392A01013</t>
  </si>
  <si>
    <t xml:space="preserve">Vishal Fabrics Ltd</t>
  </si>
  <si>
    <t xml:space="preserve">VISHAL</t>
  </si>
  <si>
    <t xml:space="preserve">VIFL IN</t>
  </si>
  <si>
    <t xml:space="preserve">INE755Q01025</t>
  </si>
  <si>
    <t xml:space="preserve">Vishnu Chemicals Ltd</t>
  </si>
  <si>
    <t xml:space="preserve">VISHNU</t>
  </si>
  <si>
    <t xml:space="preserve">VCL IN</t>
  </si>
  <si>
    <t xml:space="preserve">INE270I01014</t>
  </si>
  <si>
    <t xml:space="preserve">Vishwaraj Sugar Industries Ltd</t>
  </si>
  <si>
    <t xml:space="preserve">VISHWARAJ</t>
  </si>
  <si>
    <t xml:space="preserve">VISHWARA IN</t>
  </si>
  <si>
    <t xml:space="preserve">INE430N01022</t>
  </si>
  <si>
    <t xml:space="preserve">VLS Finance Ltd</t>
  </si>
  <si>
    <t xml:space="preserve">VLSFINANCE</t>
  </si>
  <si>
    <t xml:space="preserve">VLS IN</t>
  </si>
  <si>
    <t xml:space="preserve">INE709A01018</t>
  </si>
  <si>
    <t xml:space="preserve">V-Mart Retail Ltd</t>
  </si>
  <si>
    <t xml:space="preserve">VMART</t>
  </si>
  <si>
    <t xml:space="preserve">VMART IN</t>
  </si>
  <si>
    <t xml:space="preserve">INE665J01013</t>
  </si>
  <si>
    <t xml:space="preserve">Vodafone Idea Ltd</t>
  </si>
  <si>
    <t xml:space="preserve">IDEA</t>
  </si>
  <si>
    <t xml:space="preserve">IDEA IN</t>
  </si>
  <si>
    <t xml:space="preserve">INE669E01016</t>
  </si>
  <si>
    <t xml:space="preserve">Voltamp Transformers Ltd</t>
  </si>
  <si>
    <t xml:space="preserve">VOLTAMP</t>
  </si>
  <si>
    <t xml:space="preserve">VAMP IN</t>
  </si>
  <si>
    <t xml:space="preserve">INE540H01012</t>
  </si>
  <si>
    <t xml:space="preserve">Voltas Ltd</t>
  </si>
  <si>
    <t xml:space="preserve">VOLTAS</t>
  </si>
  <si>
    <t xml:space="preserve">VOLT IN</t>
  </si>
  <si>
    <t xml:space="preserve">INE226A01021</t>
  </si>
  <si>
    <t xml:space="preserve">VRL Logistics Ltd</t>
  </si>
  <si>
    <t xml:space="preserve">VRLLOG</t>
  </si>
  <si>
    <t xml:space="preserve">VRLL IN</t>
  </si>
  <si>
    <t xml:space="preserve">INE366I01010</t>
  </si>
  <si>
    <t xml:space="preserve">VST Industries Ltd</t>
  </si>
  <si>
    <t xml:space="preserve">VSTIND</t>
  </si>
  <si>
    <t xml:space="preserve">VST IN</t>
  </si>
  <si>
    <t xml:space="preserve">INE710A01016</t>
  </si>
  <si>
    <t xml:space="preserve">Waaree Renewable Technologies Ltd</t>
  </si>
  <si>
    <t xml:space="preserve">SANG IN</t>
  </si>
  <si>
    <t xml:space="preserve">INE299N01013</t>
  </si>
  <si>
    <t xml:space="preserve">Wabco India Ltd</t>
  </si>
  <si>
    <t xml:space="preserve">WABCOINDIA</t>
  </si>
  <si>
    <t xml:space="preserve">WIL IN</t>
  </si>
  <si>
    <t xml:space="preserve">INE342J01019</t>
  </si>
  <si>
    <t xml:space="preserve">Wardwizard Innovations &amp; Mobility Ltd</t>
  </si>
  <si>
    <t xml:space="preserve">MNVJ IN</t>
  </si>
  <si>
    <t xml:space="preserve">INE945P01024</t>
  </si>
  <si>
    <t xml:space="preserve">Welspun Corp Ltd</t>
  </si>
  <si>
    <t xml:space="preserve">WELCORP</t>
  </si>
  <si>
    <t xml:space="preserve">WLCO IN</t>
  </si>
  <si>
    <t xml:space="preserve">INE191B01025</t>
  </si>
  <si>
    <t xml:space="preserve">Welspun Enterprises Ltd</t>
  </si>
  <si>
    <t xml:space="preserve">WELENT</t>
  </si>
  <si>
    <t xml:space="preserve">WEL IN</t>
  </si>
  <si>
    <t xml:space="preserve">INE625G01013</t>
  </si>
  <si>
    <t xml:space="preserve">Welspun India Ltd</t>
  </si>
  <si>
    <t xml:space="preserve">WELSPUNIND</t>
  </si>
  <si>
    <t xml:space="preserve">WLSI IN</t>
  </si>
  <si>
    <t xml:space="preserve">INE192B01031</t>
  </si>
  <si>
    <t xml:space="preserve">Welspun Specialty Solutions Ltd</t>
  </si>
  <si>
    <t xml:space="preserve">REMIMETAL</t>
  </si>
  <si>
    <t xml:space="preserve">RMG IN</t>
  </si>
  <si>
    <t xml:space="preserve">INE731F01037</t>
  </si>
  <si>
    <t xml:space="preserve">Wendt (India) Ltd</t>
  </si>
  <si>
    <t xml:space="preserve">WENDT</t>
  </si>
  <si>
    <t xml:space="preserve">WNDT IN</t>
  </si>
  <si>
    <t xml:space="preserve">INE274C01019</t>
  </si>
  <si>
    <t xml:space="preserve">West Coast Paper Mills Ltd</t>
  </si>
  <si>
    <t xml:space="preserve">WSTCSTPAPR</t>
  </si>
  <si>
    <t xml:space="preserve">WCPM IN</t>
  </si>
  <si>
    <t xml:space="preserve">INE976A01021</t>
  </si>
  <si>
    <t xml:space="preserve">Westlife Development Ltd</t>
  </si>
  <si>
    <t xml:space="preserve">WESTLIFE</t>
  </si>
  <si>
    <t xml:space="preserve">WLDL IN</t>
  </si>
  <si>
    <t xml:space="preserve">INE274F01020</t>
  </si>
  <si>
    <t xml:space="preserve">Wheels India Ltd</t>
  </si>
  <si>
    <t xml:space="preserve">WHEELS</t>
  </si>
  <si>
    <t xml:space="preserve">WHL IN</t>
  </si>
  <si>
    <t xml:space="preserve">INE715A01015</t>
  </si>
  <si>
    <t xml:space="preserve">Whirlpool Of India Ltd</t>
  </si>
  <si>
    <t xml:space="preserve">WHIRLPOOL</t>
  </si>
  <si>
    <t xml:space="preserve">WHIRL IN</t>
  </si>
  <si>
    <t xml:space="preserve">INE716A01013</t>
  </si>
  <si>
    <t xml:space="preserve">Wim Plast Ltd</t>
  </si>
  <si>
    <t xml:space="preserve">WIMPLAST</t>
  </si>
  <si>
    <t xml:space="preserve">WMP IN</t>
  </si>
  <si>
    <t xml:space="preserve">INE015B01018</t>
  </si>
  <si>
    <t xml:space="preserve">Windlas Biotech Ltd</t>
  </si>
  <si>
    <t xml:space="preserve">WINDLAS</t>
  </si>
  <si>
    <t xml:space="preserve">WINDLAS IN</t>
  </si>
  <si>
    <t xml:space="preserve">INE0H5O01029</t>
  </si>
  <si>
    <t xml:space="preserve">Wipro Ltd</t>
  </si>
  <si>
    <t xml:space="preserve">WIPRO</t>
  </si>
  <si>
    <t xml:space="preserve">WPRO IN</t>
  </si>
  <si>
    <t xml:space="preserve">INE075A01022</t>
  </si>
  <si>
    <t xml:space="preserve">Wockhardt Ltd</t>
  </si>
  <si>
    <t xml:space="preserve">WOCKPHARMA</t>
  </si>
  <si>
    <t xml:space="preserve">WPL IN</t>
  </si>
  <si>
    <t xml:space="preserve">INE049B01025</t>
  </si>
  <si>
    <t xml:space="preserve">Wonderla Holidays Ltd</t>
  </si>
  <si>
    <t xml:space="preserve">WONDERLA</t>
  </si>
  <si>
    <t xml:space="preserve">WONH IN</t>
  </si>
  <si>
    <t xml:space="preserve">INE066O01014</t>
  </si>
  <si>
    <t xml:space="preserve">WPIL Ltd</t>
  </si>
  <si>
    <t xml:space="preserve">WPI IN</t>
  </si>
  <si>
    <t xml:space="preserve">INE765D01014</t>
  </si>
  <si>
    <t xml:space="preserve">Xchanging Solutions Ltd</t>
  </si>
  <si>
    <t xml:space="preserve">XCHANGING</t>
  </si>
  <si>
    <t xml:space="preserve">XSL IN</t>
  </si>
  <si>
    <t xml:space="preserve">INE692G01013</t>
  </si>
  <si>
    <t xml:space="preserve">Xelpmoc Design And Tech Ltd</t>
  </si>
  <si>
    <t xml:space="preserve">XELPMOC</t>
  </si>
  <si>
    <t xml:space="preserve">XELP IN</t>
  </si>
  <si>
    <t xml:space="preserve">INE01P501012</t>
  </si>
  <si>
    <t xml:space="preserve">Xpro India Ltd</t>
  </si>
  <si>
    <t xml:space="preserve">XPROINDIA</t>
  </si>
  <si>
    <t xml:space="preserve">XPRO IN</t>
  </si>
  <si>
    <t xml:space="preserve">INE445C01015</t>
  </si>
  <si>
    <t xml:space="preserve">XT Global Infotech Ltd</t>
  </si>
  <si>
    <t xml:space="preserve">FIT IN</t>
  </si>
  <si>
    <t xml:space="preserve">INE547B01028</t>
  </si>
  <si>
    <t xml:space="preserve">Yaari Digital Integrated Services Ltd</t>
  </si>
  <si>
    <t xml:space="preserve">YAARI </t>
  </si>
  <si>
    <t xml:space="preserve">YAARII IN</t>
  </si>
  <si>
    <t xml:space="preserve">INE126M01010</t>
  </si>
  <si>
    <t xml:space="preserve">Yasho Industries Ltd</t>
  </si>
  <si>
    <t xml:space="preserve">YASHO IN</t>
  </si>
  <si>
    <t xml:space="preserve">INE616Z01012</t>
  </si>
  <si>
    <t xml:space="preserve">Yes Bank Ltd</t>
  </si>
  <si>
    <t xml:space="preserve">YESBANK</t>
  </si>
  <si>
    <t xml:space="preserve">YES IN</t>
  </si>
  <si>
    <t xml:space="preserve">INE528G01035</t>
  </si>
  <si>
    <t xml:space="preserve">Yuken India Ltd</t>
  </si>
  <si>
    <t xml:space="preserve">YUKEN</t>
  </si>
  <si>
    <t xml:space="preserve">YI IN</t>
  </si>
  <si>
    <t xml:space="preserve">INE384C01016</t>
  </si>
  <si>
    <t xml:space="preserve">Zee Entertainment Enterprises Ltd</t>
  </si>
  <si>
    <t xml:space="preserve">ZEEL</t>
  </si>
  <si>
    <t xml:space="preserve">Z IN</t>
  </si>
  <si>
    <t xml:space="preserve">INE256A01028</t>
  </si>
  <si>
    <t xml:space="preserve">Zee Media Corporation Ltd</t>
  </si>
  <si>
    <t xml:space="preserve">ZEEMEDIA</t>
  </si>
  <si>
    <t xml:space="preserve">ZEEN IN</t>
  </si>
  <si>
    <t xml:space="preserve">INE966H01019</t>
  </si>
  <si>
    <t xml:space="preserve">Zen Technologies Ltd</t>
  </si>
  <si>
    <t xml:space="preserve">ZENTEC</t>
  </si>
  <si>
    <t xml:space="preserve">ZEN IN</t>
  </si>
  <si>
    <t xml:space="preserve">INE251B01027</t>
  </si>
  <si>
    <t xml:space="preserve">Zensar Technologies Ltd</t>
  </si>
  <si>
    <t xml:space="preserve">ZENSARTECH</t>
  </si>
  <si>
    <t xml:space="preserve">ZENT IN</t>
  </si>
  <si>
    <t xml:space="preserve">INE520A01027</t>
  </si>
  <si>
    <t xml:space="preserve">Zomato Ltd</t>
  </si>
  <si>
    <t xml:space="preserve">ZOMATO</t>
  </si>
  <si>
    <t xml:space="preserve">ZOMATO IN</t>
  </si>
  <si>
    <t xml:space="preserve">INE758T01015</t>
  </si>
  <si>
    <t xml:space="preserve">Zota Health Care Ltd</t>
  </si>
  <si>
    <t xml:space="preserve">ZOTA</t>
  </si>
  <si>
    <t xml:space="preserve">ZOTA IN</t>
  </si>
  <si>
    <t xml:space="preserve">INE358U01012</t>
  </si>
</sst>
</file>

<file path=xl/styles.xml><?xml version="1.0" encoding="utf-8"?>
<styleSheet xmlns="http://schemas.openxmlformats.org/spreadsheetml/2006/main">
  <numFmts count="20">
    <numFmt numFmtId="164" formatCode="General"/>
    <numFmt numFmtId="165" formatCode="mmm\-yy"/>
    <numFmt numFmtId="166" formatCode="#,##0"/>
    <numFmt numFmtId="167" formatCode="0%"/>
    <numFmt numFmtId="168" formatCode="0.0%"/>
    <numFmt numFmtId="169" formatCode="0.0"/>
    <numFmt numFmtId="170" formatCode="General"/>
    <numFmt numFmtId="171" formatCode="_(* #,##0.00_);_(* \(#,##0.00\);_(* \-??_);_(@_)"/>
    <numFmt numFmtId="172" formatCode="_ * #,##0_ ;_ * \-#,##0_ ;_ * \-??_ ;_ @_ "/>
    <numFmt numFmtId="173" formatCode="_ * #,##0.00_ ;_ * \-#,##0.00_ ;_ * \-??_ ;_ @_ "/>
    <numFmt numFmtId="174" formatCode="#,##0.0"/>
    <numFmt numFmtId="175" formatCode="#,##0.00"/>
    <numFmt numFmtId="176" formatCode="_ * #,##0.0_ ;_ * \-#,##0.0_ ;_ * \-??_ ;_ @_ "/>
    <numFmt numFmtId="177" formatCode="0.00%"/>
    <numFmt numFmtId="178" formatCode="[$-409]mmm\-yy;@"/>
    <numFmt numFmtId="179" formatCode="0"/>
    <numFmt numFmtId="180" formatCode="#,##0;\(#,##0\);\-"/>
    <numFmt numFmtId="181" formatCode="0.0%;\(0.0%\);\-"/>
    <numFmt numFmtId="182" formatCode="0.0\x"/>
    <numFmt numFmtId="183" formatCode="#,##0.00;\(#,##0.00\);\-"/>
  </numFmts>
  <fonts count="5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rgb="FF1F4690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18"/>
      <color theme="0"/>
      <name val="Calibri"/>
      <family val="2"/>
      <charset val="1"/>
    </font>
    <font>
      <b val="true"/>
      <i val="true"/>
      <sz val="11"/>
      <color theme="1"/>
      <name val="Calibri"/>
      <family val="2"/>
      <charset val="1"/>
    </font>
    <font>
      <b val="true"/>
      <i val="true"/>
      <sz val="11"/>
      <color rgb="FFFF0000"/>
      <name val="Calibri"/>
      <family val="2"/>
      <charset val="1"/>
    </font>
    <font>
      <i val="true"/>
      <sz val="11"/>
      <color theme="1"/>
      <name val="Calibri"/>
      <family val="2"/>
      <charset val="1"/>
    </font>
    <font>
      <i val="true"/>
      <sz val="11"/>
      <color rgb="FFFF0000"/>
      <name val="Calibri"/>
      <family val="2"/>
      <charset val="1"/>
    </font>
    <font>
      <sz val="10"/>
      <name val="Arial"/>
      <family val="2"/>
    </font>
    <font>
      <sz val="10"/>
      <color theme="1"/>
      <name val="Calibri"/>
      <family val="2"/>
      <charset val="1"/>
    </font>
    <font>
      <sz val="10"/>
      <color theme="0"/>
      <name val="Calibri"/>
      <family val="2"/>
      <charset val="1"/>
    </font>
    <font>
      <b val="true"/>
      <sz val="10"/>
      <color theme="0"/>
      <name val="Calibri"/>
      <family val="2"/>
      <charset val="1"/>
    </font>
    <font>
      <b val="true"/>
      <sz val="10"/>
      <name val="Calibri"/>
      <family val="2"/>
      <charset val="1"/>
    </font>
    <font>
      <sz val="10"/>
      <name val="Calibri"/>
      <family val="2"/>
      <charset val="1"/>
    </font>
    <font>
      <b val="true"/>
      <sz val="10"/>
      <color theme="1"/>
      <name val="Calibri"/>
      <family val="2"/>
      <charset val="1"/>
    </font>
    <font>
      <b val="true"/>
      <sz val="9"/>
      <color theme="1"/>
      <name val="Calibri"/>
      <family val="2"/>
      <charset val="1"/>
    </font>
    <font>
      <b val="true"/>
      <i val="true"/>
      <sz val="8"/>
      <color theme="0"/>
      <name val="Calibri"/>
      <family val="2"/>
      <charset val="1"/>
    </font>
    <font>
      <i val="true"/>
      <sz val="10"/>
      <color theme="1"/>
      <name val="Calibri"/>
      <family val="2"/>
      <charset val="1"/>
    </font>
    <font>
      <sz val="10"/>
      <color theme="1"/>
      <name val="Arial"/>
      <family val="2"/>
      <charset val="1"/>
    </font>
    <font>
      <b val="true"/>
      <sz val="20"/>
      <color theme="0"/>
      <name val="Calibri (Body)"/>
      <family val="0"/>
      <charset val="1"/>
    </font>
    <font>
      <sz val="10"/>
      <color rgb="FF22222F"/>
      <name val="Calibri"/>
      <family val="2"/>
      <charset val="1"/>
    </font>
    <font>
      <u val="single"/>
      <sz val="10"/>
      <color theme="10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8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C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6"/>
      <color theme="1"/>
      <name val="Calibri"/>
      <family val="2"/>
      <charset val="1"/>
    </font>
    <font>
      <b val="true"/>
      <u val="single"/>
      <sz val="11"/>
      <color theme="10"/>
      <name val="Calibri"/>
      <family val="2"/>
      <charset val="1"/>
    </font>
    <font>
      <sz val="11"/>
      <color theme="0"/>
      <name val="Calibri"/>
      <family val="2"/>
      <charset val="1"/>
    </font>
    <font>
      <sz val="11"/>
      <name val="Calibri"/>
      <family val="2"/>
      <charset val="1"/>
    </font>
    <font>
      <sz val="10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0"/>
      <name val="Arial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theme="9"/>
        <bgColor rgb="FF993366"/>
      </patternFill>
    </fill>
    <fill>
      <patternFill patternType="solid">
        <fgColor rgb="FF1F4690"/>
        <bgColor rgb="FF375AA2"/>
      </patternFill>
    </fill>
    <fill>
      <patternFill patternType="solid">
        <fgColor rgb="FFFFE5B4"/>
        <bgColor rgb="FFFFE4B6"/>
      </patternFill>
    </fill>
    <fill>
      <patternFill patternType="solid">
        <fgColor theme="3" tint="0.5999"/>
        <bgColor rgb="FF99CCFF"/>
      </patternFill>
    </fill>
    <fill>
      <patternFill patternType="solid">
        <fgColor rgb="FFE1F2CE"/>
        <bgColor rgb="FFDEF5FA"/>
      </patternFill>
    </fill>
    <fill>
      <patternFill patternType="solid">
        <fgColor theme="2"/>
        <bgColor rgb="FFF2F2F2"/>
      </patternFill>
    </fill>
    <fill>
      <patternFill patternType="solid">
        <fgColor rgb="FFFFE4B6"/>
        <bgColor rgb="FFFFE5B4"/>
      </patternFill>
    </fill>
    <fill>
      <patternFill patternType="solid">
        <fgColor rgb="FF375AA2"/>
        <bgColor rgb="FF3A5BA0"/>
      </patternFill>
    </fill>
    <fill>
      <patternFill patternType="solid">
        <fgColor theme="0"/>
        <bgColor rgb="FFF9F9F9"/>
      </patternFill>
    </fill>
    <fill>
      <patternFill patternType="solid">
        <fgColor rgb="FF3A5BA0"/>
        <bgColor rgb="FF375AA2"/>
      </patternFill>
    </fill>
    <fill>
      <patternFill patternType="solid">
        <fgColor rgb="FFFFA500"/>
        <bgColor rgb="FFFF8119"/>
      </patternFill>
    </fill>
    <fill>
      <patternFill patternType="solid">
        <fgColor rgb="FFF2F2F2"/>
        <bgColor rgb="FFF9F9F9"/>
      </patternFill>
    </fill>
    <fill>
      <patternFill patternType="solid">
        <fgColor rgb="FFD9D9D9"/>
        <bgColor rgb="FFE1F2CE"/>
      </patternFill>
    </fill>
    <fill>
      <patternFill patternType="solid">
        <fgColor rgb="FF4682B4"/>
        <bgColor rgb="FF3A5BA0"/>
      </patternFill>
    </fill>
    <fill>
      <patternFill patternType="solid">
        <fgColor rgb="FF808080"/>
        <bgColor rgb="FF878787"/>
      </patternFill>
    </fill>
    <fill>
      <patternFill patternType="solid">
        <fgColor rgb="FFC00000"/>
        <bgColor rgb="FF9C0006"/>
      </patternFill>
    </fill>
    <fill>
      <patternFill patternType="solid">
        <fgColor rgb="FF006400"/>
        <bgColor rgb="FF003300"/>
      </patternFill>
    </fill>
    <fill>
      <patternFill patternType="solid">
        <fgColor rgb="FF0275D8"/>
        <bgColor rgb="FF008080"/>
      </patternFill>
    </fill>
  </fills>
  <borders count="42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 diagonalUp="false" diagonalDown="false">
      <left/>
      <right style="medium">
        <color rgb="FFFFFFFF"/>
      </right>
      <top/>
      <bottom style="medium">
        <color rgb="FFFFFFFF"/>
      </bottom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 diagonalUp="false" diagonalDown="false">
      <left/>
      <right style="medium">
        <color rgb="FFFFFFFF"/>
      </right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>
        <color rgb="FFFFFFFF"/>
      </left>
      <right style="medium">
        <color rgb="FFFFFFFF"/>
      </right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1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45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3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19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2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7" fillId="0" borderId="14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7" fontId="0" fillId="0" borderId="0" xfId="19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8" fontId="7" fillId="0" borderId="16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9" fontId="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7" fillId="0" borderId="14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7" fontId="7" fillId="0" borderId="16" xfId="1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7" fontId="7" fillId="0" borderId="15" xfId="19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5" fillId="0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2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2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2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7" fontId="0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2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27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3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4" borderId="2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9" fillId="0" borderId="2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29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2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3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4" borderId="2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2" fontId="11" fillId="0" borderId="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2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29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2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3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1" fillId="0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1" fillId="0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" fillId="4" borderId="2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8" fontId="10" fillId="4" borderId="2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7" fontId="0" fillId="0" borderId="29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2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1" fillId="0" borderId="2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1" fillId="0" borderId="27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1" fillId="0" borderId="3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1" fillId="0" borderId="2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1" fillId="0" borderId="27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1" fillId="0" borderId="3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1" fillId="0" borderId="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0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0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0" borderId="2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5" fontId="0" fillId="4" borderId="2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3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4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0" fillId="4" borderId="2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" fillId="0" borderId="0" xfId="19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2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0" fillId="4" borderId="1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8" fontId="0" fillId="4" borderId="1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1" fillId="0" borderId="0" xfId="19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2" fontId="0" fillId="0" borderId="1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4" borderId="1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0" fillId="4" borderId="4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0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0" fillId="0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2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5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3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3" borderId="18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78" fontId="16" fillId="3" borderId="2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8" fontId="16" fillId="3" borderId="3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8" fontId="16" fillId="3" borderId="4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8" fontId="16" fillId="3" borderId="4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8" fontId="17" fillId="4" borderId="3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8" fontId="17" fillId="4" borderId="4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8" fontId="17" fillId="4" borderId="4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8" fontId="16" fillId="3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8" fontId="16" fillId="3" borderId="3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8" fontId="16" fillId="3" borderId="4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8" fontId="16" fillId="3" borderId="4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4" fillId="0" borderId="1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4" fillId="0" borderId="0" xfId="15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14" fillId="0" borderId="1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8" fillId="4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8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18" fillId="4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4" fillId="0" borderId="1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" fillId="0" borderId="0" xfId="19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4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4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8" fillId="4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8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8" fillId="4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4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8" fillId="4" borderId="1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8" fillId="4" borderId="0" xfId="15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18" fillId="4" borderId="1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4" fillId="0" borderId="1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4" fillId="0" borderId="2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4" fillId="0" borderId="2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8" fillId="4" borderId="1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8" fillId="4" borderId="2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8" fillId="4" borderId="2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8" fillId="0" borderId="1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" fillId="0" borderId="2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4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4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5" fillId="0" borderId="0" xfId="15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4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4" fillId="0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8" fillId="4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8" fillId="4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8" fillId="4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4" fillId="0" borderId="17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" fillId="0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" fillId="0" borderId="2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" fillId="6" borderId="1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7" fontId="14" fillId="6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7" fontId="14" fillId="6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7" fontId="14" fillId="4" borderId="1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" fillId="4" borderId="0" xfId="19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4" fillId="4" borderId="12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" fillId="0" borderId="1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4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" fillId="0" borderId="0" xfId="19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14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4" fillId="0" borderId="1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4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4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4" fillId="0" borderId="0" xfId="15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18" fillId="4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8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18" fillId="4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4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4" fillId="0" borderId="1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4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4" fillId="0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8" fillId="4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8" fillId="4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8" fillId="4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4" fillId="0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14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9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8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8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8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4" fillId="0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" fillId="0" borderId="2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" fillId="0" borderId="1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8" fillId="4" borderId="1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8" fillId="4" borderId="0" xfId="19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8" fillId="4" borderId="12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" fillId="6" borderId="1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8" fontId="14" fillId="6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8" fontId="14" fillId="6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8" fontId="14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4" fillId="0" borderId="19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" fillId="0" borderId="2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8" fillId="4" borderId="19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8" fillId="4" borderId="2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8" fillId="4" borderId="2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" fillId="0" borderId="18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" fillId="0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" fillId="0" borderId="12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" fillId="0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8" fillId="4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8" fillId="4" borderId="2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8" fillId="4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" fillId="0" borderId="1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4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9" fillId="0" borderId="1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19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19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7" fillId="4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17" fillId="4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9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9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4" fillId="0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4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4" fillId="0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8" fillId="4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8" fillId="4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8" fillId="4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8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8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8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4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4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4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1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14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" fillId="0" borderId="1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" fillId="4" borderId="1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" fillId="4" borderId="0" xfId="19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8" fillId="4" borderId="12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14" fillId="0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" fillId="0" borderId="19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" fillId="4" borderId="19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" fillId="4" borderId="2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" fillId="4" borderId="2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4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4" fillId="0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8" fillId="4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8" fillId="4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8" fillId="4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4" fillId="0" borderId="0" xfId="15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4" fillId="0" borderId="12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" fillId="0" borderId="2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4" fillId="0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4" fillId="0" borderId="1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4" fillId="0" borderId="1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4" fillId="0" borderId="1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8" fillId="4" borderId="1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8" fillId="4" borderId="0" xfId="15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18" fillId="4" borderId="1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4" fillId="0" borderId="1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4" fillId="0" borderId="2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4" fillId="0" borderId="2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8" fillId="4" borderId="1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8" fillId="4" borderId="2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8" fillId="4" borderId="2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4" fillId="0" borderId="1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8" fontId="1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8" fontId="16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8" fontId="16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4" fillId="0" borderId="1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2" fontId="14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72" fontId="14" fillId="0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7" fontId="14" fillId="7" borderId="0" xfId="19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4" fillId="0" borderId="11" xfId="19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7" fontId="14" fillId="0" borderId="0" xfId="19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7" fontId="14" fillId="0" borderId="12" xfId="19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2" fontId="14" fillId="0" borderId="11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2" fontId="14" fillId="0" borderId="0" xfId="15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72" fontId="14" fillId="0" borderId="12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8" fontId="14" fillId="0" borderId="11" xfId="19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8" fontId="14" fillId="0" borderId="0" xfId="19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8" fontId="14" fillId="0" borderId="12" xfId="19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7" fontId="14" fillId="0" borderId="1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7" fontId="14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7" fontId="14" fillId="0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7" fontId="14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4" fillId="0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9" fontId="14" fillId="0" borderId="19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9" fontId="14" fillId="0" borderId="2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9" fontId="14" fillId="0" borderId="2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9" fontId="14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6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8" fontId="19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8" fontId="20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8" fontId="4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22" fillId="4" borderId="0" xfId="19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1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4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8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1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25" fillId="10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25" fillId="10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6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14" fillId="0" borderId="0" xfId="19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14" fillId="0" borderId="0" xfId="19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8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9" fillId="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0" fillId="3" borderId="2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0" fillId="11" borderId="2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0" fillId="12" borderId="3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1" fillId="13" borderId="2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80" fontId="32" fillId="10" borderId="2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1" fontId="32" fillId="13" borderId="2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0" fontId="32" fillId="13" borderId="2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1" fontId="32" fillId="10" borderId="2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5" fontId="32" fillId="13" borderId="2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5" fontId="32" fillId="10" borderId="2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2" fontId="32" fillId="13" borderId="2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32" fillId="10" borderId="2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32" fillId="13" borderId="2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2" fontId="32" fillId="10" borderId="2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3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3" borderId="2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2" fillId="13" borderId="2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9" fillId="3" borderId="2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2" fillId="10" borderId="2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8" fillId="3" borderId="3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1" fillId="14" borderId="2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0" fillId="3" borderId="2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0" fillId="11" borderId="2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0" fillId="15" borderId="2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8" fillId="12" borderId="3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2" fillId="13" borderId="2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9" fillId="3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13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10" borderId="2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10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9" fillId="11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9" fillId="16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3" fontId="32" fillId="13" borderId="2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3" fontId="32" fillId="10" borderId="2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0" fillId="12" borderId="2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80" fontId="32" fillId="4" borderId="2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1" fontId="32" fillId="4" borderId="2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1" fontId="40" fillId="10" borderId="2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5" fontId="32" fillId="4" borderId="2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32" fillId="4" borderId="2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1" fontId="40" fillId="4" borderId="2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0" fillId="3" borderId="3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80" fontId="40" fillId="13" borderId="2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0" fontId="40" fillId="4" borderId="2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0" fontId="40" fillId="10" borderId="2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2" fontId="32" fillId="4" borderId="2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4" fontId="32" fillId="13" borderId="2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4" fontId="32" fillId="4" borderId="2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1" fillId="13" borderId="2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2" fillId="13" borderId="27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9" fillId="13" borderId="27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38" fillId="12" borderId="2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8" fillId="17" borderId="2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0" fillId="17" borderId="2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1" fillId="10" borderId="2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2" fillId="10" borderId="27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9" fillId="10" borderId="27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38" fillId="18" borderId="2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0" fillId="18" borderId="2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15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5" fillId="0" borderId="0" xfId="15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27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4" fillId="2" borderId="0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4" fillId="19" borderId="0" xfId="15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8" fontId="4" fillId="1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8" fontId="46" fillId="0" borderId="0" xfId="15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15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  <cellStyle name="Excel Built-in Accent6" xfId="21"/>
  </cellStyles>
  <dxfs count="5">
    <dxf>
      <font>
        <color rgb="FF00B05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 val="1"/>
        <color rgb="FFFFFFFF"/>
      </font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400"/>
      <rgbColor rgb="FF000080"/>
      <rgbColor rgb="FF808000"/>
      <rgbColor rgb="FF800080"/>
      <rgbColor rgb="FF00B050"/>
      <rgbColor rgb="FFB5B5B5"/>
      <rgbColor rgb="FF808080"/>
      <rgbColor rgb="FF9999FF"/>
      <rgbColor rgb="FF7D3C4A"/>
      <rgbColor rgb="FFF9F9F9"/>
      <rgbColor rgb="FFDEF5FA"/>
      <rgbColor rgb="FF660066"/>
      <rgbColor rgb="FFFF8080"/>
      <rgbColor rgb="FF0275D8"/>
      <rgbColor rgb="FFD9D9D9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F2F2F2"/>
      <rgbColor rgb="FFE1F2CE"/>
      <rgbColor rgb="FFFFE5B4"/>
      <rgbColor rgb="FF99CCFF"/>
      <rgbColor rgb="FFFFE4B6"/>
      <rgbColor rgb="FFCC99FF"/>
      <rgbColor rgb="FFFFC7CE"/>
      <rgbColor rgb="FF375AA2"/>
      <rgbColor rgb="FF33CCCC"/>
      <rgbColor rgb="FF70AD47"/>
      <rgbColor rgb="FFFFCC00"/>
      <rgbColor rgb="FFFFA500"/>
      <rgbColor rgb="FFFF8119"/>
      <rgbColor rgb="FF3A5BA0"/>
      <rgbColor rgb="FF878787"/>
      <rgbColor rgb="FF003366"/>
      <rgbColor rgb="FF4682B4"/>
      <rgbColor rgb="FF003300"/>
      <rgbColor rgb="FF333300"/>
      <rgbColor rgb="FFDA1F28"/>
      <rgbColor rgb="FF993366"/>
      <rgbColor rgb="FF1F4690"/>
      <rgbColor rgb="FF22222F"/>
    </indexedColors>
  </colors>
</styleSheet>
</file>

<file path=xl/_rels/workbook.xml.rels><?xml version="1.0" encoding="UTF-8"?>
<Relationships xmlns="http://schemas.openxmlformats.org/package/2006/relationships"><Relationship Id="rId1" Type="http://schemas.microsoft.com/office/2006/relationships/vbaProject" Target="vbaProject.bin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Revenue, EBITDA &amp; PAT Trend (INR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Op_Charts!B60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f4690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Op_Charts!$A$61:$A$68</c:f>
              <c:strCache>
                <c:ptCount val="8"/>
                <c:pt idx="0">
                  <c:v>FY21</c:v>
                </c:pt>
                <c:pt idx="1">
                  <c:v>FY22</c:v>
                </c:pt>
                <c:pt idx="2">
                  <c:v>FY23</c:v>
                </c:pt>
                <c:pt idx="3">
                  <c:v>FY24</c:v>
                </c:pt>
                <c:pt idx="4">
                  <c:v>FY25</c:v>
                </c:pt>
                <c:pt idx="5">
                  <c:v>FY26E</c:v>
                </c:pt>
                <c:pt idx="6">
                  <c:v>FY27E</c:v>
                </c:pt>
                <c:pt idx="7">
                  <c:v>FY28E</c:v>
                </c:pt>
              </c:strCache>
            </c:strRef>
          </c:cat>
          <c:val>
            <c:numRef>
              <c:f>Op_Charts!$B$61:$B$68</c:f>
              <c:numCache>
                <c:formatCode>General</c:formatCode>
                <c:ptCount val="8"/>
                <c:pt idx="0">
                  <c:v>1410</c:v>
                </c:pt>
                <c:pt idx="1">
                  <c:v>2216</c:v>
                </c:pt>
                <c:pt idx="2">
                  <c:v>2801</c:v>
                </c:pt>
                <c:pt idx="3">
                  <c:v>3161</c:v>
                </c:pt>
                <c:pt idx="4">
                  <c:v>3869</c:v>
                </c:pt>
                <c:pt idx="5">
                  <c:v>4600</c:v>
                </c:pt>
                <c:pt idx="6">
                  <c:v>5520</c:v>
                </c:pt>
                <c:pt idx="7">
                  <c:v>6480</c:v>
                </c:pt>
              </c:numCache>
            </c:numRef>
          </c:val>
        </c:ser>
        <c:ser>
          <c:idx val="1"/>
          <c:order val="1"/>
          <c:tx>
            <c:strRef>
              <c:f>Op_Charts!C60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ffa500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Op_Charts!$A$61:$A$68</c:f>
              <c:strCache>
                <c:ptCount val="8"/>
                <c:pt idx="0">
                  <c:v>FY21</c:v>
                </c:pt>
                <c:pt idx="1">
                  <c:v>FY22</c:v>
                </c:pt>
                <c:pt idx="2">
                  <c:v>FY23</c:v>
                </c:pt>
                <c:pt idx="3">
                  <c:v>FY24</c:v>
                </c:pt>
                <c:pt idx="4">
                  <c:v>FY25</c:v>
                </c:pt>
                <c:pt idx="5">
                  <c:v>FY26E</c:v>
                </c:pt>
                <c:pt idx="6">
                  <c:v>FY27E</c:v>
                </c:pt>
                <c:pt idx="7">
                  <c:v>FY28E</c:v>
                </c:pt>
              </c:strCache>
            </c:strRef>
          </c:cat>
          <c:val>
            <c:numRef>
              <c:f>Op_Charts!$C$61:$C$68</c:f>
              <c:numCache>
                <c:formatCode>General</c:formatCode>
                <c:ptCount val="8"/>
                <c:pt idx="0">
                  <c:v>121</c:v>
                </c:pt>
                <c:pt idx="1">
                  <c:v>217</c:v>
                </c:pt>
                <c:pt idx="2">
                  <c:v>207</c:v>
                </c:pt>
                <c:pt idx="3">
                  <c:v>287</c:v>
                </c:pt>
                <c:pt idx="4">
                  <c:v>328</c:v>
                </c:pt>
                <c:pt idx="5">
                  <c:v>460</c:v>
                </c:pt>
                <c:pt idx="6">
                  <c:v>564</c:v>
                </c:pt>
                <c:pt idx="7">
                  <c:v>686</c:v>
                </c:pt>
              </c:numCache>
            </c:numRef>
          </c:val>
        </c:ser>
        <c:ser>
          <c:idx val="2"/>
          <c:order val="2"/>
          <c:tx>
            <c:strRef>
              <c:f>Op_Charts!D60</c:f>
              <c:strCache>
                <c:ptCount val="1"/>
                <c:pt idx="0">
                  <c:v>PAT</c:v>
                </c:pt>
              </c:strCache>
            </c:strRef>
          </c:tx>
          <c:spPr>
            <a:solidFill>
              <a:srgbClr val="70ad47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Op_Charts!$A$61:$A$68</c:f>
              <c:strCache>
                <c:ptCount val="8"/>
                <c:pt idx="0">
                  <c:v>FY21</c:v>
                </c:pt>
                <c:pt idx="1">
                  <c:v>FY22</c:v>
                </c:pt>
                <c:pt idx="2">
                  <c:v>FY23</c:v>
                </c:pt>
                <c:pt idx="3">
                  <c:v>FY24</c:v>
                </c:pt>
                <c:pt idx="4">
                  <c:v>FY25</c:v>
                </c:pt>
                <c:pt idx="5">
                  <c:v>FY26E</c:v>
                </c:pt>
                <c:pt idx="6">
                  <c:v>FY27E</c:v>
                </c:pt>
                <c:pt idx="7">
                  <c:v>FY28E</c:v>
                </c:pt>
              </c:strCache>
            </c:strRef>
          </c:cat>
          <c:val>
            <c:numRef>
              <c:f>Op_Charts!$D$61:$D$68</c:f>
              <c:numCache>
                <c:formatCode>General</c:formatCode>
                <c:ptCount val="8"/>
                <c:pt idx="0">
                  <c:v>57</c:v>
                </c:pt>
                <c:pt idx="1">
                  <c:v>148</c:v>
                </c:pt>
                <c:pt idx="2">
                  <c:v>204</c:v>
                </c:pt>
                <c:pt idx="3">
                  <c:v>242</c:v>
                </c:pt>
                <c:pt idx="4">
                  <c:v>313</c:v>
                </c:pt>
                <c:pt idx="5">
                  <c:v>385</c:v>
                </c:pt>
                <c:pt idx="6">
                  <c:v>478</c:v>
                </c:pt>
                <c:pt idx="7">
                  <c:v>590</c:v>
                </c:pt>
              </c:numCache>
            </c:numRef>
          </c:val>
        </c:ser>
        <c:gapWidth val="150"/>
        <c:overlap val="0"/>
        <c:axId val="73704368"/>
        <c:axId val="93162729"/>
      </c:barChart>
      <c:catAx>
        <c:axId val="737043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Fiscal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162729"/>
        <c:crosses val="autoZero"/>
        <c:auto val="1"/>
        <c:lblAlgn val="ctr"/>
        <c:lblOffset val="100"/>
        <c:noMultiLvlLbl val="0"/>
      </c:catAx>
      <c:valAx>
        <c:axId val="93162729"/>
        <c:scaling>
          <c:orientation val="minMax"/>
        </c:scaling>
        <c:delete val="0"/>
        <c:axPos val="l"/>
        <c:majorGridlines>
          <c:spPr>
            <a:ln w="1260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INR Crores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7043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EBITDA &amp; PAT Margin Trend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Op_Charts!B72</c:f>
              <c:strCache>
                <c:ptCount val="1"/>
                <c:pt idx="0">
                  <c:v>EBITDA%</c:v>
                </c:pt>
              </c:strCache>
            </c:strRef>
          </c:tx>
          <c:spPr>
            <a:solidFill>
              <a:srgbClr val="1f4690"/>
            </a:solidFill>
            <a:ln w="24840">
              <a:solidFill>
                <a:srgbClr val="1f469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Op_Charts!$A$73:$A$80</c:f>
              <c:strCache>
                <c:ptCount val="8"/>
                <c:pt idx="0">
                  <c:v>FY21</c:v>
                </c:pt>
                <c:pt idx="1">
                  <c:v>FY22</c:v>
                </c:pt>
                <c:pt idx="2">
                  <c:v>FY23</c:v>
                </c:pt>
                <c:pt idx="3">
                  <c:v>FY24</c:v>
                </c:pt>
                <c:pt idx="4">
                  <c:v>FY25</c:v>
                </c:pt>
                <c:pt idx="5">
                  <c:v>FY26E</c:v>
                </c:pt>
                <c:pt idx="6">
                  <c:v>FY27E</c:v>
                </c:pt>
                <c:pt idx="7">
                  <c:v>FY28E</c:v>
                </c:pt>
              </c:strCache>
            </c:strRef>
          </c:cat>
          <c:val>
            <c:numRef>
              <c:f>Op_Charts!$B$73:$B$80</c:f>
              <c:numCache>
                <c:formatCode>General</c:formatCode>
                <c:ptCount val="8"/>
                <c:pt idx="0">
                  <c:v>8.6</c:v>
                </c:pt>
                <c:pt idx="1">
                  <c:v>9.8</c:v>
                </c:pt>
                <c:pt idx="2">
                  <c:v>7.4</c:v>
                </c:pt>
                <c:pt idx="3">
                  <c:v>9.1</c:v>
                </c:pt>
                <c:pt idx="4">
                  <c:v>8.5</c:v>
                </c:pt>
                <c:pt idx="5">
                  <c:v>10</c:v>
                </c:pt>
                <c:pt idx="6">
                  <c:v>10.2</c:v>
                </c:pt>
                <c:pt idx="7">
                  <c:v>10.6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Op_Charts!C72</c:f>
              <c:strCache>
                <c:ptCount val="1"/>
                <c:pt idx="0">
                  <c:v>PAT%</c:v>
                </c:pt>
              </c:strCache>
            </c:strRef>
          </c:tx>
          <c:spPr>
            <a:solidFill>
              <a:srgbClr val="ffa500"/>
            </a:solidFill>
            <a:ln w="24840">
              <a:solidFill>
                <a:srgbClr val="ffa5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Op_Charts!$A$73:$A$80</c:f>
              <c:strCache>
                <c:ptCount val="8"/>
                <c:pt idx="0">
                  <c:v>FY21</c:v>
                </c:pt>
                <c:pt idx="1">
                  <c:v>FY22</c:v>
                </c:pt>
                <c:pt idx="2">
                  <c:v>FY23</c:v>
                </c:pt>
                <c:pt idx="3">
                  <c:v>FY24</c:v>
                </c:pt>
                <c:pt idx="4">
                  <c:v>FY25</c:v>
                </c:pt>
                <c:pt idx="5">
                  <c:v>FY26E</c:v>
                </c:pt>
                <c:pt idx="6">
                  <c:v>FY27E</c:v>
                </c:pt>
                <c:pt idx="7">
                  <c:v>FY28E</c:v>
                </c:pt>
              </c:strCache>
            </c:strRef>
          </c:cat>
          <c:val>
            <c:numRef>
              <c:f>Op_Charts!$C$73:$C$80</c:f>
              <c:numCache>
                <c:formatCode>General</c:formatCode>
                <c:ptCount val="8"/>
                <c:pt idx="0">
                  <c:v>4</c:v>
                </c:pt>
                <c:pt idx="1">
                  <c:v>6.7</c:v>
                </c:pt>
                <c:pt idx="2">
                  <c:v>7.3</c:v>
                </c:pt>
                <c:pt idx="3">
                  <c:v>7.7</c:v>
                </c:pt>
                <c:pt idx="4">
                  <c:v>8.1</c:v>
                </c:pt>
                <c:pt idx="5">
                  <c:v>8.4</c:v>
                </c:pt>
                <c:pt idx="6">
                  <c:v>8.7</c:v>
                </c:pt>
                <c:pt idx="7">
                  <c:v>9.1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1838029"/>
        <c:axId val="63476530"/>
      </c:lineChart>
      <c:catAx>
        <c:axId val="218380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Fiscal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476530"/>
        <c:crosses val="autoZero"/>
        <c:auto val="1"/>
        <c:lblAlgn val="ctr"/>
        <c:lblOffset val="100"/>
        <c:noMultiLvlLbl val="0"/>
      </c:catAx>
      <c:valAx>
        <c:axId val="63476530"/>
        <c:scaling>
          <c:orientation val="minMax"/>
        </c:scaling>
        <c:delete val="0"/>
        <c:axPos val="l"/>
        <c:majorGridlines>
          <c:spPr>
            <a:ln w="1260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Margin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8380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Recycling Volumes by Segment (MT)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Op_Charts!B84</c:f>
              <c:strCache>
                <c:ptCount val="1"/>
                <c:pt idx="0">
                  <c:v>Lead MT</c:v>
                </c:pt>
              </c:strCache>
            </c:strRef>
          </c:tx>
          <c:spPr>
            <a:solidFill>
              <a:srgbClr val="1f4690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Op_Charts!$A$85:$A$92</c:f>
              <c:strCache>
                <c:ptCount val="8"/>
                <c:pt idx="0">
                  <c:v>FY21</c:v>
                </c:pt>
                <c:pt idx="1">
                  <c:v>FY22</c:v>
                </c:pt>
                <c:pt idx="2">
                  <c:v>FY23</c:v>
                </c:pt>
                <c:pt idx="3">
                  <c:v>FY24</c:v>
                </c:pt>
                <c:pt idx="4">
                  <c:v>FY25</c:v>
                </c:pt>
                <c:pt idx="5">
                  <c:v>FY26E</c:v>
                </c:pt>
                <c:pt idx="6">
                  <c:v>FY27E</c:v>
                </c:pt>
                <c:pt idx="7">
                  <c:v>FY28E</c:v>
                </c:pt>
              </c:strCache>
            </c:strRef>
          </c:cat>
          <c:val>
            <c:numRef>
              <c:f>Op_Charts!$B$85:$B$92</c:f>
              <c:numCache>
                <c:formatCode>General</c:formatCode>
                <c:ptCount val="8"/>
                <c:pt idx="0">
                  <c:v>88000</c:v>
                </c:pt>
                <c:pt idx="1">
                  <c:v>135000</c:v>
                </c:pt>
                <c:pt idx="2">
                  <c:v>155000</c:v>
                </c:pt>
                <c:pt idx="3">
                  <c:v>165000</c:v>
                </c:pt>
                <c:pt idx="4">
                  <c:v>185000</c:v>
                </c:pt>
                <c:pt idx="5">
                  <c:v>215000</c:v>
                </c:pt>
                <c:pt idx="6">
                  <c:v>250000</c:v>
                </c:pt>
                <c:pt idx="7">
                  <c:v>295000</c:v>
                </c:pt>
              </c:numCache>
            </c:numRef>
          </c:val>
        </c:ser>
        <c:ser>
          <c:idx val="1"/>
          <c:order val="1"/>
          <c:tx>
            <c:strRef>
              <c:f>Op_Charts!C84</c:f>
              <c:strCache>
                <c:ptCount val="1"/>
                <c:pt idx="0">
                  <c:v>Aluminium MT</c:v>
                </c:pt>
              </c:strCache>
            </c:strRef>
          </c:tx>
          <c:spPr>
            <a:solidFill>
              <a:srgbClr val="ffa500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Op_Charts!$A$85:$A$92</c:f>
              <c:strCache>
                <c:ptCount val="8"/>
                <c:pt idx="0">
                  <c:v>FY21</c:v>
                </c:pt>
                <c:pt idx="1">
                  <c:v>FY22</c:v>
                </c:pt>
                <c:pt idx="2">
                  <c:v>FY23</c:v>
                </c:pt>
                <c:pt idx="3">
                  <c:v>FY24</c:v>
                </c:pt>
                <c:pt idx="4">
                  <c:v>FY25</c:v>
                </c:pt>
                <c:pt idx="5">
                  <c:v>FY26E</c:v>
                </c:pt>
                <c:pt idx="6">
                  <c:v>FY27E</c:v>
                </c:pt>
                <c:pt idx="7">
                  <c:v>FY28E</c:v>
                </c:pt>
              </c:strCache>
            </c:strRef>
          </c:cat>
          <c:val>
            <c:numRef>
              <c:f>Op_Charts!$C$85:$C$92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18000</c:v>
                </c:pt>
                <c:pt idx="3">
                  <c:v>22000</c:v>
                </c:pt>
                <c:pt idx="4">
                  <c:v>28000</c:v>
                </c:pt>
                <c:pt idx="5">
                  <c:v>35000</c:v>
                </c:pt>
                <c:pt idx="6">
                  <c:v>44000</c:v>
                </c:pt>
                <c:pt idx="7">
                  <c:v>54000</c:v>
                </c:pt>
              </c:numCache>
            </c:numRef>
          </c:val>
        </c:ser>
        <c:ser>
          <c:idx val="2"/>
          <c:order val="2"/>
          <c:tx>
            <c:strRef>
              <c:f>Op_Charts!D84</c:f>
              <c:strCache>
                <c:ptCount val="1"/>
                <c:pt idx="0">
                  <c:v>Plastic MT</c:v>
                </c:pt>
              </c:strCache>
            </c:strRef>
          </c:tx>
          <c:spPr>
            <a:solidFill>
              <a:srgbClr val="70ad47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Op_Charts!$A$85:$A$92</c:f>
              <c:strCache>
                <c:ptCount val="8"/>
                <c:pt idx="0">
                  <c:v>FY21</c:v>
                </c:pt>
                <c:pt idx="1">
                  <c:v>FY22</c:v>
                </c:pt>
                <c:pt idx="2">
                  <c:v>FY23</c:v>
                </c:pt>
                <c:pt idx="3">
                  <c:v>FY24</c:v>
                </c:pt>
                <c:pt idx="4">
                  <c:v>FY25</c:v>
                </c:pt>
                <c:pt idx="5">
                  <c:v>FY26E</c:v>
                </c:pt>
                <c:pt idx="6">
                  <c:v>FY27E</c:v>
                </c:pt>
                <c:pt idx="7">
                  <c:v>FY28E</c:v>
                </c:pt>
              </c:strCache>
            </c:strRef>
          </c:cat>
          <c:val>
            <c:numRef>
              <c:f>Op_Charts!$D$85:$D$92</c:f>
              <c:numCache>
                <c:formatCode>General</c:formatCode>
                <c:ptCount val="8"/>
                <c:pt idx="0">
                  <c:v>2000</c:v>
                </c:pt>
                <c:pt idx="1">
                  <c:v>3000</c:v>
                </c:pt>
                <c:pt idx="2">
                  <c:v>5000</c:v>
                </c:pt>
                <c:pt idx="3">
                  <c:v>7500</c:v>
                </c:pt>
                <c:pt idx="4">
                  <c:v>10000</c:v>
                </c:pt>
                <c:pt idx="5">
                  <c:v>14000</c:v>
                </c:pt>
                <c:pt idx="6">
                  <c:v>19000</c:v>
                </c:pt>
                <c:pt idx="7">
                  <c:v>26000</c:v>
                </c:pt>
              </c:numCache>
            </c:numRef>
          </c:val>
        </c:ser>
        <c:gapWidth val="150"/>
        <c:overlap val="100"/>
        <c:axId val="38593503"/>
        <c:axId val="83305021"/>
      </c:barChart>
      <c:catAx>
        <c:axId val="3859350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Fiscal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305021"/>
        <c:crosses val="autoZero"/>
        <c:auto val="1"/>
        <c:lblAlgn val="ctr"/>
        <c:lblOffset val="100"/>
        <c:noMultiLvlLbl val="0"/>
      </c:catAx>
      <c:valAx>
        <c:axId val="83305021"/>
        <c:scaling>
          <c:orientation val="minMax"/>
        </c:scaling>
        <c:delete val="0"/>
        <c:axPos val="l"/>
        <c:majorGridlines>
          <c:spPr>
            <a:ln w="1260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Metric Tonnes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5935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Return Ratios: ROE &amp; ROCE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Op_Charts!B96</c:f>
              <c:strCache>
                <c:ptCount val="1"/>
                <c:pt idx="0">
                  <c:v>ROE%</c:v>
                </c:pt>
              </c:strCache>
            </c:strRef>
          </c:tx>
          <c:spPr>
            <a:solidFill>
              <a:srgbClr val="1f4690"/>
            </a:solidFill>
            <a:ln w="63360">
              <a:solidFill>
                <a:srgbClr val="1f469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Op_Charts!$A$97:$A$104</c:f>
              <c:strCache>
                <c:ptCount val="8"/>
                <c:pt idx="0">
                  <c:v>FY21</c:v>
                </c:pt>
                <c:pt idx="1">
                  <c:v>FY22</c:v>
                </c:pt>
                <c:pt idx="2">
                  <c:v>FY23</c:v>
                </c:pt>
                <c:pt idx="3">
                  <c:v>FY24</c:v>
                </c:pt>
                <c:pt idx="4">
                  <c:v>FY25</c:v>
                </c:pt>
                <c:pt idx="5">
                  <c:v>FY26E</c:v>
                </c:pt>
                <c:pt idx="6">
                  <c:v>FY27E</c:v>
                </c:pt>
                <c:pt idx="7">
                  <c:v>FY28E</c:v>
                </c:pt>
              </c:strCache>
            </c:strRef>
          </c:cat>
          <c:val>
            <c:numRef>
              <c:f>Op_Charts!$B$97:$B$104</c:f>
              <c:numCache>
                <c:formatCode>General</c:formatCode>
                <c:ptCount val="8"/>
                <c:pt idx="0">
                  <c:v>21.2</c:v>
                </c:pt>
                <c:pt idx="1">
                  <c:v>38.2</c:v>
                </c:pt>
                <c:pt idx="2">
                  <c:v>34.6</c:v>
                </c:pt>
                <c:pt idx="3">
                  <c:v>28.9</c:v>
                </c:pt>
                <c:pt idx="4">
                  <c:v>15.1</c:v>
                </c:pt>
                <c:pt idx="5">
                  <c:v>16.2</c:v>
                </c:pt>
                <c:pt idx="6">
                  <c:v>17.3</c:v>
                </c:pt>
                <c:pt idx="7">
                  <c:v>18.3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Op_Charts!C96</c:f>
              <c:strCache>
                <c:ptCount val="1"/>
                <c:pt idx="0">
                  <c:v>ROCE%</c:v>
                </c:pt>
              </c:strCache>
            </c:strRef>
          </c:tx>
          <c:spPr>
            <a:solidFill>
              <a:srgbClr val="ffa500"/>
            </a:solidFill>
            <a:ln w="63360">
              <a:solidFill>
                <a:srgbClr val="ffa5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Op_Charts!$A$97:$A$104</c:f>
              <c:strCache>
                <c:ptCount val="8"/>
                <c:pt idx="0">
                  <c:v>FY21</c:v>
                </c:pt>
                <c:pt idx="1">
                  <c:v>FY22</c:v>
                </c:pt>
                <c:pt idx="2">
                  <c:v>FY23</c:v>
                </c:pt>
                <c:pt idx="3">
                  <c:v>FY24</c:v>
                </c:pt>
                <c:pt idx="4">
                  <c:v>FY25</c:v>
                </c:pt>
                <c:pt idx="5">
                  <c:v>FY26E</c:v>
                </c:pt>
                <c:pt idx="6">
                  <c:v>FY27E</c:v>
                </c:pt>
                <c:pt idx="7">
                  <c:v>FY28E</c:v>
                </c:pt>
              </c:strCache>
            </c:strRef>
          </c:cat>
          <c:val>
            <c:numRef>
              <c:f>Op_Charts!$C$97:$C$104</c:f>
              <c:numCache>
                <c:formatCode>General</c:formatCode>
                <c:ptCount val="8"/>
                <c:pt idx="0">
                  <c:v>16.4</c:v>
                </c:pt>
                <c:pt idx="1">
                  <c:v>36.5</c:v>
                </c:pt>
                <c:pt idx="2">
                  <c:v>26.4</c:v>
                </c:pt>
                <c:pt idx="3">
                  <c:v>22.5</c:v>
                </c:pt>
                <c:pt idx="4">
                  <c:v>21.5</c:v>
                </c:pt>
                <c:pt idx="5">
                  <c:v>22</c:v>
                </c:pt>
                <c:pt idx="6">
                  <c:v>23.5</c:v>
                </c:pt>
                <c:pt idx="7">
                  <c:v>25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1111568"/>
        <c:axId val="86484004"/>
      </c:lineChart>
      <c:catAx>
        <c:axId val="811115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Fiscal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484004"/>
        <c:crosses val="autoZero"/>
        <c:auto val="1"/>
        <c:lblAlgn val="ctr"/>
        <c:lblOffset val="100"/>
        <c:noMultiLvlLbl val="0"/>
      </c:catAx>
      <c:valAx>
        <c:axId val="86484004"/>
        <c:scaling>
          <c:orientation val="minMax"/>
        </c:scaling>
        <c:delete val="0"/>
        <c:axPos val="l"/>
        <c:majorGridlines>
          <c:spPr>
            <a:ln w="1260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Return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1115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Cash Flow Profile (INR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Op_Charts!B108</c:f>
              <c:strCache>
                <c:ptCount val="1"/>
                <c:pt idx="0">
                  <c:v>CFO</c:v>
                </c:pt>
              </c:strCache>
            </c:strRef>
          </c:tx>
          <c:spPr>
            <a:solidFill>
              <a:srgbClr val="1f4690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Op_Charts!$A$109:$A$116</c:f>
              <c:strCache>
                <c:ptCount val="8"/>
                <c:pt idx="0">
                  <c:v>FY21</c:v>
                </c:pt>
                <c:pt idx="1">
                  <c:v>FY22</c:v>
                </c:pt>
                <c:pt idx="2">
                  <c:v>FY23</c:v>
                </c:pt>
                <c:pt idx="3">
                  <c:v>FY24</c:v>
                </c:pt>
                <c:pt idx="4">
                  <c:v>FY25</c:v>
                </c:pt>
                <c:pt idx="5">
                  <c:v>FY26E</c:v>
                </c:pt>
                <c:pt idx="6">
                  <c:v>FY27E</c:v>
                </c:pt>
                <c:pt idx="7">
                  <c:v>FY28E</c:v>
                </c:pt>
              </c:strCache>
            </c:strRef>
          </c:cat>
          <c:val>
            <c:numRef>
              <c:f>Op_Charts!$B$109:$B$116</c:f>
              <c:numCache>
                <c:formatCode>General</c:formatCode>
                <c:ptCount val="8"/>
                <c:pt idx="0">
                  <c:v>77</c:v>
                </c:pt>
                <c:pt idx="1">
                  <c:v>10</c:v>
                </c:pt>
                <c:pt idx="2">
                  <c:v>200</c:v>
                </c:pt>
                <c:pt idx="3">
                  <c:v>42</c:v>
                </c:pt>
                <c:pt idx="4">
                  <c:v>282</c:v>
                </c:pt>
                <c:pt idx="5">
                  <c:v>310</c:v>
                </c:pt>
                <c:pt idx="6">
                  <c:v>370</c:v>
                </c:pt>
                <c:pt idx="7">
                  <c:v>440</c:v>
                </c:pt>
              </c:numCache>
            </c:numRef>
          </c:val>
        </c:ser>
        <c:ser>
          <c:idx val="1"/>
          <c:order val="1"/>
          <c:tx>
            <c:strRef>
              <c:f>Op_Charts!C108</c:f>
              <c:strCache>
                <c:ptCount val="1"/>
                <c:pt idx="0">
                  <c:v>Capex</c:v>
                </c:pt>
              </c:strCache>
            </c:strRef>
          </c:tx>
          <c:spPr>
            <a:solidFill>
              <a:srgbClr val="c00000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Op_Charts!$A$109:$A$116</c:f>
              <c:strCache>
                <c:ptCount val="8"/>
                <c:pt idx="0">
                  <c:v>FY21</c:v>
                </c:pt>
                <c:pt idx="1">
                  <c:v>FY22</c:v>
                </c:pt>
                <c:pt idx="2">
                  <c:v>FY23</c:v>
                </c:pt>
                <c:pt idx="3">
                  <c:v>FY24</c:v>
                </c:pt>
                <c:pt idx="4">
                  <c:v>FY25</c:v>
                </c:pt>
                <c:pt idx="5">
                  <c:v>FY26E</c:v>
                </c:pt>
                <c:pt idx="6">
                  <c:v>FY27E</c:v>
                </c:pt>
                <c:pt idx="7">
                  <c:v>FY28E</c:v>
                </c:pt>
              </c:strCache>
            </c:strRef>
          </c:cat>
          <c:val>
            <c:numRef>
              <c:f>Op_Charts!$C$109:$C$116</c:f>
              <c:numCache>
                <c:formatCode>General</c:formatCode>
                <c:ptCount val="8"/>
                <c:pt idx="0">
                  <c:v>19</c:v>
                </c:pt>
                <c:pt idx="1">
                  <c:v>69</c:v>
                </c:pt>
                <c:pt idx="2">
                  <c:v>105</c:v>
                </c:pt>
                <c:pt idx="3">
                  <c:v>158</c:v>
                </c:pt>
                <c:pt idx="4">
                  <c:v>145</c:v>
                </c:pt>
                <c:pt idx="5">
                  <c:v>120</c:v>
                </c:pt>
                <c:pt idx="6">
                  <c:v>100</c:v>
                </c:pt>
                <c:pt idx="7">
                  <c:v>90</c:v>
                </c:pt>
              </c:numCache>
            </c:numRef>
          </c:val>
        </c:ser>
        <c:ser>
          <c:idx val="2"/>
          <c:order val="2"/>
          <c:tx>
            <c:strRef>
              <c:f>Op_Charts!D108</c:f>
              <c:strCache>
                <c:ptCount val="1"/>
                <c:pt idx="0">
                  <c:v>FCF</c:v>
                </c:pt>
              </c:strCache>
            </c:strRef>
          </c:tx>
          <c:spPr>
            <a:solidFill>
              <a:srgbClr val="70ad47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Op_Charts!$A$109:$A$116</c:f>
              <c:strCache>
                <c:ptCount val="8"/>
                <c:pt idx="0">
                  <c:v>FY21</c:v>
                </c:pt>
                <c:pt idx="1">
                  <c:v>FY22</c:v>
                </c:pt>
                <c:pt idx="2">
                  <c:v>FY23</c:v>
                </c:pt>
                <c:pt idx="3">
                  <c:v>FY24</c:v>
                </c:pt>
                <c:pt idx="4">
                  <c:v>FY25</c:v>
                </c:pt>
                <c:pt idx="5">
                  <c:v>FY26E</c:v>
                </c:pt>
                <c:pt idx="6">
                  <c:v>FY27E</c:v>
                </c:pt>
                <c:pt idx="7">
                  <c:v>FY28E</c:v>
                </c:pt>
              </c:strCache>
            </c:strRef>
          </c:cat>
          <c:val>
            <c:numRef>
              <c:f>Op_Charts!$D$109:$D$116</c:f>
              <c:numCache>
                <c:formatCode>General</c:formatCode>
                <c:ptCount val="8"/>
                <c:pt idx="0">
                  <c:v>58</c:v>
                </c:pt>
                <c:pt idx="1">
                  <c:v>-59</c:v>
                </c:pt>
                <c:pt idx="2">
                  <c:v>95</c:v>
                </c:pt>
                <c:pt idx="3">
                  <c:v>-116</c:v>
                </c:pt>
                <c:pt idx="4">
                  <c:v>137</c:v>
                </c:pt>
                <c:pt idx="5">
                  <c:v>190</c:v>
                </c:pt>
                <c:pt idx="6">
                  <c:v>270</c:v>
                </c:pt>
                <c:pt idx="7">
                  <c:v>350</c:v>
                </c:pt>
              </c:numCache>
            </c:numRef>
          </c:val>
        </c:ser>
        <c:gapWidth val="150"/>
        <c:overlap val="0"/>
        <c:axId val="91814002"/>
        <c:axId val="38622441"/>
      </c:barChart>
      <c:catAx>
        <c:axId val="9181400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622441"/>
        <c:crosses val="autoZero"/>
        <c:auto val="1"/>
        <c:lblAlgn val="ctr"/>
        <c:lblOffset val="100"/>
        <c:noMultiLvlLbl val="0"/>
      </c:catAx>
      <c:valAx>
        <c:axId val="38622441"/>
        <c:scaling>
          <c:orientation val="minMax"/>
        </c:scaling>
        <c:delete val="0"/>
        <c:axPos val="l"/>
        <c:majorGridlines>
          <c:spPr>
            <a:ln w="1260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INR Crores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8140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Earnings Per Share (EPS)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Op_Charts!B120</c:f>
              <c:strCache>
                <c:ptCount val="1"/>
                <c:pt idx="0">
                  <c:v>EPS (INR)</c:v>
                </c:pt>
              </c:strCache>
            </c:strRef>
          </c:tx>
          <c:spPr>
            <a:solidFill>
              <a:srgbClr val="ffa500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Op_Charts!$A$121:$A$128</c:f>
              <c:strCache>
                <c:ptCount val="8"/>
                <c:pt idx="0">
                  <c:v>FY21</c:v>
                </c:pt>
                <c:pt idx="1">
                  <c:v>FY22</c:v>
                </c:pt>
                <c:pt idx="2">
                  <c:v>FY23</c:v>
                </c:pt>
                <c:pt idx="3">
                  <c:v>FY24</c:v>
                </c:pt>
                <c:pt idx="4">
                  <c:v>FY25</c:v>
                </c:pt>
                <c:pt idx="5">
                  <c:v>FY26E</c:v>
                </c:pt>
                <c:pt idx="6">
                  <c:v>FY27E</c:v>
                </c:pt>
                <c:pt idx="7">
                  <c:v>FY28E</c:v>
                </c:pt>
              </c:strCache>
            </c:strRef>
          </c:cat>
          <c:val>
            <c:numRef>
              <c:f>Op_Charts!$B$121:$B$128</c:f>
              <c:numCache>
                <c:formatCode>General</c:formatCode>
                <c:ptCount val="8"/>
                <c:pt idx="0">
                  <c:v>7.6</c:v>
                </c:pt>
                <c:pt idx="1">
                  <c:v>20.19</c:v>
                </c:pt>
                <c:pt idx="2">
                  <c:v>29.13</c:v>
                </c:pt>
                <c:pt idx="3">
                  <c:v>34.65</c:v>
                </c:pt>
                <c:pt idx="4">
                  <c:v>42.32</c:v>
                </c:pt>
                <c:pt idx="5">
                  <c:v>52.2</c:v>
                </c:pt>
                <c:pt idx="6">
                  <c:v>64.8</c:v>
                </c:pt>
                <c:pt idx="7">
                  <c:v>79.9</c:v>
                </c:pt>
              </c:numCache>
            </c:numRef>
          </c:val>
        </c:ser>
        <c:gapWidth val="150"/>
        <c:overlap val="0"/>
        <c:axId val="11728244"/>
        <c:axId val="99589437"/>
      </c:barChart>
      <c:catAx>
        <c:axId val="117282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589437"/>
        <c:crosses val="autoZero"/>
        <c:auto val="1"/>
        <c:lblAlgn val="ctr"/>
        <c:lblOffset val="100"/>
        <c:noMultiLvlLbl val="0"/>
      </c:catAx>
      <c:valAx>
        <c:axId val="99589437"/>
        <c:scaling>
          <c:orientation val="minMax"/>
        </c:scaling>
        <c:delete val="0"/>
        <c:axPos val="l"/>
        <c:majorGridlines>
          <c:spPr>
            <a:ln w="1260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EPS (INR)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7282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Comparison (INR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Peer_Compare!B70</c:f>
              <c:strCache>
                <c:ptCount val="1"/>
                <c:pt idx="0">
                  <c:v>Gravita</c:v>
                </c:pt>
              </c:strCache>
            </c:strRef>
          </c:tx>
          <c:spPr>
            <a:solidFill>
              <a:srgbClr val="1f4690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Peer_Compare!$A$71:$A$75</c:f>
              <c:strCache>
                <c:ptCount val="5"/>
                <c:pt idx="0">
                  <c:v>FY21</c:v>
                </c:pt>
                <c:pt idx="1">
                  <c:v>FY22</c:v>
                </c:pt>
                <c:pt idx="2">
                  <c:v>FY23</c:v>
                </c:pt>
                <c:pt idx="3">
                  <c:v>FY24</c:v>
                </c:pt>
                <c:pt idx="4">
                  <c:v>FY25</c:v>
                </c:pt>
              </c:strCache>
            </c:strRef>
          </c:cat>
          <c:val>
            <c:numRef>
              <c:f>Peer_Compare!$B$71:$B$75</c:f>
              <c:numCache>
                <c:formatCode>General</c:formatCode>
                <c:ptCount val="5"/>
                <c:pt idx="0">
                  <c:v>1410</c:v>
                </c:pt>
                <c:pt idx="1">
                  <c:v>2216</c:v>
                </c:pt>
                <c:pt idx="2">
                  <c:v>2801</c:v>
                </c:pt>
                <c:pt idx="3">
                  <c:v>3161</c:v>
                </c:pt>
                <c:pt idx="4">
                  <c:v>3869</c:v>
                </c:pt>
              </c:numCache>
            </c:numRef>
          </c:val>
        </c:ser>
        <c:ser>
          <c:idx val="1"/>
          <c:order val="1"/>
          <c:tx>
            <c:strRef>
              <c:f>Peer_Compare!C70</c:f>
              <c:strCache>
                <c:ptCount val="1"/>
                <c:pt idx="0">
                  <c:v>Pondy Oxides</c:v>
                </c:pt>
              </c:strCache>
            </c:strRef>
          </c:tx>
          <c:spPr>
            <a:solidFill>
              <a:srgbClr val="3a5ba0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Peer_Compare!$A$71:$A$75</c:f>
              <c:strCache>
                <c:ptCount val="5"/>
                <c:pt idx="0">
                  <c:v>FY21</c:v>
                </c:pt>
                <c:pt idx="1">
                  <c:v>FY22</c:v>
                </c:pt>
                <c:pt idx="2">
                  <c:v>FY23</c:v>
                </c:pt>
                <c:pt idx="3">
                  <c:v>FY24</c:v>
                </c:pt>
                <c:pt idx="4">
                  <c:v>FY25</c:v>
                </c:pt>
              </c:strCache>
            </c:strRef>
          </c:cat>
          <c:val>
            <c:numRef>
              <c:f>Peer_Compare!$C$71:$C$75</c:f>
              <c:numCache>
                <c:formatCode>General</c:formatCode>
                <c:ptCount val="5"/>
                <c:pt idx="0">
                  <c:v>841</c:v>
                </c:pt>
                <c:pt idx="1">
                  <c:v>1380</c:v>
                </c:pt>
                <c:pt idx="2">
                  <c:v>1700</c:v>
                </c:pt>
                <c:pt idx="3">
                  <c:v>1525</c:v>
                </c:pt>
                <c:pt idx="4">
                  <c:v>2028</c:v>
                </c:pt>
              </c:numCache>
            </c:numRef>
          </c:val>
        </c:ser>
        <c:ser>
          <c:idx val="2"/>
          <c:order val="2"/>
          <c:tx>
            <c:strRef>
              <c:f>Peer_Compare!D70</c:f>
              <c:strCache>
                <c:ptCount val="1"/>
                <c:pt idx="0">
                  <c:v>Nile</c:v>
                </c:pt>
              </c:strCache>
            </c:strRef>
          </c:tx>
          <c:spPr>
            <a:solidFill>
              <a:srgbClr val="4682b4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Peer_Compare!$A$71:$A$75</c:f>
              <c:strCache>
                <c:ptCount val="5"/>
                <c:pt idx="0">
                  <c:v>FY21</c:v>
                </c:pt>
                <c:pt idx="1">
                  <c:v>FY22</c:v>
                </c:pt>
                <c:pt idx="2">
                  <c:v>FY23</c:v>
                </c:pt>
                <c:pt idx="3">
                  <c:v>FY24</c:v>
                </c:pt>
                <c:pt idx="4">
                  <c:v>FY25</c:v>
                </c:pt>
              </c:strCache>
            </c:strRef>
          </c:cat>
          <c:val>
            <c:numRef>
              <c:f>Peer_Compare!$D$71:$D$75</c:f>
              <c:numCache>
                <c:formatCode>General</c:formatCode>
                <c:ptCount val="5"/>
                <c:pt idx="0">
                  <c:v>460</c:v>
                </c:pt>
                <c:pt idx="1">
                  <c:v>720</c:v>
                </c:pt>
                <c:pt idx="2">
                  <c:v>820</c:v>
                </c:pt>
                <c:pt idx="3">
                  <c:v>695</c:v>
                </c:pt>
                <c:pt idx="4">
                  <c:v>780</c:v>
                </c:pt>
              </c:numCache>
            </c:numRef>
          </c:val>
        </c:ser>
        <c:gapWidth val="150"/>
        <c:overlap val="0"/>
        <c:axId val="25865413"/>
        <c:axId val="98561231"/>
      </c:barChart>
      <c:catAx>
        <c:axId val="2586541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561231"/>
        <c:crosses val="autoZero"/>
        <c:auto val="1"/>
        <c:lblAlgn val="ctr"/>
        <c:lblOffset val="100"/>
        <c:noMultiLvlLbl val="0"/>
      </c:catAx>
      <c:valAx>
        <c:axId val="98561231"/>
        <c:scaling>
          <c:orientation val="minMax"/>
        </c:scaling>
        <c:delete val="0"/>
        <c:axPos val="l"/>
        <c:majorGridlines>
          <c:spPr>
            <a:ln w="1260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(INR Cr)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8654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EBITDA Margin Comparison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Peer_Compare!B78</c:f>
              <c:strCache>
                <c:ptCount val="1"/>
                <c:pt idx="0">
                  <c:v>Gravita EBITDA%</c:v>
                </c:pt>
              </c:strCache>
            </c:strRef>
          </c:tx>
          <c:spPr>
            <a:solidFill>
              <a:srgbClr val="1f4690"/>
            </a:solidFill>
            <a:ln w="24840">
              <a:solidFill>
                <a:srgbClr val="1f469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Peer_Compare!$A$79:$A$83</c:f>
              <c:strCache>
                <c:ptCount val="5"/>
                <c:pt idx="0">
                  <c:v>FY21</c:v>
                </c:pt>
                <c:pt idx="1">
                  <c:v>FY22</c:v>
                </c:pt>
                <c:pt idx="2">
                  <c:v>FY23</c:v>
                </c:pt>
                <c:pt idx="3">
                  <c:v>FY24</c:v>
                </c:pt>
                <c:pt idx="4">
                  <c:v>FY25</c:v>
                </c:pt>
              </c:strCache>
            </c:strRef>
          </c:cat>
          <c:val>
            <c:numRef>
              <c:f>Peer_Compare!$B$79:$B$83</c:f>
              <c:numCache>
                <c:formatCode>General</c:formatCode>
                <c:ptCount val="5"/>
                <c:pt idx="0">
                  <c:v>8.6</c:v>
                </c:pt>
                <c:pt idx="1">
                  <c:v>9.8</c:v>
                </c:pt>
                <c:pt idx="2">
                  <c:v>7.4</c:v>
                </c:pt>
                <c:pt idx="3">
                  <c:v>9.1</c:v>
                </c:pt>
                <c:pt idx="4">
                  <c:v>8.5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Peer_Compare!C78</c:f>
              <c:strCache>
                <c:ptCount val="1"/>
                <c:pt idx="0">
                  <c:v>Pondy OPM%</c:v>
                </c:pt>
              </c:strCache>
            </c:strRef>
          </c:tx>
          <c:spPr>
            <a:solidFill>
              <a:srgbClr val="ffa500"/>
            </a:solidFill>
            <a:ln w="24840">
              <a:solidFill>
                <a:srgbClr val="ffa5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Peer_Compare!$A$79:$A$83</c:f>
              <c:strCache>
                <c:ptCount val="5"/>
                <c:pt idx="0">
                  <c:v>FY21</c:v>
                </c:pt>
                <c:pt idx="1">
                  <c:v>FY22</c:v>
                </c:pt>
                <c:pt idx="2">
                  <c:v>FY23</c:v>
                </c:pt>
                <c:pt idx="3">
                  <c:v>FY24</c:v>
                </c:pt>
                <c:pt idx="4">
                  <c:v>FY25</c:v>
                </c:pt>
              </c:strCache>
            </c:strRef>
          </c:cat>
          <c:val>
            <c:numRef>
              <c:f>Peer_Compare!$C$79:$C$83</c:f>
              <c:numCache>
                <c:formatCode>General</c:formatCode>
                <c:ptCount val="5"/>
                <c:pt idx="0">
                  <c:v>4.5</c:v>
                </c:pt>
                <c:pt idx="1">
                  <c:v>4.5</c:v>
                </c:pt>
                <c:pt idx="2">
                  <c:v>4.8</c:v>
                </c:pt>
                <c:pt idx="3">
                  <c:v>4.8</c:v>
                </c:pt>
                <c:pt idx="4">
                  <c:v>5.1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Peer_Compare!D78</c:f>
              <c:strCache>
                <c:ptCount val="1"/>
                <c:pt idx="0">
                  <c:v>Nile OPM%</c:v>
                </c:pt>
              </c:strCache>
            </c:strRef>
          </c:tx>
          <c:spPr>
            <a:solidFill>
              <a:srgbClr val="4682b4"/>
            </a:solidFill>
            <a:ln w="24840">
              <a:solidFill>
                <a:srgbClr val="4682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Peer_Compare!$A$79:$A$83</c:f>
              <c:strCache>
                <c:ptCount val="5"/>
                <c:pt idx="0">
                  <c:v>FY21</c:v>
                </c:pt>
                <c:pt idx="1">
                  <c:v>FY22</c:v>
                </c:pt>
                <c:pt idx="2">
                  <c:v>FY23</c:v>
                </c:pt>
                <c:pt idx="3">
                  <c:v>FY24</c:v>
                </c:pt>
                <c:pt idx="4">
                  <c:v>FY25</c:v>
                </c:pt>
              </c:strCache>
            </c:strRef>
          </c:cat>
          <c:val>
            <c:numRef>
              <c:f>Peer_Compare!$D$79:$D$83</c:f>
              <c:numCache>
                <c:formatCode>General</c:formatCode>
                <c:ptCount val="5"/>
                <c:pt idx="0">
                  <c:v>5.4</c:v>
                </c:pt>
                <c:pt idx="1">
                  <c:v>5.6</c:v>
                </c:pt>
                <c:pt idx="2">
                  <c:v>5.1</c:v>
                </c:pt>
                <c:pt idx="3">
                  <c:v>5</c:v>
                </c:pt>
                <c:pt idx="4">
                  <c:v>6.2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8202402"/>
        <c:axId val="48103099"/>
      </c:lineChart>
      <c:catAx>
        <c:axId val="6820240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103099"/>
        <c:crosses val="autoZero"/>
        <c:auto val="1"/>
        <c:lblAlgn val="ctr"/>
        <c:lblOffset val="100"/>
        <c:noMultiLvlLbl val="0"/>
      </c:catAx>
      <c:valAx>
        <c:axId val="48103099"/>
        <c:scaling>
          <c:orientation val="minMax"/>
        </c:scaling>
        <c:delete val="0"/>
        <c:axPos val="l"/>
        <c:majorGridlines>
          <c:spPr>
            <a:ln w="1260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EBITDA Margin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2024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hyperlink" Target="file:///xl/media/image1.png" TargetMode="External"/><Relationship Id="rId2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hyperlink" Target="file:///xl/media/image2.png" TargetMode="External"/><Relationship Id="rId2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hyperlink" Target="file:///xl/media/image3.png" TargetMode="External"/><Relationship Id="rId2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1317960</xdr:colOff>
      <xdr:row>1</xdr:row>
      <xdr:rowOff>4680</xdr:rowOff>
    </xdr:to>
    <xdr:pic>
      <xdr:nvPicPr>
        <xdr:cNvPr id="0" name="Picture 2" descr="">
          <a:hlinkClick r:id="rId1"/>
        </xdr:cNvPr>
        <xdr:cNvPicPr/>
      </xdr:nvPicPr>
      <xdr:blipFill>
        <a:blip r:embed="rId2"/>
        <a:stretch/>
      </xdr:blipFill>
      <xdr:spPr>
        <a:xfrm>
          <a:off x="0" y="0"/>
          <a:ext cx="1317960" cy="5475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1700640</xdr:colOff>
      <xdr:row>2</xdr:row>
      <xdr:rowOff>332280</xdr:rowOff>
    </xdr:to>
    <xdr:pic>
      <xdr:nvPicPr>
        <xdr:cNvPr id="1" name="Picture 4" descr="">
          <a:hlinkClick r:id="rId1"/>
        </xdr:cNvPr>
        <xdr:cNvPicPr/>
      </xdr:nvPicPr>
      <xdr:blipFill>
        <a:blip r:embed="rId2"/>
        <a:stretch/>
      </xdr:blipFill>
      <xdr:spPr>
        <a:xfrm>
          <a:off x="0" y="0"/>
          <a:ext cx="1700640" cy="675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1700640</xdr:colOff>
      <xdr:row>0</xdr:row>
      <xdr:rowOff>332280</xdr:rowOff>
    </xdr:to>
    <xdr:pic>
      <xdr:nvPicPr>
        <xdr:cNvPr id="2" name="Picture 1" descr="">
          <a:hlinkClick r:id="rId1"/>
        </xdr:cNvPr>
        <xdr:cNvPicPr/>
      </xdr:nvPicPr>
      <xdr:blipFill>
        <a:blip r:embed="rId2"/>
        <a:stretch/>
      </xdr:blipFill>
      <xdr:spPr>
        <a:xfrm>
          <a:off x="0" y="0"/>
          <a:ext cx="1700640" cy="332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10</xdr:col>
      <xdr:colOff>363960</xdr:colOff>
      <xdr:row>24</xdr:row>
      <xdr:rowOff>127800</xdr:rowOff>
    </xdr:to>
    <xdr:graphicFrame>
      <xdr:nvGraphicFramePr>
        <xdr:cNvPr id="3" name="Chart 1"/>
        <xdr:cNvGraphicFramePr/>
      </xdr:nvGraphicFramePr>
      <xdr:xfrm>
        <a:off x="0" y="542880"/>
        <a:ext cx="6478920" cy="431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363600</xdr:colOff>
      <xdr:row>24</xdr:row>
      <xdr:rowOff>127800</xdr:rowOff>
    </xdr:to>
    <xdr:graphicFrame>
      <xdr:nvGraphicFramePr>
        <xdr:cNvPr id="4" name="Chart 2"/>
        <xdr:cNvGraphicFramePr/>
      </xdr:nvGraphicFramePr>
      <xdr:xfrm>
        <a:off x="6114960" y="542880"/>
        <a:ext cx="6478920" cy="431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21</xdr:row>
      <xdr:rowOff>0</xdr:rowOff>
    </xdr:from>
    <xdr:to>
      <xdr:col>10</xdr:col>
      <xdr:colOff>363960</xdr:colOff>
      <xdr:row>43</xdr:row>
      <xdr:rowOff>127800</xdr:rowOff>
    </xdr:to>
    <xdr:graphicFrame>
      <xdr:nvGraphicFramePr>
        <xdr:cNvPr id="5" name="Chart 3"/>
        <xdr:cNvGraphicFramePr/>
      </xdr:nvGraphicFramePr>
      <xdr:xfrm>
        <a:off x="0" y="4162320"/>
        <a:ext cx="6478920" cy="431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21</xdr:row>
      <xdr:rowOff>0</xdr:rowOff>
    </xdr:from>
    <xdr:to>
      <xdr:col>20</xdr:col>
      <xdr:colOff>363600</xdr:colOff>
      <xdr:row>43</xdr:row>
      <xdr:rowOff>127800</xdr:rowOff>
    </xdr:to>
    <xdr:graphicFrame>
      <xdr:nvGraphicFramePr>
        <xdr:cNvPr id="6" name="Chart 4"/>
        <xdr:cNvGraphicFramePr/>
      </xdr:nvGraphicFramePr>
      <xdr:xfrm>
        <a:off x="6114960" y="4162320"/>
        <a:ext cx="6478920" cy="431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40</xdr:row>
      <xdr:rowOff>0</xdr:rowOff>
    </xdr:from>
    <xdr:to>
      <xdr:col>10</xdr:col>
      <xdr:colOff>363960</xdr:colOff>
      <xdr:row>62</xdr:row>
      <xdr:rowOff>127800</xdr:rowOff>
    </xdr:to>
    <xdr:graphicFrame>
      <xdr:nvGraphicFramePr>
        <xdr:cNvPr id="7" name="Chart 5"/>
        <xdr:cNvGraphicFramePr/>
      </xdr:nvGraphicFramePr>
      <xdr:xfrm>
        <a:off x="0" y="7781760"/>
        <a:ext cx="6478920" cy="431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0</xdr:colOff>
      <xdr:row>40</xdr:row>
      <xdr:rowOff>0</xdr:rowOff>
    </xdr:from>
    <xdr:to>
      <xdr:col>20</xdr:col>
      <xdr:colOff>363600</xdr:colOff>
      <xdr:row>62</xdr:row>
      <xdr:rowOff>127800</xdr:rowOff>
    </xdr:to>
    <xdr:graphicFrame>
      <xdr:nvGraphicFramePr>
        <xdr:cNvPr id="8" name="Chart 6"/>
        <xdr:cNvGraphicFramePr/>
      </xdr:nvGraphicFramePr>
      <xdr:xfrm>
        <a:off x="6114960" y="7781760"/>
        <a:ext cx="6478920" cy="431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27</xdr:row>
      <xdr:rowOff>0</xdr:rowOff>
    </xdr:from>
    <xdr:to>
      <xdr:col>6</xdr:col>
      <xdr:colOff>283680</xdr:colOff>
      <xdr:row>51</xdr:row>
      <xdr:rowOff>106920</xdr:rowOff>
    </xdr:to>
    <xdr:graphicFrame>
      <xdr:nvGraphicFramePr>
        <xdr:cNvPr id="9" name="Chart 1"/>
        <xdr:cNvGraphicFramePr/>
      </xdr:nvGraphicFramePr>
      <xdr:xfrm>
        <a:off x="0" y="5762520"/>
        <a:ext cx="6838920" cy="46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27</xdr:row>
      <xdr:rowOff>0</xdr:rowOff>
    </xdr:from>
    <xdr:to>
      <xdr:col>21</xdr:col>
      <xdr:colOff>112320</xdr:colOff>
      <xdr:row>51</xdr:row>
      <xdr:rowOff>106920</xdr:rowOff>
    </xdr:to>
    <xdr:graphicFrame>
      <xdr:nvGraphicFramePr>
        <xdr:cNvPr id="10" name="Chart 2"/>
        <xdr:cNvGraphicFramePr/>
      </xdr:nvGraphicFramePr>
      <xdr:xfrm>
        <a:off x="9915480" y="5762520"/>
        <a:ext cx="6838920" cy="46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Adjacency">
  <a:themeElements>
    <a:clrScheme name="Concourse">
      <a:dk1>
        <a:srgbClr val="000000"/>
      </a:dk1>
      <a:lt1>
        <a:srgbClr val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</a:schemeClr>
            </a:gs>
            <a:gs pos="100000">
              <a:schemeClr val="phClr">
                <a:shade val="70000"/>
              </a:schemeClr>
            </a:gs>
          </a:gsLst>
          <a:path path="circle">
            <a:fillToRect l="20000" t="50000" r="100000" b="50000"/>
          </a:path>
          <a:tileRect l="0" t="0" r="0" b="0"/>
        </a:gradFill>
        <a:blipFill rotWithShape="1">
          <a:srcRect l="0" t="0" r="0" b="0"/>
          <a:tile tx="0" ty="0" sx="32000" sy="32000" flip="none" algn="tl"/>
        </a:blip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goindiastocks.com/GIA/stockDashboard?Fincode=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hyperlink" Target="http://www.screener.in/excel/" TargetMode="Externa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hyperlink" Target="https://www.screener.in/excel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7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N64" activeCellId="0" sqref="N64"/>
    </sheetView>
  </sheetViews>
  <sheetFormatPr defaultColWidth="10.859375" defaultRowHeight="15" zeroHeight="false" outlineLevelRow="0" outlineLevelCol="0"/>
  <cols>
    <col collapsed="false" customWidth="true" hidden="false" outlineLevel="0" max="1" min="1" style="1" width="13.42"/>
    <col collapsed="false" customWidth="true" hidden="false" outlineLevel="0" max="8" min="2" style="1" width="9"/>
    <col collapsed="false" customWidth="true" hidden="false" outlineLevel="0" max="9" min="9" style="1" width="7.86"/>
    <col collapsed="false" customWidth="true" hidden="false" outlineLevel="0" max="11" min="10" style="1" width="9.14"/>
    <col collapsed="false" customWidth="true" hidden="false" outlineLevel="0" max="14" min="14" style="1" width="17.42"/>
    <col collapsed="false" customWidth="true" hidden="false" outlineLevel="0" max="15" min="15" style="1" width="11.85"/>
    <col collapsed="false" customWidth="true" hidden="false" outlineLevel="0" max="16" min="16" style="1" width="12.42"/>
  </cols>
  <sheetData>
    <row r="1" customFormat="false" ht="24.75" hidden="false" customHeight="true" outlineLevel="0" collapsed="false">
      <c r="A1" s="2"/>
      <c r="B1" s="3"/>
      <c r="C1" s="4" t="str">
        <f aca="false">Financial!A2</f>
        <v>GRAVITA INDIA LTD           Mcap 13,262 Cr        CMP 1,797.0</v>
      </c>
      <c r="D1" s="4"/>
      <c r="E1" s="4"/>
      <c r="F1" s="4"/>
      <c r="G1" s="4"/>
      <c r="H1" s="4"/>
      <c r="I1" s="4"/>
      <c r="J1" s="4"/>
      <c r="K1" s="4"/>
    </row>
    <row r="2" customFormat="false" ht="41.75" hidden="false" customHeight="false" outlineLevel="0" collapsed="false">
      <c r="A2" s="5" t="s">
        <v>0</v>
      </c>
      <c r="B2" s="6" t="n">
        <f aca="false">Financial!I3</f>
        <v>45016</v>
      </c>
      <c r="C2" s="7" t="n">
        <f aca="false">Financial!J3</f>
        <v>45382</v>
      </c>
      <c r="D2" s="7" t="n">
        <f aca="false">Financial!K3</f>
        <v>45747</v>
      </c>
      <c r="E2" s="7" t="n">
        <f aca="false">Financial!L3</f>
        <v>46112</v>
      </c>
      <c r="F2" s="7" t="str">
        <f aca="false">CONCATENATE(TEXT(Financial!M3,"MMM-YY")," e")</f>
        <v>Mar-27 e</v>
      </c>
      <c r="G2" s="7" t="str">
        <f aca="false">CONCATENATE(TEXT(Financial!N3,"MMM-YY")," e")</f>
        <v>Mar-28 e</v>
      </c>
      <c r="H2" s="8" t="str">
        <f aca="false">CONCATENATE(TEXT(Financial!O3,"MMM-YY")," e")</f>
        <v>Mar-29 e</v>
      </c>
      <c r="I2" s="9" t="str">
        <f aca="false">CONCATENATE(TEXT(B2,"YY"),"-",TEXT(E2,"YY"),"       3Y CAGR")</f>
        <v>23-26       3Y CAGR</v>
      </c>
      <c r="J2" s="10" t="str">
        <f aca="false">CONCATENATE(TEXT(E2,"YY"),"-",MID(TRIM(G2), 5, 2),"          2Y CAGR")</f>
        <v>26-28          2Y CAGR</v>
      </c>
      <c r="K2" s="10" t="str">
        <f aca="false">CONCATENATE(TEXT(E2,"YY"),"-",MID(TRIM(H2), 5, 2),"          3Y CAGR")</f>
        <v>26-29          3Y CAGR</v>
      </c>
      <c r="N2" s="6" t="s">
        <v>1</v>
      </c>
      <c r="O2" s="6" t="s">
        <v>2</v>
      </c>
      <c r="P2" s="6" t="s">
        <v>3</v>
      </c>
      <c r="Q2" s="6" t="s">
        <v>4</v>
      </c>
      <c r="R2" s="6" t="s">
        <v>5</v>
      </c>
    </row>
    <row r="3" customFormat="false" ht="15.75" hidden="false" customHeight="true" outlineLevel="0" collapsed="false">
      <c r="A3" s="11" t="s">
        <v>6</v>
      </c>
      <c r="B3" s="12" t="n">
        <f aca="false">Financial!I9</f>
        <v>2800.6</v>
      </c>
      <c r="C3" s="13" t="n">
        <f aca="false">Financial!J9</f>
        <v>3160.75</v>
      </c>
      <c r="D3" s="13" t="n">
        <f aca="false">Financial!K9</f>
        <v>3868.77</v>
      </c>
      <c r="E3" s="13" t="n">
        <f aca="false">Financial!L9</f>
        <v>4265.27</v>
      </c>
      <c r="F3" s="13" t="n">
        <f aca="false">Financial!M9</f>
        <v>4907.32712528325</v>
      </c>
      <c r="G3" s="13" t="n">
        <f aca="false">Financial!N9</f>
        <v>5646.03401766847</v>
      </c>
      <c r="H3" s="14" t="n">
        <f aca="false">Financial!O9</f>
        <v>6495.93950328501</v>
      </c>
      <c r="I3" s="15" t="n">
        <f aca="false">(E3/B3)^(1/3)-1</f>
        <v>0.150531414255898</v>
      </c>
      <c r="J3" s="16" t="n">
        <f aca="false">(G3/E3)^(1/2)-1</f>
        <v>0.150531414255898</v>
      </c>
      <c r="K3" s="16" t="n">
        <f aca="false">(H3/E3)^(1/3)-1</f>
        <v>0.150531414255898</v>
      </c>
      <c r="N3" s="17" t="s">
        <v>7</v>
      </c>
      <c r="O3" s="18" t="n">
        <f aca="false">D3</f>
        <v>3868.77</v>
      </c>
      <c r="P3" s="18" t="n">
        <f aca="false">E3</f>
        <v>4265.27</v>
      </c>
      <c r="Q3" s="18" t="n">
        <f aca="false">F3</f>
        <v>4907.32712528325</v>
      </c>
      <c r="R3" s="18" t="n">
        <f aca="false">G3</f>
        <v>5646.03401766847</v>
      </c>
    </row>
    <row r="4" customFormat="false" ht="15.75" hidden="false" customHeight="true" outlineLevel="0" collapsed="false">
      <c r="A4" s="11" t="s">
        <v>8</v>
      </c>
      <c r="B4" s="12" t="n">
        <f aca="false">Financial!I13</f>
        <v>206.99</v>
      </c>
      <c r="C4" s="13" t="n">
        <f aca="false">Financial!J13</f>
        <v>287.45</v>
      </c>
      <c r="D4" s="13" t="n">
        <f aca="false">Financial!K13</f>
        <v>328.25</v>
      </c>
      <c r="E4" s="13" t="n">
        <f aca="false">Financial!L13</f>
        <v>434.93</v>
      </c>
      <c r="F4" s="13" t="n">
        <f aca="false">Financial!M13</f>
        <v>454.352719246523</v>
      </c>
      <c r="G4" s="13" t="n">
        <f aca="false">Financial!N13</f>
        <v>522.747076645715</v>
      </c>
      <c r="H4" s="14" t="n">
        <f aca="false">Financial!O13</f>
        <v>601.43693339133</v>
      </c>
      <c r="I4" s="15" t="n">
        <f aca="false">(E4/B4)^(1/3)-1</f>
        <v>0.280825602414158</v>
      </c>
      <c r="J4" s="16" t="n">
        <f aca="false">(G4/E4)^(1/2)-1</f>
        <v>0.0963169379856703</v>
      </c>
      <c r="K4" s="16" t="n">
        <f aca="false">(H4/E4)^(1/3)-1</f>
        <v>0.114098466322293</v>
      </c>
      <c r="N4" s="17" t="s">
        <v>9</v>
      </c>
      <c r="O4" s="19" t="n">
        <f aca="false">(O3-C3)/C3</f>
        <v>0.22400379656727</v>
      </c>
      <c r="P4" s="19" t="n">
        <f aca="false">(P3-O3)/O3</f>
        <v>0.102487353861822</v>
      </c>
      <c r="Q4" s="19" t="n">
        <f aca="false">(Q3-P3)/P3</f>
        <v>0.150531414255898</v>
      </c>
      <c r="R4" s="19" t="n">
        <f aca="false">(R3-Q3)/Q3</f>
        <v>0.150531414255898</v>
      </c>
    </row>
    <row r="5" customFormat="false" ht="15.75" hidden="false" customHeight="true" outlineLevel="0" collapsed="false">
      <c r="A5" s="11" t="s">
        <v>10</v>
      </c>
      <c r="B5" s="20" t="n">
        <f aca="false">Financial!I27</f>
        <v>0.0739091623223594</v>
      </c>
      <c r="C5" s="15" t="n">
        <f aca="false">Financial!J27</f>
        <v>0.0909436051570038</v>
      </c>
      <c r="D5" s="15" t="n">
        <f aca="false">Financial!K27</f>
        <v>0.0848460880331475</v>
      </c>
      <c r="E5" s="15" t="n">
        <f aca="false">Financial!L27</f>
        <v>0.101970098024275</v>
      </c>
      <c r="F5" s="15" t="n">
        <f aca="false">Financial!M27</f>
        <v>0.0925865970714755</v>
      </c>
      <c r="G5" s="15" t="n">
        <f aca="false">Financial!N27</f>
        <v>0.0925865970714755</v>
      </c>
      <c r="H5" s="16" t="n">
        <f aca="false">Financial!O27</f>
        <v>0.0925865970714755</v>
      </c>
      <c r="I5" s="15"/>
      <c r="J5" s="16"/>
      <c r="K5" s="16"/>
      <c r="N5" s="17" t="s">
        <v>8</v>
      </c>
      <c r="O5" s="18" t="n">
        <f aca="false">D4</f>
        <v>328.25</v>
      </c>
      <c r="P5" s="18" t="n">
        <f aca="false">E4</f>
        <v>434.93</v>
      </c>
      <c r="Q5" s="18" t="n">
        <f aca="false">F4</f>
        <v>454.352719246523</v>
      </c>
      <c r="R5" s="18" t="n">
        <f aca="false">G4</f>
        <v>522.747076645715</v>
      </c>
    </row>
    <row r="6" customFormat="false" ht="14.25" hidden="false" customHeight="true" outlineLevel="0" collapsed="false">
      <c r="A6" s="11" t="s">
        <v>11</v>
      </c>
      <c r="B6" s="12" t="n">
        <f aca="false">Financial!I20</f>
        <v>201.1</v>
      </c>
      <c r="C6" s="13" t="n">
        <f aca="false">Financial!J20</f>
        <v>239.19</v>
      </c>
      <c r="D6" s="13" t="n">
        <f aca="false">Financial!K20</f>
        <v>312.39</v>
      </c>
      <c r="E6" s="13" t="n">
        <f aca="false">Financial!L20</f>
        <v>378.8</v>
      </c>
      <c r="F6" s="13" t="n">
        <f aca="false">Financial!M20</f>
        <v>393.937489083279</v>
      </c>
      <c r="G6" s="13" t="n">
        <f aca="false">Financial!N20</f>
        <v>428.195750281815</v>
      </c>
      <c r="H6" s="14" t="n">
        <f aca="false">Financial!O20</f>
        <v>449.251144828294</v>
      </c>
      <c r="I6" s="15" t="n">
        <f aca="false">(E6/B6)^(1/3)-1</f>
        <v>0.234997181854038</v>
      </c>
      <c r="J6" s="16" t="n">
        <f aca="false">(G6/E6)^(1/2)-1</f>
        <v>0.0632029946931765</v>
      </c>
      <c r="K6" s="16" t="n">
        <f aca="false">(H6/E6)^(1/3)-1</f>
        <v>0.0585053905591266</v>
      </c>
      <c r="N6" s="21" t="s">
        <v>12</v>
      </c>
      <c r="O6" s="22" t="n">
        <f aca="false">D5</f>
        <v>0.0848460880331475</v>
      </c>
      <c r="P6" s="22" t="n">
        <f aca="false">E5</f>
        <v>0.101970098024275</v>
      </c>
      <c r="Q6" s="22" t="n">
        <f aca="false">F5</f>
        <v>0.0925865970714755</v>
      </c>
      <c r="R6" s="22" t="n">
        <f aca="false">G5</f>
        <v>0.0925865970714755</v>
      </c>
    </row>
    <row r="7" customFormat="false" ht="15.75" hidden="false" customHeight="true" outlineLevel="0" collapsed="false">
      <c r="A7" s="11" t="s">
        <v>13</v>
      </c>
      <c r="B7" s="20" t="n">
        <f aca="false">Financial!I31</f>
        <v>0.0718060415625223</v>
      </c>
      <c r="C7" s="15" t="n">
        <f aca="false">Financial!J31</f>
        <v>0.0756750771177727</v>
      </c>
      <c r="D7" s="15" t="n">
        <f aca="false">Financial!K31</f>
        <v>0.0807465938786746</v>
      </c>
      <c r="E7" s="15" t="n">
        <f aca="false">Financial!L31</f>
        <v>0.0888103215036797</v>
      </c>
      <c r="F7" s="15" t="n">
        <f aca="false">Financial!M31</f>
        <v>0.0802753676341763</v>
      </c>
      <c r="G7" s="15" t="n">
        <f aca="false">Financial!N31</f>
        <v>0.0758400939388316</v>
      </c>
      <c r="H7" s="16" t="n">
        <f aca="false">Financial!O31</f>
        <v>0.0691587636555277</v>
      </c>
      <c r="I7" s="15"/>
      <c r="J7" s="16"/>
      <c r="K7" s="16"/>
      <c r="N7" s="17" t="s">
        <v>14</v>
      </c>
      <c r="O7" s="18" t="n">
        <f aca="false">D6</f>
        <v>312.39</v>
      </c>
      <c r="P7" s="18" t="n">
        <f aca="false">E6</f>
        <v>378.8</v>
      </c>
      <c r="Q7" s="18" t="n">
        <f aca="false">F6</f>
        <v>393.937489083279</v>
      </c>
      <c r="R7" s="18" t="n">
        <f aca="false">G6</f>
        <v>428.195750281815</v>
      </c>
    </row>
    <row r="8" customFormat="false" ht="15.75" hidden="false" customHeight="true" outlineLevel="0" collapsed="false">
      <c r="A8" s="11" t="s">
        <v>15</v>
      </c>
      <c r="B8" s="23" t="n">
        <f aca="false">Financial!I22</f>
        <v>29.1449275362319</v>
      </c>
      <c r="C8" s="24" t="n">
        <f aca="false">Financial!J22</f>
        <v>34.6652173913043</v>
      </c>
      <c r="D8" s="24" t="n">
        <f aca="false">Financial!K22</f>
        <v>42.3292682926829</v>
      </c>
      <c r="E8" s="24" t="n">
        <f aca="false">Financial!L22</f>
        <v>51.3279132791328</v>
      </c>
      <c r="F8" s="24" t="n">
        <f aca="false">Financial!M22</f>
        <v>53.3790635614199</v>
      </c>
      <c r="G8" s="24" t="n">
        <f aca="false">Financial!N22</f>
        <v>58.0211043742297</v>
      </c>
      <c r="H8" s="25" t="n">
        <f aca="false">Financial!O22</f>
        <v>60.8741388656225</v>
      </c>
      <c r="I8" s="15" t="n">
        <f aca="false">(E8/B8)^(1/3)-1</f>
        <v>0.207619756889082</v>
      </c>
      <c r="J8" s="16" t="n">
        <f aca="false">(G8/E8)^(1/2)-1</f>
        <v>0.0632029946931765</v>
      </c>
      <c r="K8" s="16" t="n">
        <f aca="false">(H8/E8)^(1/3)-1</f>
        <v>0.0585053905591266</v>
      </c>
      <c r="N8" s="17" t="s">
        <v>16</v>
      </c>
      <c r="O8" s="26" t="n">
        <f aca="false">D8</f>
        <v>42.3292682926829</v>
      </c>
      <c r="P8" s="26" t="n">
        <f aca="false">E8</f>
        <v>51.3279132791328</v>
      </c>
      <c r="Q8" s="26" t="n">
        <f aca="false">F8</f>
        <v>53.3790635614199</v>
      </c>
      <c r="R8" s="26" t="n">
        <f aca="false">G8</f>
        <v>58.0211043742297</v>
      </c>
    </row>
    <row r="9" customFormat="false" ht="15.75" hidden="false" customHeight="true" outlineLevel="0" collapsed="false">
      <c r="A9" s="11" t="s">
        <v>17</v>
      </c>
      <c r="B9" s="23" t="n">
        <f aca="false">Financial!I86</f>
        <v>85.3521739130435</v>
      </c>
      <c r="C9" s="24" t="n">
        <f aca="false">Financial!J86</f>
        <v>121.36231884058</v>
      </c>
      <c r="D9" s="24" t="n">
        <f aca="false">Financial!K86</f>
        <v>280.475609756098</v>
      </c>
      <c r="E9" s="24" t="n">
        <f aca="false">Financial!L86</f>
        <v>332.19918699187</v>
      </c>
      <c r="F9" s="24" t="n">
        <f aca="false">Financial!M86</f>
        <v>380.237915518098</v>
      </c>
      <c r="G9" s="24" t="n">
        <f aca="false">Financial!N86</f>
        <v>432.454269568942</v>
      </c>
      <c r="H9" s="25" t="n">
        <f aca="false">Financial!O86</f>
        <v>487.238224852622</v>
      </c>
      <c r="I9" s="15" t="n">
        <f aca="false">(E9/B9)^(1/3)-1</f>
        <v>0.572997356375203</v>
      </c>
      <c r="J9" s="16" t="n">
        <f aca="false">(G9/E9)^(1/2)-1</f>
        <v>0.140961032143873</v>
      </c>
      <c r="K9" s="16" t="n">
        <f aca="false">(H9/E9)^(1/3)-1</f>
        <v>0.136181191614718</v>
      </c>
      <c r="N9" s="21" t="s">
        <v>18</v>
      </c>
      <c r="O9" s="27" t="n">
        <f aca="false">(O8-C8)/C8</f>
        <v>0.221087634179992</v>
      </c>
      <c r="P9" s="28" t="n">
        <f aca="false">(P8-O8)/O8</f>
        <v>0.212586830564359</v>
      </c>
      <c r="Q9" s="28" t="n">
        <f aca="false">(Q8-P8)/P8</f>
        <v>0.0399616924056987</v>
      </c>
      <c r="R9" s="28" t="n">
        <f aca="false">(R8-Q8)/Q8</f>
        <v>0.086963698931671</v>
      </c>
    </row>
    <row r="10" customFormat="false" ht="15.75" hidden="false" customHeight="true" outlineLevel="0" collapsed="false">
      <c r="A10" s="29" t="s">
        <v>19</v>
      </c>
      <c r="B10" s="30" t="n">
        <f aca="false">'Data Sheet'!$B$8/Summary!B8</f>
        <v>61.6573843858777</v>
      </c>
      <c r="C10" s="31" t="n">
        <f aca="false">'Data Sheet'!$B$8/Summary!C8</f>
        <v>51.8387056315063</v>
      </c>
      <c r="D10" s="31" t="n">
        <f aca="false">'Data Sheet'!$B$8/Summary!D8</f>
        <v>42.4528954191876</v>
      </c>
      <c r="E10" s="31" t="n">
        <f aca="false">'Data Sheet'!$B$8/Summary!E8</f>
        <v>35.0101900739176</v>
      </c>
      <c r="F10" s="31" t="n">
        <f aca="false">'Data Sheet'!$B$8/Summary!F8</f>
        <v>33.6648843217773</v>
      </c>
      <c r="G10" s="31" t="n">
        <f aca="false">'Data Sheet'!$B$8/Summary!G8</f>
        <v>30.9714890707621</v>
      </c>
      <c r="H10" s="32" t="n">
        <f aca="false">'Data Sheet'!$B$8/Summary!H8</f>
        <v>29.5199247740787</v>
      </c>
      <c r="I10" s="33"/>
      <c r="J10" s="34"/>
      <c r="K10" s="34"/>
      <c r="N10" s="17" t="s">
        <v>20</v>
      </c>
      <c r="O10" s="26" t="n">
        <f aca="false">D10</f>
        <v>42.4528954191876</v>
      </c>
      <c r="P10" s="26" t="n">
        <f aca="false">E10</f>
        <v>35.0101900739176</v>
      </c>
      <c r="Q10" s="26" t="n">
        <f aca="false">F10</f>
        <v>33.6648843217773</v>
      </c>
      <c r="R10" s="26" t="n">
        <f aca="false">G10</f>
        <v>30.9714890707621</v>
      </c>
    </row>
    <row r="11" customFormat="false" ht="15.75" hidden="false" customHeight="true" outlineLevel="0" collapsed="false">
      <c r="A11" s="11" t="s">
        <v>21</v>
      </c>
      <c r="B11" s="23" t="n">
        <f aca="false">'Data Sheet'!$B$8/Summary!B9</f>
        <v>21.0539452906118</v>
      </c>
      <c r="C11" s="24" t="n">
        <f aca="false">'Data Sheet'!$B$8/Summary!C9</f>
        <v>14.8069023166945</v>
      </c>
      <c r="D11" s="24" t="n">
        <f aca="false">'Data Sheet'!$B$8/Summary!D9</f>
        <v>6.40697421627027</v>
      </c>
      <c r="E11" s="24" t="n">
        <f aca="false">'Data Sheet'!$B$8/Summary!E9</f>
        <v>5.40940517125341</v>
      </c>
      <c r="F11" s="24" t="n">
        <f aca="false">'Data Sheet'!$B$8/Summary!F9</f>
        <v>4.7259884579145</v>
      </c>
      <c r="G11" s="24" t="n">
        <f aca="false">'Data Sheet'!$B$8/Summary!G9</f>
        <v>4.15535266142984</v>
      </c>
      <c r="H11" s="25" t="n">
        <f aca="false">'Data Sheet'!$B$8/Summary!H9</f>
        <v>3.68813428081007</v>
      </c>
      <c r="I11" s="15"/>
      <c r="J11" s="16"/>
      <c r="K11" s="16"/>
      <c r="N11" s="17" t="s">
        <v>22</v>
      </c>
      <c r="O11" s="26" t="n">
        <f aca="false">D12</f>
        <v>42.0586169078446</v>
      </c>
      <c r="P11" s="26" t="n">
        <f aca="false">E12</f>
        <v>24.0578437909549</v>
      </c>
      <c r="Q11" s="26" t="n">
        <f aca="false">F12</f>
        <v>30.4126812272061</v>
      </c>
      <c r="R11" s="26" t="n">
        <f aca="false">G12</f>
        <v>26.6226378545765</v>
      </c>
    </row>
    <row r="12" customFormat="false" ht="15.75" hidden="false" customHeight="true" outlineLevel="0" collapsed="false">
      <c r="A12" s="35" t="s">
        <v>23</v>
      </c>
      <c r="B12" s="36" t="n">
        <f aca="false">Financial!I95</f>
        <v>17.8356683897773</v>
      </c>
      <c r="C12" s="37" t="n">
        <f aca="false">Financial!J95</f>
        <v>25.8791615933206</v>
      </c>
      <c r="D12" s="37" t="n">
        <f aca="false">Financial!K95</f>
        <v>42.0586169078446</v>
      </c>
      <c r="E12" s="37" t="n">
        <f aca="false">Financial!L95</f>
        <v>24.0578437909549</v>
      </c>
      <c r="F12" s="37" t="n">
        <f aca="false">Financial!M95</f>
        <v>30.4126812272061</v>
      </c>
      <c r="G12" s="37" t="n">
        <f aca="false">Financial!N95</f>
        <v>26.6226378545765</v>
      </c>
      <c r="H12" s="38" t="n">
        <f aca="false">Financial!O95</f>
        <v>23.3715218728256</v>
      </c>
      <c r="I12" s="39"/>
      <c r="J12" s="40"/>
      <c r="K12" s="40"/>
      <c r="N12" s="17" t="s">
        <v>24</v>
      </c>
      <c r="O12" s="26" t="n">
        <f aca="false">D11</f>
        <v>6.40697421627027</v>
      </c>
      <c r="P12" s="26" t="n">
        <f aca="false">E11</f>
        <v>5.40940517125341</v>
      </c>
      <c r="Q12" s="26" t="n">
        <f aca="false">F11</f>
        <v>4.7259884579145</v>
      </c>
      <c r="R12" s="26" t="n">
        <f aca="false">G11</f>
        <v>4.15535266142984</v>
      </c>
    </row>
    <row r="13" customFormat="false" ht="15.75" hidden="false" customHeight="true" outlineLevel="0" collapsed="false">
      <c r="A13" s="11" t="s">
        <v>25</v>
      </c>
      <c r="B13" s="41" t="n">
        <f aca="false">Financial!I79</f>
        <v>0.341466727794475</v>
      </c>
      <c r="C13" s="42" t="n">
        <f aca="false">Financial!J79</f>
        <v>0.285634105564844</v>
      </c>
      <c r="D13" s="42" t="n">
        <f aca="false">Financial!K79</f>
        <v>0.150919605200226</v>
      </c>
      <c r="E13" s="42" t="n">
        <f aca="false">Financial!L79</f>
        <v>0.154509448815686</v>
      </c>
      <c r="F13" s="42" t="n">
        <f aca="false">Financial!M79</f>
        <v>0.140383326814443</v>
      </c>
      <c r="G13" s="42" t="n">
        <f aca="false">Financial!N79</f>
        <v>0.134167028648055</v>
      </c>
      <c r="H13" s="43" t="n">
        <f aca="false">Financial!O79</f>
        <v>0.124937116508122</v>
      </c>
      <c r="I13" s="15"/>
      <c r="J13" s="16"/>
      <c r="K13" s="16"/>
      <c r="N13" s="17" t="s">
        <v>26</v>
      </c>
      <c r="O13" s="26" t="n">
        <f aca="false">D9</f>
        <v>280.475609756098</v>
      </c>
      <c r="P13" s="26" t="n">
        <f aca="false">E9</f>
        <v>332.19918699187</v>
      </c>
      <c r="Q13" s="26" t="n">
        <f aca="false">F9</f>
        <v>380.237915518098</v>
      </c>
      <c r="R13" s="26" t="n">
        <f aca="false">G9</f>
        <v>432.454269568942</v>
      </c>
    </row>
    <row r="14" customFormat="false" ht="15" hidden="false" customHeight="false" outlineLevel="0" collapsed="false">
      <c r="A14" s="11" t="s">
        <v>27</v>
      </c>
      <c r="B14" s="41" t="n">
        <f aca="false">Financial!I80</f>
        <v>0.316136254970788</v>
      </c>
      <c r="C14" s="42" t="n">
        <f aca="false">Financial!J80</f>
        <v>0.280758429386124</v>
      </c>
      <c r="D14" s="42" t="n">
        <f aca="false">Financial!K80</f>
        <v>0.219142708208028</v>
      </c>
      <c r="E14" s="42" t="n">
        <f aca="false">Financial!L80</f>
        <v>0.170664521168455</v>
      </c>
      <c r="F14" s="42" t="n">
        <f aca="false">Financial!M80</f>
        <v>0.147725021778804</v>
      </c>
      <c r="G14" s="42" t="n">
        <f aca="false">Financial!N80</f>
        <v>0.145991132086616</v>
      </c>
      <c r="H14" s="43" t="n">
        <f aca="false">Financial!O80</f>
        <v>0.134422532313244</v>
      </c>
      <c r="I14" s="15"/>
      <c r="J14" s="16"/>
      <c r="K14" s="16"/>
      <c r="N14" s="44" t="s">
        <v>28</v>
      </c>
      <c r="O14" s="42" t="n">
        <f aca="false">D13</f>
        <v>0.150919605200226</v>
      </c>
      <c r="P14" s="42" t="n">
        <f aca="false">E13</f>
        <v>0.154509448815686</v>
      </c>
      <c r="Q14" s="42" t="n">
        <f aca="false">F13</f>
        <v>0.140383326814443</v>
      </c>
      <c r="R14" s="42" t="n">
        <f aca="false">G13</f>
        <v>0.134167028648055</v>
      </c>
    </row>
    <row r="15" customFormat="false" ht="15" hidden="false" customHeight="false" outlineLevel="0" collapsed="false">
      <c r="A15" s="11" t="s">
        <v>29</v>
      </c>
      <c r="B15" s="41" t="n">
        <f aca="false">Financial!I81</f>
        <v>0.329939693416176</v>
      </c>
      <c r="C15" s="42" t="n">
        <f aca="false">Financial!J81</f>
        <v>0.300775680277602</v>
      </c>
      <c r="D15" s="42" t="n">
        <f aca="false">Financial!K81</f>
        <v>0.304710150314456</v>
      </c>
      <c r="E15" s="42" t="n">
        <f aca="false">Financial!L81</f>
        <v>0.236890471397165</v>
      </c>
      <c r="F15" s="42" t="n">
        <f aca="false">Financial!M81</f>
        <v>0.175202182823056</v>
      </c>
      <c r="G15" s="42" t="n">
        <f aca="false">Financial!N81</f>
        <v>0.16486849471958</v>
      </c>
      <c r="H15" s="43" t="n">
        <f aca="false">Financial!O81</f>
        <v>0.149393004136237</v>
      </c>
      <c r="I15" s="15"/>
      <c r="J15" s="16"/>
      <c r="K15" s="16"/>
      <c r="N15" s="44" t="s">
        <v>30</v>
      </c>
      <c r="O15" s="42" t="n">
        <f aca="false">D14</f>
        <v>0.219142708208028</v>
      </c>
      <c r="P15" s="42" t="n">
        <f aca="false">E14</f>
        <v>0.170664521168455</v>
      </c>
      <c r="Q15" s="42" t="n">
        <f aca="false">F14</f>
        <v>0.147725021778804</v>
      </c>
      <c r="R15" s="42" t="n">
        <f aca="false">G14</f>
        <v>0.145991132086616</v>
      </c>
    </row>
    <row r="16" customFormat="false" ht="15" hidden="false" customHeight="false" outlineLevel="0" collapsed="false">
      <c r="A16" s="11" t="s">
        <v>31</v>
      </c>
      <c r="B16" s="41" t="n">
        <f aca="false">Financial!I71</f>
        <v>0.220209955009641</v>
      </c>
      <c r="C16" s="42" t="n">
        <f aca="false">Financial!J71</f>
        <v>0.309176619473226</v>
      </c>
      <c r="D16" s="42" t="n">
        <f aca="false">Financial!K71</f>
        <v>0.349702877141831</v>
      </c>
      <c r="E16" s="42" t="n">
        <f aca="false">Financial!L71</f>
        <v>0.419204411444059</v>
      </c>
      <c r="F16" s="42" t="n">
        <f aca="false">Financial!M71</f>
        <v>0.359361302686372</v>
      </c>
      <c r="G16" s="42" t="n">
        <f aca="false">Financial!N71</f>
        <v>0.359361302686372</v>
      </c>
      <c r="H16" s="43" t="n">
        <f aca="false">Financial!O71</f>
        <v>0.359361302686372</v>
      </c>
      <c r="I16" s="15"/>
      <c r="J16" s="16"/>
      <c r="K16" s="16"/>
    </row>
    <row r="17" customFormat="false" ht="15.75" hidden="false" customHeight="true" outlineLevel="0" collapsed="false">
      <c r="A17" s="35" t="s">
        <v>32</v>
      </c>
      <c r="B17" s="45" t="n">
        <f aca="false">Financial!I73</f>
        <v>0.964587661239674</v>
      </c>
      <c r="C17" s="46" t="n">
        <f aca="false">Financial!J73</f>
        <v>0.147503913724126</v>
      </c>
      <c r="D17" s="46" t="n">
        <f aca="false">Financial!K73</f>
        <v>0.85964965727342</v>
      </c>
      <c r="E17" s="46" t="n">
        <f aca="false">Financial!L73</f>
        <v>0.389235049318281</v>
      </c>
      <c r="F17" s="46" t="n">
        <f aca="false">Financial!M73</f>
        <v>0.916186712292437</v>
      </c>
      <c r="G17" s="46" t="n">
        <f aca="false">Financial!N73</f>
        <v>0.362017105680478</v>
      </c>
      <c r="H17" s="47" t="n">
        <f aca="false">Financial!O73</f>
        <v>0.373483933543182</v>
      </c>
      <c r="I17" s="39"/>
      <c r="J17" s="40"/>
      <c r="K17" s="40"/>
    </row>
  </sheetData>
  <mergeCells count="1">
    <mergeCell ref="C1:K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4"/>
  <sheetViews>
    <sheetView showFormulas="false" showGridLines="true" showRowColHeaders="true" showZeros="true" rightToLeft="false" tabSelected="false" showOutlineSymbols="true" defaultGridColor="true" view="normal" topLeftCell="B2" colorId="64" zoomScale="200" zoomScaleNormal="200" zoomScalePageLayoutView="100" workbookViewId="0">
      <selection pane="topLeft" activeCell="R24" activeCellId="0" sqref="R24"/>
    </sheetView>
  </sheetViews>
  <sheetFormatPr defaultColWidth="8.859375" defaultRowHeight="15" zeroHeight="false" outlineLevelRow="0" outlineLevelCol="0"/>
  <cols>
    <col collapsed="false" customWidth="true" hidden="false" outlineLevel="0" max="1" min="1" style="1" width="18.71"/>
    <col collapsed="false" customWidth="true" hidden="false" outlineLevel="0" max="2" min="2" style="1" width="8.15"/>
    <col collapsed="false" customWidth="true" hidden="false" outlineLevel="0" max="3" min="3" style="1" width="9.14"/>
    <col collapsed="false" customWidth="true" hidden="false" outlineLevel="0" max="5" min="4" style="1" width="9.29"/>
    <col collapsed="false" customWidth="true" hidden="false" outlineLevel="0" max="13" min="6" style="1" width="10"/>
    <col collapsed="false" customWidth="true" hidden="false" outlineLevel="0" max="14" min="14" style="1" width="13.71"/>
    <col collapsed="false" customWidth="true" hidden="false" outlineLevel="0" max="15" min="15" style="1" width="10.14"/>
    <col collapsed="false" customWidth="true" hidden="false" outlineLevel="0" max="16" min="16" style="1" width="10"/>
    <col collapsed="false" customWidth="true" hidden="false" outlineLevel="0" max="17" min="17" style="1" width="12.71"/>
    <col collapsed="false" customWidth="true" hidden="false" outlineLevel="0" max="18" min="18" style="1" width="9"/>
    <col collapsed="false" customWidth="true" hidden="false" outlineLevel="0" max="19" min="19" style="1" width="10"/>
    <col collapsed="false" customWidth="true" hidden="false" outlineLevel="0" max="20" min="20" style="1" width="10.42"/>
    <col collapsed="false" customWidth="true" hidden="false" outlineLevel="0" max="22" min="21" style="1" width="6.71"/>
    <col collapsed="false" customWidth="true" hidden="false" outlineLevel="0" max="23" min="23" style="1" width="8.15"/>
    <col collapsed="false" customWidth="true" hidden="false" outlineLevel="0" max="24" min="24" style="1" width="5.42"/>
    <col collapsed="false" customWidth="true" hidden="false" outlineLevel="0" max="25" min="25" style="1" width="7"/>
  </cols>
  <sheetData>
    <row r="1" customFormat="false" ht="42.75" hidden="false" customHeight="true" outlineLevel="0" collapsed="false">
      <c r="A1" s="48" t="str">
        <f aca="false">Financial!A2</f>
        <v>GRAVITA INDIA LTD           Mcap 13,262 Cr        CMP 1,797.0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</row>
    <row r="2" customFormat="false" ht="15" hidden="false" customHeight="false" outlineLevel="0" collapsed="false">
      <c r="A2" s="49" t="s">
        <v>33</v>
      </c>
      <c r="B2" s="50" t="s">
        <v>34</v>
      </c>
      <c r="C2" s="50"/>
      <c r="D2" s="50"/>
      <c r="E2" s="50"/>
      <c r="F2" s="51" t="s">
        <v>35</v>
      </c>
      <c r="G2" s="52" t="n">
        <v>0</v>
      </c>
      <c r="H2" s="53" t="n">
        <f aca="false">G2+1</f>
        <v>1</v>
      </c>
      <c r="I2" s="53" t="n">
        <f aca="false">H2+1</f>
        <v>2</v>
      </c>
      <c r="J2" s="53" t="n">
        <f aca="false">I2+1</f>
        <v>3</v>
      </c>
      <c r="K2" s="53" t="n">
        <f aca="false">J2+1</f>
        <v>4</v>
      </c>
      <c r="L2" s="53" t="n">
        <f aca="false">K2+1</f>
        <v>5</v>
      </c>
      <c r="M2" s="53" t="n">
        <f aca="false">L2+1</f>
        <v>6</v>
      </c>
      <c r="N2" s="53" t="n">
        <f aca="false">M2+1</f>
        <v>7</v>
      </c>
      <c r="O2" s="53" t="n">
        <f aca="false">N2+1</f>
        <v>8</v>
      </c>
      <c r="P2" s="53" t="n">
        <f aca="false">O2+1</f>
        <v>9</v>
      </c>
      <c r="Q2" s="53" t="n">
        <f aca="false">P2+1</f>
        <v>10</v>
      </c>
      <c r="S2" s="54" t="s">
        <v>36</v>
      </c>
      <c r="T2" s="54" t="s">
        <v>37</v>
      </c>
    </row>
    <row r="3" customFormat="false" ht="15" hidden="false" customHeight="false" outlineLevel="0" collapsed="false">
      <c r="A3" s="55" t="s">
        <v>38</v>
      </c>
      <c r="B3" s="56" t="s">
        <v>39</v>
      </c>
      <c r="C3" s="57" t="s">
        <v>40</v>
      </c>
      <c r="D3" s="57" t="s">
        <v>41</v>
      </c>
      <c r="E3" s="58" t="s">
        <v>42</v>
      </c>
      <c r="F3" s="59" t="s">
        <v>41</v>
      </c>
      <c r="G3" s="56" t="s">
        <v>43</v>
      </c>
      <c r="H3" s="57" t="s">
        <v>44</v>
      </c>
      <c r="I3" s="57" t="s">
        <v>45</v>
      </c>
      <c r="J3" s="57" t="s">
        <v>46</v>
      </c>
      <c r="K3" s="57" t="s">
        <v>47</v>
      </c>
      <c r="L3" s="57" t="s">
        <v>48</v>
      </c>
      <c r="M3" s="57" t="s">
        <v>49</v>
      </c>
      <c r="N3" s="57" t="s">
        <v>50</v>
      </c>
      <c r="O3" s="57" t="s">
        <v>51</v>
      </c>
      <c r="P3" s="57" t="s">
        <v>52</v>
      </c>
      <c r="Q3" s="57" t="s">
        <v>53</v>
      </c>
    </row>
    <row r="4" customFormat="false" ht="15" hidden="false" customHeight="false" outlineLevel="0" collapsed="false">
      <c r="A4" s="60" t="s">
        <v>54</v>
      </c>
      <c r="B4" s="61" t="n">
        <f aca="false">MAX(Financial!D9:L9)</f>
        <v>4265.27</v>
      </c>
      <c r="C4" s="62" t="n">
        <f aca="false">MIN(Financial!D9:L9)</f>
        <v>1017.4</v>
      </c>
      <c r="D4" s="62" t="n">
        <f aca="false">AVERAGE(Financial!D9:L9)</f>
        <v>2369.77111111111</v>
      </c>
      <c r="E4" s="63" t="n">
        <f aca="false">MEDIAN(Financial!D9:L9)</f>
        <v>2215.87</v>
      </c>
      <c r="F4" s="64" t="n">
        <f aca="false">AVERAGE(Financial!J9:L9)</f>
        <v>3764.93</v>
      </c>
      <c r="G4" s="65" t="n">
        <f aca="false">Financial!M9</f>
        <v>4907.32712528325</v>
      </c>
      <c r="H4" s="66" t="n">
        <f aca="false">Financial!N9</f>
        <v>5646.03401766847</v>
      </c>
      <c r="I4" s="66" t="n">
        <f aca="false">Financial!O9</f>
        <v>6495.93950328501</v>
      </c>
      <c r="J4" s="66" t="n">
        <f aca="false">+I4*(1+J5)</f>
        <v>7473.78246363526</v>
      </c>
      <c r="K4" s="66" t="n">
        <f aca="false">+J4*(1+K5)</f>
        <v>8216.30823273594</v>
      </c>
      <c r="L4" s="66" t="n">
        <f aca="false">+K4*(1+L5)</f>
        <v>9032.60448157177</v>
      </c>
      <c r="M4" s="66" t="n">
        <f aca="false">+L4*(1+M5)</f>
        <v>9930.00036140838</v>
      </c>
      <c r="N4" s="66" t="n">
        <f aca="false">+M4*(1+N5)</f>
        <v>10916.5531800649</v>
      </c>
      <c r="O4" s="66" t="n">
        <f aca="false">+N4*(1+O5)</f>
        <v>11632.367772791</v>
      </c>
      <c r="P4" s="66" t="n">
        <f aca="false">+O4*(1+P5)</f>
        <v>12395.1193906668</v>
      </c>
      <c r="Q4" s="66" t="n">
        <f aca="false">+P4*(1+Q5)</f>
        <v>13207.8857640881</v>
      </c>
      <c r="S4" s="67" t="n">
        <v>0.66</v>
      </c>
      <c r="T4" s="67" t="n">
        <v>0.66</v>
      </c>
    </row>
    <row r="5" customFormat="false" ht="15" hidden="false" customHeight="false" outlineLevel="0" collapsed="false">
      <c r="A5" s="68" t="s">
        <v>55</v>
      </c>
      <c r="B5" s="69" t="n">
        <f aca="false">MAX(Financial!D35:L35)</f>
        <v>0.571817698173435</v>
      </c>
      <c r="C5" s="70" t="n">
        <f aca="false">MIN(Financial!D35:L35)</f>
        <v>0.0459637928476035</v>
      </c>
      <c r="D5" s="70" t="n">
        <f aca="false">AVERAGE(Financial!D35:L35)</f>
        <v>0.244036601998053</v>
      </c>
      <c r="E5" s="71" t="n">
        <f aca="false">MEDIAN(Financial!D35:L35)</f>
        <v>0.2204934145862</v>
      </c>
      <c r="F5" s="72" t="n">
        <f aca="false">AVERAGE(Financial!J35:L35)</f>
        <v>0.151696197944692</v>
      </c>
      <c r="G5" s="73"/>
      <c r="H5" s="74" t="n">
        <f aca="false">+H4/G4-1</f>
        <v>0.150531414255898</v>
      </c>
      <c r="I5" s="74" t="n">
        <f aca="false">+I4/H4-1</f>
        <v>0.150531414255898</v>
      </c>
      <c r="J5" s="75" t="n">
        <f aca="false">I5</f>
        <v>0.150531414255898</v>
      </c>
      <c r="K5" s="75" t="n">
        <f aca="false">S5</f>
        <v>0.0993507334088924</v>
      </c>
      <c r="L5" s="75" t="n">
        <f aca="false">+K5</f>
        <v>0.0993507334088924</v>
      </c>
      <c r="M5" s="75" t="n">
        <f aca="false">+L5</f>
        <v>0.0993507334088924</v>
      </c>
      <c r="N5" s="75" t="n">
        <f aca="false">+M5</f>
        <v>0.0993507334088924</v>
      </c>
      <c r="O5" s="75" t="n">
        <f aca="false">T5</f>
        <v>0.065571484049869</v>
      </c>
      <c r="P5" s="75" t="n">
        <f aca="false">+O5</f>
        <v>0.065571484049869</v>
      </c>
      <c r="Q5" s="75" t="n">
        <f aca="false">+P5</f>
        <v>0.065571484049869</v>
      </c>
      <c r="S5" s="75" t="n">
        <f aca="false">J5*S4</f>
        <v>0.0993507334088924</v>
      </c>
      <c r="T5" s="75" t="n">
        <f aca="false">S5*T4</f>
        <v>0.065571484049869</v>
      </c>
    </row>
    <row r="6" customFormat="false" ht="15" hidden="false" customHeight="false" outlineLevel="0" collapsed="false">
      <c r="A6" s="60" t="s">
        <v>8</v>
      </c>
      <c r="B6" s="61" t="n">
        <f aca="false">MAX(Financial!D13:L13)</f>
        <v>434.93</v>
      </c>
      <c r="C6" s="62" t="n">
        <f aca="false">MIN(Financial!D13:L13)</f>
        <v>61.8600000000001</v>
      </c>
      <c r="D6" s="62" t="n">
        <f aca="false">AVERAGE(Financial!D13:L13)</f>
        <v>206.507777777778</v>
      </c>
      <c r="E6" s="63" t="n">
        <f aca="false">MEDIAN(Financial!D13:L13)</f>
        <v>206.99</v>
      </c>
      <c r="F6" s="76" t="n">
        <f aca="false">AVERAGE(Financial!J13:L13)</f>
        <v>350.21</v>
      </c>
      <c r="G6" s="65" t="n">
        <f aca="false">Financial!M13</f>
        <v>454.352719246523</v>
      </c>
      <c r="H6" s="66" t="n">
        <f aca="false">Financial!N13</f>
        <v>522.747076645715</v>
      </c>
      <c r="I6" s="66" t="n">
        <f aca="false">Financial!O13</f>
        <v>601.43693339133</v>
      </c>
      <c r="J6" s="66" t="n">
        <f aca="false">+J7*J4</f>
        <v>691.972085560457</v>
      </c>
      <c r="K6" s="66" t="n">
        <f aca="false">+K7*K4</f>
        <v>684.648017783432</v>
      </c>
      <c r="L6" s="66" t="n">
        <f aca="false">+L7*L4</f>
        <v>752.668300477161</v>
      </c>
      <c r="M6" s="66" t="n">
        <f aca="false">+M7*M4</f>
        <v>827.446448143191</v>
      </c>
      <c r="N6" s="66" t="n">
        <f aca="false">+N7*N4</f>
        <v>909.6538596228</v>
      </c>
      <c r="O6" s="66" t="n">
        <f aca="false">+O7*O4</f>
        <v>872.371091852962</v>
      </c>
      <c r="P6" s="66" t="n">
        <f aca="false">+P7*P4</f>
        <v>929.573758987966</v>
      </c>
      <c r="Q6" s="66" t="n">
        <f aca="false">+Q7*Q4</f>
        <v>990.527289898622</v>
      </c>
      <c r="S6" s="67" t="n">
        <v>0.9</v>
      </c>
      <c r="T6" s="67" t="n">
        <v>0.9</v>
      </c>
    </row>
    <row r="7" customFormat="false" ht="15" hidden="false" customHeight="false" outlineLevel="0" collapsed="false">
      <c r="A7" s="77" t="s">
        <v>56</v>
      </c>
      <c r="B7" s="78" t="n">
        <f aca="false">MAX(Financial!C27:L27)</f>
        <v>0.101970098024275</v>
      </c>
      <c r="C7" s="79" t="n">
        <f aca="false">MIN(Financial!C27:L27)</f>
        <v>0.0498175931965887</v>
      </c>
      <c r="D7" s="79" t="n">
        <f aca="false">AVERAGE(Financial!C27:L27)</f>
        <v>0.0845720967337952</v>
      </c>
      <c r="E7" s="80" t="n">
        <f aca="false">MEDIAN(Financial!C27:L27)</f>
        <v>0.0876862073167349</v>
      </c>
      <c r="F7" s="81" t="n">
        <f aca="false">AVERAGE(Financial!J27:L27)</f>
        <v>0.0925865970714755</v>
      </c>
      <c r="G7" s="82" t="n">
        <f aca="false">+G6/G4</f>
        <v>0.0925865970714755</v>
      </c>
      <c r="H7" s="83" t="n">
        <f aca="false">+H6/H4</f>
        <v>0.0925865970714755</v>
      </c>
      <c r="I7" s="83" t="n">
        <f aca="false">+I6/I4</f>
        <v>0.0925865970714755</v>
      </c>
      <c r="J7" s="84" t="n">
        <f aca="false">I7</f>
        <v>0.0925865970714755</v>
      </c>
      <c r="K7" s="84" t="n">
        <f aca="false">S7</f>
        <v>0.083327937364328</v>
      </c>
      <c r="L7" s="84" t="n">
        <f aca="false">+K7</f>
        <v>0.083327937364328</v>
      </c>
      <c r="M7" s="84" t="n">
        <f aca="false">+L7</f>
        <v>0.083327937364328</v>
      </c>
      <c r="N7" s="84" t="n">
        <f aca="false">+M7</f>
        <v>0.083327937364328</v>
      </c>
      <c r="O7" s="84" t="n">
        <f aca="false">T7</f>
        <v>0.0749951436278952</v>
      </c>
      <c r="P7" s="84" t="n">
        <f aca="false">+O7</f>
        <v>0.0749951436278952</v>
      </c>
      <c r="Q7" s="84" t="n">
        <f aca="false">+P7</f>
        <v>0.0749951436278952</v>
      </c>
      <c r="S7" s="84" t="n">
        <f aca="false">J7*S6</f>
        <v>0.083327937364328</v>
      </c>
      <c r="T7" s="85" t="n">
        <f aca="false">S7*T6</f>
        <v>0.0749951436278952</v>
      </c>
    </row>
    <row r="8" customFormat="false" ht="15" hidden="false" customHeight="false" outlineLevel="0" collapsed="false">
      <c r="A8" s="60" t="s">
        <v>57</v>
      </c>
      <c r="B8" s="69" t="n">
        <f aca="false">MAX(Financial!C73:L73)</f>
        <v>1.43905593275137</v>
      </c>
      <c r="C8" s="70" t="n">
        <f aca="false">MIN(Financial!C73:L73)</f>
        <v>-0.0278353891496561</v>
      </c>
      <c r="D8" s="70" t="n">
        <f aca="false">AVERAGE(Financial!C73:L73)</f>
        <v>0.477588769851516</v>
      </c>
      <c r="E8" s="71" t="n">
        <f aca="false">MEDIAN(Financial!C73:L73)</f>
        <v>0.35037030677999</v>
      </c>
      <c r="F8" s="72" t="n">
        <f aca="false">AVERAGE(Financial!J73:L73)</f>
        <v>0.465462873438609</v>
      </c>
      <c r="G8" s="86" t="n">
        <f aca="false">Financial!M73</f>
        <v>0.916186712292437</v>
      </c>
      <c r="H8" s="87" t="n">
        <f aca="false">Financial!N73</f>
        <v>0.362017105680478</v>
      </c>
      <c r="I8" s="87" t="n">
        <f aca="false">Financial!O73</f>
        <v>0.373483933543182</v>
      </c>
      <c r="J8" s="87" t="n">
        <f aca="false">I8</f>
        <v>0.373483933543182</v>
      </c>
      <c r="K8" s="87" t="n">
        <f aca="false">+J8</f>
        <v>0.373483933543182</v>
      </c>
      <c r="L8" s="87" t="n">
        <f aca="false">+K8</f>
        <v>0.373483933543182</v>
      </c>
      <c r="M8" s="87" t="n">
        <f aca="false">+L8</f>
        <v>0.373483933543182</v>
      </c>
      <c r="N8" s="87" t="n">
        <f aca="false">+M8</f>
        <v>0.373483933543182</v>
      </c>
      <c r="O8" s="87" t="n">
        <f aca="false">+N8</f>
        <v>0.373483933543182</v>
      </c>
      <c r="P8" s="87" t="n">
        <f aca="false">+O8</f>
        <v>0.373483933543182</v>
      </c>
      <c r="Q8" s="87" t="n">
        <f aca="false">+P8</f>
        <v>0.373483933543182</v>
      </c>
    </row>
    <row r="9" customFormat="false" ht="15" hidden="false" customHeight="false" outlineLevel="0" collapsed="false">
      <c r="A9" s="60" t="s">
        <v>58</v>
      </c>
      <c r="B9" s="88" t="n">
        <f aca="false">MAX(Financial!C64:L64)</f>
        <v>282.18</v>
      </c>
      <c r="C9" s="89" t="n">
        <f aca="false">MIN(Financial!C64:L64)</f>
        <v>-2.55</v>
      </c>
      <c r="D9" s="89" t="n">
        <f aca="false">AVERAGE(Financial!C64:L64)</f>
        <v>90.099</v>
      </c>
      <c r="E9" s="90" t="n">
        <f aca="false">MEDIAN(Financial!C64:L64)</f>
        <v>59.455</v>
      </c>
      <c r="F9" s="76" t="n">
        <f aca="false">AVERAGE(Financial!J64:L64)</f>
        <v>164.623333333333</v>
      </c>
      <c r="G9" s="65" t="n">
        <f aca="false">+G8*G6</f>
        <v>416.2719240676</v>
      </c>
      <c r="H9" s="66" t="n">
        <f aca="false">+H8*H6</f>
        <v>189.243383690212</v>
      </c>
      <c r="I9" s="66" t="n">
        <f aca="false">+I8*I6</f>
        <v>224.627031661142</v>
      </c>
      <c r="J9" s="66" t="n">
        <f aca="false">+J8*J6</f>
        <v>258.440456417198</v>
      </c>
      <c r="K9" s="66" t="n">
        <f aca="false">+K8*K6</f>
        <v>255.705034774298</v>
      </c>
      <c r="L9" s="66" t="n">
        <f aca="false">+L8*L6</f>
        <v>281.109517515471</v>
      </c>
      <c r="M9" s="66" t="n">
        <f aca="false">+M8*M6</f>
        <v>309.037954248853</v>
      </c>
      <c r="N9" s="66" t="n">
        <f aca="false">+N8*N6</f>
        <v>339.741101654661</v>
      </c>
      <c r="O9" s="66" t="n">
        <f aca="false">+O8*O6</f>
        <v>325.816586894605</v>
      </c>
      <c r="P9" s="66" t="n">
        <f aca="false">+P8*P6</f>
        <v>347.180864025347</v>
      </c>
      <c r="Q9" s="66" t="n">
        <f aca="false">+Q8*Q6</f>
        <v>369.946028513205</v>
      </c>
    </row>
    <row r="10" customFormat="false" ht="15" hidden="false" customHeight="false" outlineLevel="0" collapsed="false">
      <c r="A10" s="60" t="s">
        <v>59</v>
      </c>
      <c r="B10" s="91" t="n">
        <f aca="false">MAX(Financial!C72:L72)</f>
        <v>9.4796577540107</v>
      </c>
      <c r="C10" s="92" t="n">
        <f aca="false">MIN(Financial!C72:L72)</f>
        <v>4.32232468585326</v>
      </c>
      <c r="D10" s="92" t="n">
        <f aca="false">AVERAGE(Financial!C72:L72)</f>
        <v>7.42314595481686</v>
      </c>
      <c r="E10" s="93" t="n">
        <f aca="false">MEDIAN(Financial!C72:L72)</f>
        <v>7.62336586896132</v>
      </c>
      <c r="F10" s="94" t="n">
        <f aca="false">AVERAGE(Financial!J72:L72)</f>
        <v>6.84849713535272</v>
      </c>
      <c r="G10" s="95" t="n">
        <f aca="false">Financial!M72</f>
        <v>4.13713086337915</v>
      </c>
      <c r="H10" s="96" t="n">
        <f aca="false">Financial!N72</f>
        <v>4.01886570189881</v>
      </c>
      <c r="I10" s="97" t="n">
        <f aca="false">Financial!O72</f>
        <v>3.95285161801241</v>
      </c>
      <c r="J10" s="98" t="n">
        <f aca="false">I10</f>
        <v>3.95285161801241</v>
      </c>
      <c r="K10" s="98" t="n">
        <f aca="false">+J10</f>
        <v>3.95285161801241</v>
      </c>
      <c r="L10" s="98" t="n">
        <f aca="false">+K10</f>
        <v>3.95285161801241</v>
      </c>
      <c r="M10" s="98" t="n">
        <f aca="false">+L10</f>
        <v>3.95285161801241</v>
      </c>
      <c r="N10" s="98" t="n">
        <f aca="false">+M10</f>
        <v>3.95285161801241</v>
      </c>
      <c r="O10" s="98" t="n">
        <f aca="false">+N10</f>
        <v>3.95285161801241</v>
      </c>
      <c r="P10" s="98" t="n">
        <f aca="false">+O10</f>
        <v>3.95285161801241</v>
      </c>
      <c r="Q10" s="98" t="n">
        <f aca="false">+P10</f>
        <v>3.95285161801241</v>
      </c>
    </row>
    <row r="11" customFormat="false" ht="15" hidden="false" customHeight="false" outlineLevel="0" collapsed="false">
      <c r="A11" s="60" t="s">
        <v>60</v>
      </c>
      <c r="B11" s="88" t="n">
        <f aca="false">MAX(Financial!C65:L65)</f>
        <v>550.63</v>
      </c>
      <c r="C11" s="89" t="n">
        <f aca="false">MIN(Financial!C65:L65)</f>
        <v>5.85</v>
      </c>
      <c r="D11" s="89" t="n">
        <f aca="false">AVERAGE(Financial!C65:L65)</f>
        <v>110.123</v>
      </c>
      <c r="E11" s="90" t="n">
        <f aca="false">MEDIAN(Financial!C65:L65)</f>
        <v>64.98</v>
      </c>
      <c r="F11" s="76" t="n">
        <f aca="false">AVERAGE(Financial!J65:L65)</f>
        <v>257.963333333333</v>
      </c>
      <c r="G11" s="65" t="n">
        <f aca="false">-Financial!M65</f>
        <v>-257.963333333333</v>
      </c>
      <c r="H11" s="66" t="n">
        <f aca="false">-Financial!N65</f>
        <v>-307.141111111111</v>
      </c>
      <c r="I11" s="66" t="n">
        <f aca="false">-Financial!O65</f>
        <v>-371.911481481481</v>
      </c>
      <c r="J11" s="66" t="n">
        <f aca="false">-+(J4-I4)/J10</f>
        <v>-247.376591596405</v>
      </c>
      <c r="K11" s="66" t="n">
        <f aca="false">-+(K4-J4)/K10</f>
        <v>-187.845596256922</v>
      </c>
      <c r="L11" s="66" t="n">
        <f aca="false">-+(L4-K4)/L10</f>
        <v>-206.508194012678</v>
      </c>
      <c r="M11" s="66" t="n">
        <f aca="false">-+(M4-L4)/M10</f>
        <v>-227.024934542783</v>
      </c>
      <c r="N11" s="66" t="n">
        <f aca="false">-+(N4-M4)/N10</f>
        <v>-249.580028291715</v>
      </c>
      <c r="O11" s="66" t="n">
        <f aca="false">-+(O4-N4)/O10</f>
        <v>-181.088151516827</v>
      </c>
      <c r="P11" s="66" t="n">
        <f aca="false">-+(P4-O4)/P10</f>
        <v>-192.962370355633</v>
      </c>
      <c r="Q11" s="66" t="n">
        <f aca="false">-+(Q4-P4)/Q10</f>
        <v>-205.615199345633</v>
      </c>
    </row>
    <row r="12" customFormat="false" ht="15" hidden="false" customHeight="false" outlineLevel="0" collapsed="false">
      <c r="A12" s="60" t="s">
        <v>61</v>
      </c>
      <c r="B12" s="88" t="n">
        <f aca="false">MAX(Financial!C66:L66)</f>
        <v>169.35</v>
      </c>
      <c r="C12" s="89" t="n">
        <f aca="false">MIN(Financial!C66:L66)</f>
        <v>-381.34</v>
      </c>
      <c r="D12" s="89" t="n">
        <f aca="false">AVERAGE(Financial!C66:L66)</f>
        <v>-20.024</v>
      </c>
      <c r="E12" s="90" t="n">
        <f aca="false">MEDIAN(Financial!C66:L66)</f>
        <v>-1.32999999999999</v>
      </c>
      <c r="F12" s="76" t="n">
        <f aca="false">AVERAGE(Financial!J66:L66)</f>
        <v>-93.34</v>
      </c>
      <c r="G12" s="65" t="n">
        <f aca="false">+G9+G11</f>
        <v>158.308590734267</v>
      </c>
      <c r="H12" s="66" t="n">
        <f aca="false">+H9+H11</f>
        <v>-117.897727420899</v>
      </c>
      <c r="I12" s="66" t="n">
        <f aca="false">+I9+I11</f>
        <v>-147.284449820339</v>
      </c>
      <c r="J12" s="66" t="n">
        <f aca="false">+J9+J11</f>
        <v>11.0638648207935</v>
      </c>
      <c r="K12" s="66" t="n">
        <f aca="false">+K9+K11</f>
        <v>67.8594385173761</v>
      </c>
      <c r="L12" s="66" t="n">
        <f aca="false">+L9+L11</f>
        <v>74.6013235027934</v>
      </c>
      <c r="M12" s="66" t="n">
        <f aca="false">+M9+M11</f>
        <v>82.0130197060698</v>
      </c>
      <c r="N12" s="66" t="n">
        <f aca="false">+N9+N11</f>
        <v>90.161073362946</v>
      </c>
      <c r="O12" s="66" t="n">
        <f aca="false">+O9+O11</f>
        <v>144.728435377777</v>
      </c>
      <c r="P12" s="66" t="n">
        <f aca="false">+P9+P11</f>
        <v>154.218493669713</v>
      </c>
      <c r="Q12" s="66" t="n">
        <f aca="false">+Q9+Q11</f>
        <v>164.330829167572</v>
      </c>
    </row>
    <row r="13" customFormat="false" ht="15.75" hidden="false" customHeight="true" outlineLevel="0" collapsed="false">
      <c r="A13" s="99" t="s">
        <v>62</v>
      </c>
      <c r="B13" s="100"/>
      <c r="C13" s="101"/>
      <c r="D13" s="101"/>
      <c r="E13" s="102"/>
      <c r="F13" s="103"/>
      <c r="G13" s="104" t="n">
        <f aca="false">1/((1+$N$17)^G2)</f>
        <v>1</v>
      </c>
      <c r="H13" s="105" t="n">
        <f aca="false">1/((1+$N$17)^H2)</f>
        <v>0.868776988138042</v>
      </c>
      <c r="I13" s="105" t="n">
        <f aca="false">1/((1+$N$17)^I2)</f>
        <v>0.754773455118208</v>
      </c>
      <c r="J13" s="105" t="n">
        <f aca="false">1/((1+$N$17)^J2)</f>
        <v>0.655729809064141</v>
      </c>
      <c r="K13" s="105" t="n">
        <f aca="false">1/((1+$N$17)^K2)</f>
        <v>0.569682968551078</v>
      </c>
      <c r="L13" s="105" t="n">
        <f aca="false">1/((1+$N$17)^L2)</f>
        <v>0.494927453611344</v>
      </c>
      <c r="M13" s="105" t="n">
        <f aca="false">1/((1+$N$17)^M2)</f>
        <v>0.429981582495294</v>
      </c>
      <c r="N13" s="105" t="n">
        <f aca="false">1/((1+$N$17)^N2)</f>
        <v>0.373558104195091</v>
      </c>
      <c r="O13" s="105" t="n">
        <f aca="false">1/((1+$N$17)^O2)</f>
        <v>0.324538684657168</v>
      </c>
      <c r="P13" s="105" t="n">
        <f aca="false">1/((1+$N$17)^P2)</f>
        <v>0.281951740990736</v>
      </c>
      <c r="Q13" s="105" t="n">
        <f aca="false">1/((1+$N$17)^Q2)</f>
        <v>0.244953184338209</v>
      </c>
    </row>
    <row r="14" customFormat="false" ht="15.75" hidden="false" customHeight="true" outlineLevel="0" collapsed="false">
      <c r="A14" s="106" t="s">
        <v>63</v>
      </c>
      <c r="B14" s="107"/>
      <c r="C14" s="108"/>
      <c r="D14" s="108"/>
      <c r="E14" s="109"/>
      <c r="F14" s="110"/>
      <c r="G14" s="107"/>
      <c r="H14" s="108"/>
      <c r="I14" s="108"/>
      <c r="J14" s="108"/>
      <c r="K14" s="108"/>
      <c r="L14" s="108"/>
      <c r="M14" s="108"/>
      <c r="N14" s="108"/>
      <c r="O14" s="108"/>
      <c r="P14" s="108"/>
      <c r="Q14" s="111" t="n">
        <f aca="false">+Q12*(1+$N$18)/($N$17-$N$18)</f>
        <v>1398.34789378273</v>
      </c>
    </row>
    <row r="15" customFormat="false" ht="15.75" hidden="false" customHeight="true" outlineLevel="0" collapsed="false"/>
    <row r="16" customFormat="false" ht="15.75" hidden="false" customHeight="true" outlineLevel="0" collapsed="false">
      <c r="A16" s="112" t="s">
        <v>64</v>
      </c>
      <c r="B16" s="112"/>
      <c r="C16" s="112"/>
      <c r="D16" s="112"/>
      <c r="E16" s="112"/>
      <c r="F16" s="112"/>
      <c r="G16" s="112"/>
      <c r="H16" s="112" t="s">
        <v>65</v>
      </c>
      <c r="I16" s="112"/>
      <c r="J16" s="112"/>
      <c r="K16" s="112" t="s">
        <v>66</v>
      </c>
      <c r="L16" s="112"/>
      <c r="M16" s="112"/>
      <c r="N16" s="112"/>
      <c r="O16" s="112"/>
      <c r="P16" s="113" t="s">
        <v>67</v>
      </c>
      <c r="Q16" s="114" t="n">
        <f aca="false">Financial!P6</f>
        <v>13261.86</v>
      </c>
      <c r="R16" s="115"/>
      <c r="S16" s="115" t="s">
        <v>68</v>
      </c>
      <c r="T16" s="116" t="n">
        <f aca="false">Financial!P42</f>
        <v>735.9</v>
      </c>
    </row>
    <row r="17" customFormat="false" ht="15.75" hidden="false" customHeight="true" outlineLevel="0" collapsed="false">
      <c r="A17" s="117"/>
      <c r="B17" s="118" t="str">
        <f aca="false">B3</f>
        <v>Hi</v>
      </c>
      <c r="C17" s="118" t="str">
        <f aca="false">C3</f>
        <v>Low</v>
      </c>
      <c r="D17" s="118" t="str">
        <f aca="false">D3</f>
        <v>Avg</v>
      </c>
      <c r="E17" s="118" t="str">
        <f aca="false">E3</f>
        <v>Median</v>
      </c>
      <c r="F17" s="118" t="str">
        <f aca="false">F3</f>
        <v>Avg</v>
      </c>
      <c r="G17" s="119"/>
      <c r="H17" s="113" t="s">
        <v>65</v>
      </c>
      <c r="I17" s="115"/>
      <c r="J17" s="120" t="n">
        <f aca="false">J18+J19*(J20-J18)</f>
        <v>0.17</v>
      </c>
      <c r="K17" s="113" t="s">
        <v>69</v>
      </c>
      <c r="L17" s="115"/>
      <c r="M17" s="115"/>
      <c r="N17" s="121" t="n">
        <f aca="false">G22</f>
        <v>0.151043378972542</v>
      </c>
      <c r="O17" s="119" t="s">
        <v>70</v>
      </c>
      <c r="P17" s="122" t="s">
        <v>71</v>
      </c>
      <c r="Q17" s="123" t="n">
        <f aca="false">Financial!P4</f>
        <v>1797</v>
      </c>
      <c r="R17" s="124"/>
      <c r="S17" s="124"/>
      <c r="T17" s="125"/>
    </row>
    <row r="18" customFormat="false" ht="15.75" hidden="false" customHeight="true" outlineLevel="0" collapsed="false">
      <c r="A18" s="126" t="s">
        <v>72</v>
      </c>
      <c r="B18" s="127" t="n">
        <f aca="false">MAX(Financial!D76:L76)</f>
        <v>1.25566927553683</v>
      </c>
      <c r="C18" s="127" t="n">
        <f aca="false">MIN(Financial!D76:L76)</f>
        <v>0.138146102970661</v>
      </c>
      <c r="D18" s="127" t="n">
        <f aca="false">AVERAGE(Financial!D76:L76)</f>
        <v>0.82082678212529</v>
      </c>
      <c r="E18" s="127" t="n">
        <f aca="false">MEDIAN(Financial!D76:L76)</f>
        <v>0.970847432417358</v>
      </c>
      <c r="F18" s="127" t="n">
        <f aca="false">AVERAGE(Financial!J76:L76)</f>
        <v>0.364076877378897</v>
      </c>
      <c r="G18" s="128" t="n">
        <f aca="false">MAX(Financial!L76)/(1+MAX(Financial!L76))</f>
        <v>0.230868415356091</v>
      </c>
      <c r="H18" s="126" t="s">
        <v>73</v>
      </c>
      <c r="J18" s="129" t="n">
        <v>0.07</v>
      </c>
      <c r="K18" s="126" t="s">
        <v>74</v>
      </c>
      <c r="N18" s="130" t="n">
        <v>0.03</v>
      </c>
      <c r="O18" s="131"/>
    </row>
    <row r="19" customFormat="false" ht="15.75" hidden="false" customHeight="true" outlineLevel="0" collapsed="false">
      <c r="A19" s="126" t="s">
        <v>75</v>
      </c>
      <c r="B19" s="132" t="n">
        <f aca="false">MAX(Financial!D29:L29)</f>
        <v>0.162371043888792</v>
      </c>
      <c r="C19" s="132" t="n">
        <f aca="false">MIN(Financial!D29:L29)</f>
        <v>0.0336730534039951</v>
      </c>
      <c r="D19" s="132" t="n">
        <f aca="false">AVERAGE(Financial!D29:L29)</f>
        <v>0.103973644832274</v>
      </c>
      <c r="E19" s="132" t="n">
        <f aca="false">MEDIAN(Financial!D29:L29)</f>
        <v>0.104522934313569</v>
      </c>
      <c r="F19" s="132" t="n">
        <f aca="false">AVERAGE(Financial!J29:L29)</f>
        <v>0.0968557906685398</v>
      </c>
      <c r="G19" s="16" t="n">
        <f aca="false">F19+J22</f>
        <v>0.10185579066854</v>
      </c>
      <c r="H19" s="126" t="s">
        <v>76</v>
      </c>
      <c r="J19" s="133" t="n">
        <v>2</v>
      </c>
      <c r="K19" s="126" t="s">
        <v>77</v>
      </c>
      <c r="N19" s="134" t="n">
        <f aca="false">Q14*Q13</f>
        <v>342.529769394708</v>
      </c>
      <c r="O19" s="16" t="n">
        <f aca="false">N19/$N$22</f>
        <v>1.38934400691846</v>
      </c>
      <c r="P19" s="135" t="s">
        <v>78</v>
      </c>
      <c r="Q19" s="135"/>
      <c r="R19" s="135"/>
      <c r="S19" s="135"/>
      <c r="T19" s="136" t="s">
        <v>40</v>
      </c>
      <c r="U19" s="136"/>
      <c r="V19" s="136"/>
      <c r="W19" s="136"/>
    </row>
    <row r="20" customFormat="false" ht="15.75" hidden="false" customHeight="true" outlineLevel="0" collapsed="false">
      <c r="A20" s="126" t="s">
        <v>79</v>
      </c>
      <c r="B20" s="132"/>
      <c r="C20" s="132"/>
      <c r="D20" s="132"/>
      <c r="E20" s="132"/>
      <c r="F20" s="132"/>
      <c r="G20" s="16" t="n">
        <f aca="false">AVERAGE(Financial!J30:L30)</f>
        <v>0.137114026271128</v>
      </c>
      <c r="H20" s="122" t="s">
        <v>80</v>
      </c>
      <c r="I20" s="124"/>
      <c r="J20" s="137" t="n">
        <v>0.12</v>
      </c>
      <c r="K20" s="126" t="s">
        <v>81</v>
      </c>
      <c r="N20" s="134" t="n">
        <f aca="false">SUMPRODUCT(G12:Q12,G13:Q13)</f>
        <v>227.200876902413</v>
      </c>
      <c r="O20" s="16" t="n">
        <f aca="false">N20/$N$22</f>
        <v>0.921555452680201</v>
      </c>
      <c r="P20" s="138" t="s">
        <v>82</v>
      </c>
      <c r="Q20" s="24" t="n">
        <f aca="false">MAX(Financial!J91:L91,Financial!P91)</f>
        <v>43.2785652549698</v>
      </c>
      <c r="R20" s="139" t="n">
        <f aca="false">Financial!$O$22*Q20</f>
        <v>2634.54539123593</v>
      </c>
      <c r="S20" s="128" t="n">
        <f aca="false">R20/Financial!$P$4-1</f>
        <v>0.466079794789057</v>
      </c>
      <c r="T20" s="140" t="s">
        <v>83</v>
      </c>
      <c r="U20" s="24" t="n">
        <f aca="false">MIN(Financial!I91:L91,Financial!P91)</f>
        <v>16.6289656887121</v>
      </c>
      <c r="V20" s="139" t="n">
        <f aca="false">Financial!$O$22*U20</f>
        <v>1012.27396652633</v>
      </c>
      <c r="W20" s="128" t="n">
        <f aca="false">V20/Financial!$P$4-1</f>
        <v>-0.436686718683177</v>
      </c>
    </row>
    <row r="21" customFormat="false" ht="15.75" hidden="false" customHeight="true" outlineLevel="0" collapsed="false">
      <c r="A21" s="126" t="s">
        <v>84</v>
      </c>
      <c r="G21" s="16" t="n">
        <f aca="false">J17</f>
        <v>0.17</v>
      </c>
      <c r="K21" s="126" t="s">
        <v>85</v>
      </c>
      <c r="N21" s="134" t="n">
        <f aca="false">-Financial!L42+Financial!L47</f>
        <v>-323.19</v>
      </c>
      <c r="O21" s="16" t="n">
        <f aca="false">N21/$N$22</f>
        <v>-1.31089945959866</v>
      </c>
      <c r="P21" s="138" t="s">
        <v>86</v>
      </c>
      <c r="Q21" s="24" t="n">
        <f aca="false">MAX(Financial!J95:L95,Financial!P95)</f>
        <v>42.0586169078446</v>
      </c>
      <c r="R21" s="139" t="n">
        <f aca="false">((Q21*Financial!$O$13)-Financial!$O$42)/Financial!$O$5</f>
        <v>3319.91451651141</v>
      </c>
      <c r="S21" s="128" t="n">
        <f aca="false">R21/Financial!$P$4-1</f>
        <v>0.847476080418148</v>
      </c>
      <c r="T21" s="140" t="s">
        <v>87</v>
      </c>
      <c r="U21" s="24" t="n">
        <f aca="false">MIN(Financial!I95:L95,Financial!P95)</f>
        <v>17.8356683897773</v>
      </c>
      <c r="V21" s="139" t="n">
        <f aca="false">((U21*Financial!$O$13)-Financial!$O$42)/Financial!$O$5</f>
        <v>1345.85274491216</v>
      </c>
      <c r="W21" s="128" t="n">
        <f aca="false">V21/Financial!$P$4-1</f>
        <v>-0.25105579025478</v>
      </c>
    </row>
    <row r="22" customFormat="false" ht="15.75" hidden="false" customHeight="true" outlineLevel="0" collapsed="false">
      <c r="A22" s="122" t="s">
        <v>88</v>
      </c>
      <c r="B22" s="124"/>
      <c r="C22" s="124"/>
      <c r="D22" s="124"/>
      <c r="E22" s="124"/>
      <c r="F22" s="124"/>
      <c r="G22" s="40" t="n">
        <f aca="false">G21*(1-G18)+((G18*G19)*(1-G20))</f>
        <v>0.151043378972542</v>
      </c>
      <c r="H22" s="141" t="s">
        <v>89</v>
      </c>
      <c r="I22" s="142"/>
      <c r="J22" s="143" t="n">
        <v>0.005</v>
      </c>
      <c r="K22" s="126" t="s">
        <v>90</v>
      </c>
      <c r="N22" s="144" t="n">
        <f aca="false">SUM(N19:N21)</f>
        <v>246.540646297121</v>
      </c>
      <c r="O22" s="145" t="n">
        <f aca="false">SUM(O19:O21)</f>
        <v>1</v>
      </c>
      <c r="P22" s="146" t="s">
        <v>91</v>
      </c>
      <c r="Q22" s="147" t="n">
        <f aca="false">MAX(Financial!J96:L96,Financial!P96)</f>
        <v>3.56850911271541</v>
      </c>
      <c r="R22" s="148" t="n">
        <f aca="false">((Q22*Financial!$O$9)-Financial!$O$42)/Financial!$O$5</f>
        <v>3033.35811236314</v>
      </c>
      <c r="S22" s="149" t="n">
        <f aca="false">R22/Financial!$P$4-1</f>
        <v>0.688012305154781</v>
      </c>
      <c r="T22" s="150" t="s">
        <v>92</v>
      </c>
      <c r="U22" s="147" t="n">
        <f aca="false">MIN(Financial!I96:L96,Financial!P96)</f>
        <v>1.31821931014783</v>
      </c>
      <c r="V22" s="148" t="n">
        <f aca="false">((U22*Financial!$O$9)-Financial!$O$42)/Financial!$O$5</f>
        <v>1052.63366489184</v>
      </c>
      <c r="W22" s="149" t="n">
        <f aca="false">V22/Financial!$P$4-1</f>
        <v>-0.414227231557128</v>
      </c>
    </row>
    <row r="23" customFormat="false" ht="15" hidden="false" customHeight="false" outlineLevel="0" collapsed="false">
      <c r="K23" s="126" t="s">
        <v>93</v>
      </c>
      <c r="N23" s="144" t="n">
        <f aca="false">Financial!O5</f>
        <v>7.38</v>
      </c>
      <c r="O23" s="131"/>
      <c r="P23" s="126"/>
      <c r="S23" s="131"/>
    </row>
    <row r="24" customFormat="false" ht="15.75" hidden="false" customHeight="true" outlineLevel="0" collapsed="false">
      <c r="K24" s="151" t="s">
        <v>94</v>
      </c>
      <c r="L24" s="152"/>
      <c r="M24" s="152"/>
      <c r="N24" s="153" t="n">
        <f aca="false">+N22/N23</f>
        <v>33.4065916391763</v>
      </c>
      <c r="O24" s="154"/>
      <c r="P24" s="146" t="s">
        <v>95</v>
      </c>
      <c r="Q24" s="124"/>
      <c r="R24" s="155" t="n">
        <f aca="false">N24</f>
        <v>33.4065916391763</v>
      </c>
      <c r="S24" s="40" t="n">
        <f aca="false">R24/Financial!$P$4-1</f>
        <v>-0.981409798753936</v>
      </c>
    </row>
  </sheetData>
  <mergeCells count="7">
    <mergeCell ref="A1:Q1"/>
    <mergeCell ref="B2:E2"/>
    <mergeCell ref="A16:G16"/>
    <mergeCell ref="H16:J16"/>
    <mergeCell ref="K16:O16"/>
    <mergeCell ref="P19:S19"/>
    <mergeCell ref="T19:W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41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pane xSplit="1" ySplit="3" topLeftCell="Q115" activePane="bottomRight" state="frozen"/>
      <selection pane="topLeft" activeCell="A1" activeCellId="0" sqref="A1"/>
      <selection pane="topRight" activeCell="Q1" activeCellId="0" sqref="Q1"/>
      <selection pane="bottomLeft" activeCell="A115" activeCellId="0" sqref="A115"/>
      <selection pane="bottomRight" activeCell="X138" activeCellId="0" sqref="X138"/>
    </sheetView>
  </sheetViews>
  <sheetFormatPr defaultColWidth="8.859375" defaultRowHeight="12.75" zeroHeight="false" outlineLevelRow="1" outlineLevelCol="0"/>
  <cols>
    <col collapsed="false" customWidth="true" hidden="false" outlineLevel="0" max="1" min="1" style="156" width="24.14"/>
    <col collapsed="false" customWidth="true" hidden="false" outlineLevel="0" max="2" min="2" style="156" width="4.14"/>
    <col collapsed="false" customWidth="true" hidden="false" outlineLevel="0" max="9" min="3" style="156" width="9"/>
    <col collapsed="false" customWidth="true" hidden="false" outlineLevel="0" max="12" min="10" style="156" width="10.14"/>
    <col collapsed="false" customWidth="true" hidden="false" outlineLevel="0" max="13" min="13" style="156" width="9.57"/>
    <col collapsed="false" customWidth="true" hidden="false" outlineLevel="0" max="14" min="14" style="156" width="9.86"/>
    <col collapsed="false" customWidth="true" hidden="false" outlineLevel="0" max="15" min="15" style="156" width="9.29"/>
    <col collapsed="false" customWidth="true" hidden="false" outlineLevel="0" max="16" min="16" style="156" width="9.86"/>
    <col collapsed="false" customWidth="true" hidden="false" outlineLevel="0" max="17" min="17" style="156" width="9.14"/>
    <col collapsed="false" customWidth="true" hidden="false" outlineLevel="0" max="18" min="18" style="156" width="7"/>
    <col collapsed="false" customWidth="true" hidden="false" outlineLevel="0" max="19" min="19" style="156" width="6.85"/>
    <col collapsed="false" customWidth="true" hidden="false" outlineLevel="0" max="20" min="20" style="156" width="7.71"/>
    <col collapsed="false" customWidth="true" hidden="false" outlineLevel="0" max="23" min="21" style="156" width="7"/>
    <col collapsed="false" customWidth="false" hidden="false" outlineLevel="0" max="25" min="24" style="156" width="8.86"/>
    <col collapsed="false" customWidth="true" hidden="false" outlineLevel="0" max="27" min="26" style="156" width="12.57"/>
    <col collapsed="false" customWidth="false" hidden="false" outlineLevel="0" max="16384" min="28" style="156" width="8.86"/>
  </cols>
  <sheetData>
    <row r="1" customFormat="false" ht="13.5" hidden="false" customHeight="true" outlineLevel="0" collapsed="false">
      <c r="A1" s="157"/>
      <c r="B1" s="158" t="s">
        <v>96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</row>
    <row r="2" customFormat="false" ht="13.5" hidden="false" customHeight="true" outlineLevel="0" collapsed="false">
      <c r="A2" s="159" t="str">
        <f aca="false">CONCATENATE('Data Sheet'!$B$1,"           Mcap ",TEXT(ROUND($P$6,0),"0,000")," Cr        CMP ",TEXT($P$4,"##,##0.0"))</f>
        <v>GRAVITA INDIA LTD           Mcap 13,262 Cr        CMP 1,797.0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60" t="s">
        <v>97</v>
      </c>
      <c r="V2" s="160"/>
      <c r="W2" s="160"/>
    </row>
    <row r="3" customFormat="false" ht="26.25" hidden="false" customHeight="true" outlineLevel="0" collapsed="false">
      <c r="A3" s="161"/>
      <c r="B3" s="162"/>
      <c r="C3" s="161" t="n">
        <f aca="false">'Data Sheet'!B16</f>
        <v>42825</v>
      </c>
      <c r="D3" s="162" t="n">
        <f aca="false">'Data Sheet'!C16</f>
        <v>43190</v>
      </c>
      <c r="E3" s="162" t="n">
        <f aca="false">'Data Sheet'!D16</f>
        <v>43555</v>
      </c>
      <c r="F3" s="162" t="n">
        <f aca="false">'Data Sheet'!E16</f>
        <v>43921</v>
      </c>
      <c r="G3" s="162" t="n">
        <f aca="false">'Data Sheet'!F16</f>
        <v>44286</v>
      </c>
      <c r="H3" s="162" t="n">
        <f aca="false">'Data Sheet'!G16</f>
        <v>44651</v>
      </c>
      <c r="I3" s="162" t="n">
        <f aca="false">'Data Sheet'!H16</f>
        <v>45016</v>
      </c>
      <c r="J3" s="162" t="n">
        <f aca="false">'Data Sheet'!I16</f>
        <v>45382</v>
      </c>
      <c r="K3" s="162" t="n">
        <f aca="false">'Data Sheet'!J16</f>
        <v>45747</v>
      </c>
      <c r="L3" s="163" t="n">
        <f aca="false">'Data Sheet'!K16</f>
        <v>46112</v>
      </c>
      <c r="M3" s="164" t="n">
        <f aca="false">L3+365</f>
        <v>46477</v>
      </c>
      <c r="N3" s="165" t="n">
        <f aca="false">M3+365</f>
        <v>46842</v>
      </c>
      <c r="O3" s="166" t="n">
        <f aca="false">N3+365</f>
        <v>47207</v>
      </c>
      <c r="P3" s="167" t="s">
        <v>98</v>
      </c>
      <c r="Q3" s="168" t="s">
        <v>99</v>
      </c>
      <c r="R3" s="169" t="s">
        <v>100</v>
      </c>
      <c r="S3" s="169" t="s">
        <v>101</v>
      </c>
      <c r="T3" s="169" t="s">
        <v>102</v>
      </c>
      <c r="U3" s="168" t="n">
        <f aca="false">M3</f>
        <v>46477</v>
      </c>
      <c r="V3" s="169" t="n">
        <f aca="false">N3</f>
        <v>46842</v>
      </c>
      <c r="W3" s="170" t="n">
        <f aca="false">O3</f>
        <v>47207</v>
      </c>
    </row>
    <row r="4" customFormat="false" ht="12.75" hidden="false" customHeight="false" outlineLevel="0" collapsed="false">
      <c r="A4" s="171" t="s">
        <v>103</v>
      </c>
      <c r="B4" s="156" t="s">
        <v>104</v>
      </c>
      <c r="C4" s="172" t="n">
        <f aca="false">'Data Sheet'!B90</f>
        <v>50.95</v>
      </c>
      <c r="D4" s="173" t="n">
        <f aca="false">'Data Sheet'!C90</f>
        <v>155.85</v>
      </c>
      <c r="E4" s="173" t="n">
        <f aca="false">'Data Sheet'!D90</f>
        <v>81.15</v>
      </c>
      <c r="F4" s="173" t="n">
        <f aca="false">'Data Sheet'!E90</f>
        <v>33.45</v>
      </c>
      <c r="G4" s="173" t="n">
        <f aca="false">'Data Sheet'!F90</f>
        <v>90.5</v>
      </c>
      <c r="H4" s="173" t="n">
        <f aca="false">'Data Sheet'!G90</f>
        <v>317.75</v>
      </c>
      <c r="I4" s="173" t="n">
        <f aca="false">'Data Sheet'!H90</f>
        <v>484.65</v>
      </c>
      <c r="J4" s="173" t="n">
        <f aca="false">'Data Sheet'!I90</f>
        <v>998.75</v>
      </c>
      <c r="K4" s="173" t="n">
        <f aca="false">'Data Sheet'!J90</f>
        <v>1831.95</v>
      </c>
      <c r="L4" s="174" t="n">
        <f aca="false">'Data Sheet'!K90</f>
        <v>1318.1</v>
      </c>
      <c r="M4" s="175" t="n">
        <f aca="false">P4</f>
        <v>1797</v>
      </c>
      <c r="N4" s="176" t="n">
        <f aca="false">P4</f>
        <v>1797</v>
      </c>
      <c r="O4" s="177" t="n">
        <f aca="false">P4</f>
        <v>1797</v>
      </c>
      <c r="P4" s="178" t="n">
        <f aca="false">'Data Sheet'!B8</f>
        <v>1797</v>
      </c>
      <c r="Q4" s="172"/>
      <c r="R4" s="179" t="n">
        <f aca="false">((P4/I4)^(1/R8))-1</f>
        <v>0.522996788702691</v>
      </c>
      <c r="S4" s="179" t="n">
        <f aca="false">((P4/G4)^(1/S8))-1</f>
        <v>0.793661121156152</v>
      </c>
      <c r="T4" s="179" t="n">
        <f aca="false">IF(C4&gt;0,((P4/C4)^(1/T8))-1,"-")</f>
        <v>0.478128754165755</v>
      </c>
      <c r="U4" s="171"/>
      <c r="W4" s="180"/>
    </row>
    <row r="5" customFormat="false" ht="12.75" hidden="false" customHeight="false" outlineLevel="0" collapsed="false">
      <c r="A5" s="171" t="s">
        <v>93</v>
      </c>
      <c r="B5" s="156" t="s">
        <v>105</v>
      </c>
      <c r="C5" s="181" t="n">
        <f aca="false">'Data Sheet'!B93</f>
        <v>6.85</v>
      </c>
      <c r="D5" s="182" t="n">
        <f aca="false">'Data Sheet'!C93</f>
        <v>6.87</v>
      </c>
      <c r="E5" s="182" t="n">
        <f aca="false">'Data Sheet'!D93</f>
        <v>6.87</v>
      </c>
      <c r="F5" s="182" t="n">
        <f aca="false">'Data Sheet'!E93</f>
        <v>6.9</v>
      </c>
      <c r="G5" s="182" t="n">
        <f aca="false">'Data Sheet'!F93</f>
        <v>6.9</v>
      </c>
      <c r="H5" s="182" t="n">
        <f aca="false">'Data Sheet'!G93</f>
        <v>6.9</v>
      </c>
      <c r="I5" s="182" t="n">
        <f aca="false">'Data Sheet'!H93</f>
        <v>6.9</v>
      </c>
      <c r="J5" s="182" t="n">
        <f aca="false">'Data Sheet'!I93</f>
        <v>6.9</v>
      </c>
      <c r="K5" s="182" t="n">
        <f aca="false">'Data Sheet'!J93</f>
        <v>7.38</v>
      </c>
      <c r="L5" s="183" t="n">
        <f aca="false">'Data Sheet'!K93</f>
        <v>7.38</v>
      </c>
      <c r="M5" s="184" t="n">
        <f aca="false">L5</f>
        <v>7.38</v>
      </c>
      <c r="N5" s="185" t="n">
        <f aca="false">M5</f>
        <v>7.38</v>
      </c>
      <c r="O5" s="186" t="n">
        <f aca="false">N5</f>
        <v>7.38</v>
      </c>
      <c r="P5" s="187" t="n">
        <f aca="false">O5</f>
        <v>7.38</v>
      </c>
      <c r="Q5" s="181"/>
      <c r="R5" s="179" t="n">
        <f aca="false">((L5/I5)^(1/3))-1</f>
        <v>0.0226705672946941</v>
      </c>
      <c r="S5" s="179" t="n">
        <f aca="false">((L5/G5)^(1/5))-1</f>
        <v>0.0135413095734089</v>
      </c>
      <c r="T5" s="179" t="n">
        <f aca="false">IF(C5&gt;0,((L5/C5)^(1/9))-1,"-")</f>
        <v>0.00831493265097416</v>
      </c>
      <c r="U5" s="171"/>
      <c r="W5" s="180"/>
    </row>
    <row r="6" customFormat="false" ht="12.75" hidden="false" customHeight="false" outlineLevel="0" collapsed="false">
      <c r="A6" s="171" t="s">
        <v>67</v>
      </c>
      <c r="B6" s="156" t="s">
        <v>105</v>
      </c>
      <c r="C6" s="172" t="n">
        <f aca="false">C4*C5</f>
        <v>349.0075</v>
      </c>
      <c r="D6" s="173" t="n">
        <f aca="false">D4*D5</f>
        <v>1070.6895</v>
      </c>
      <c r="E6" s="173" t="n">
        <f aca="false">E4*E5</f>
        <v>557.5005</v>
      </c>
      <c r="F6" s="173" t="n">
        <f aca="false">F4*F5</f>
        <v>230.805</v>
      </c>
      <c r="G6" s="173" t="n">
        <f aca="false">G4*G5</f>
        <v>624.45</v>
      </c>
      <c r="H6" s="173" t="n">
        <f aca="false">H4*H5</f>
        <v>2192.475</v>
      </c>
      <c r="I6" s="173" t="n">
        <f aca="false">I4*I5</f>
        <v>3344.085</v>
      </c>
      <c r="J6" s="173" t="n">
        <f aca="false">J4*J5</f>
        <v>6891.375</v>
      </c>
      <c r="K6" s="173" t="n">
        <f aca="false">K4*K5</f>
        <v>13519.791</v>
      </c>
      <c r="L6" s="174" t="n">
        <f aca="false">L4*L5</f>
        <v>9727.578</v>
      </c>
      <c r="M6" s="188" t="n">
        <f aca="false">P6</f>
        <v>13261.86</v>
      </c>
      <c r="N6" s="189" t="n">
        <f aca="false">P6</f>
        <v>13261.86</v>
      </c>
      <c r="O6" s="190" t="n">
        <f aca="false">P6</f>
        <v>13261.86</v>
      </c>
      <c r="P6" s="178" t="n">
        <f aca="false">P4*P5</f>
        <v>13261.86</v>
      </c>
      <c r="Q6" s="172"/>
      <c r="R6" s="179" t="n">
        <f aca="false">((L6/I6)^(1/3))-1</f>
        <v>0.42749897369681</v>
      </c>
      <c r="S6" s="179" t="n">
        <f aca="false">((L6/G6)^(1/5))-1</f>
        <v>0.731814654852822</v>
      </c>
      <c r="T6" s="179" t="n">
        <f aca="false">IF(C6&gt;0,((L6/C6)^(1/9))-1,"-")</f>
        <v>0.447352915290146</v>
      </c>
      <c r="U6" s="171"/>
      <c r="W6" s="180"/>
    </row>
    <row r="7" customFormat="false" ht="13.5" hidden="false" customHeight="true" outlineLevel="0" collapsed="false">
      <c r="A7" s="191" t="s">
        <v>106</v>
      </c>
      <c r="B7" s="192" t="s">
        <v>105</v>
      </c>
      <c r="C7" s="193" t="n">
        <f aca="false">C6+C42</f>
        <v>514.6375</v>
      </c>
      <c r="D7" s="194" t="n">
        <f aca="false">D6+D42</f>
        <v>1303.2095</v>
      </c>
      <c r="E7" s="194" t="n">
        <f aca="false">E6+E42</f>
        <v>807.7805</v>
      </c>
      <c r="F7" s="194" t="n">
        <f aca="false">F6+F42</f>
        <v>510.105</v>
      </c>
      <c r="G7" s="194" t="n">
        <f aca="false">G6+G42</f>
        <v>885.54</v>
      </c>
      <c r="H7" s="194" t="n">
        <f aca="false">H6+H42</f>
        <v>2583.995</v>
      </c>
      <c r="I7" s="194" t="n">
        <f aca="false">I6+I42</f>
        <v>3691.805</v>
      </c>
      <c r="J7" s="194" t="n">
        <f aca="false">J6+J42</f>
        <v>7438.965</v>
      </c>
      <c r="K7" s="194" t="n">
        <f aca="false">K6+K42</f>
        <v>13805.741</v>
      </c>
      <c r="L7" s="195" t="n">
        <f aca="false">L6+L42</f>
        <v>10463.478</v>
      </c>
      <c r="M7" s="196" t="n">
        <f aca="false">M6+M42</f>
        <v>13818.0844151588</v>
      </c>
      <c r="N7" s="197" t="n">
        <f aca="false">N6+N42</f>
        <v>13916.9061110774</v>
      </c>
      <c r="O7" s="198" t="n">
        <f aca="false">O6+O42</f>
        <v>14056.4964438806</v>
      </c>
      <c r="P7" s="199" t="n">
        <f aca="false">P6+P42</f>
        <v>13997.76</v>
      </c>
      <c r="Q7" s="193"/>
      <c r="R7" s="200" t="n">
        <f aca="false">((L7/I7)^(1/3))-1</f>
        <v>0.415182460221211</v>
      </c>
      <c r="S7" s="200" t="n">
        <f aca="false">((L7/G7)^(1/5))-1</f>
        <v>0.638677823904684</v>
      </c>
      <c r="T7" s="200" t="n">
        <f aca="false">IF(C7&gt;0,((L7/C7)^(1/9))-1,"-")</f>
        <v>0.397502963228169</v>
      </c>
      <c r="U7" s="171"/>
      <c r="W7" s="180"/>
    </row>
    <row r="8" customFormat="false" ht="13.5" hidden="false" customHeight="true" outlineLevel="0" collapsed="false">
      <c r="A8" s="171"/>
      <c r="C8" s="171"/>
      <c r="L8" s="180"/>
      <c r="M8" s="201"/>
      <c r="N8" s="202"/>
      <c r="O8" s="203"/>
      <c r="P8" s="204"/>
      <c r="Q8" s="171"/>
      <c r="R8" s="205" t="n">
        <f aca="true">(TODAY()-I3)/365</f>
        <v>3.11506849315069</v>
      </c>
      <c r="S8" s="205" t="n">
        <f aca="true">(TODAY()-G3)/365</f>
        <v>5.11506849315069</v>
      </c>
      <c r="T8" s="205" t="n">
        <f aca="true">(TODAY()-C3)/365</f>
        <v>9.11780821917808</v>
      </c>
      <c r="U8" s="171"/>
      <c r="W8" s="180"/>
    </row>
    <row r="9" customFormat="false" ht="12.75" hidden="false" customHeight="false" outlineLevel="0" collapsed="false">
      <c r="A9" s="206" t="s">
        <v>107</v>
      </c>
      <c r="B9" s="207" t="s">
        <v>105</v>
      </c>
      <c r="C9" s="208" t="n">
        <f aca="false">'Data Sheet'!B17</f>
        <v>654.84</v>
      </c>
      <c r="D9" s="209" t="n">
        <f aca="false">'Data Sheet'!C17</f>
        <v>1017.4</v>
      </c>
      <c r="E9" s="209" t="n">
        <f aca="false">'Data Sheet'!D17</f>
        <v>1241.73</v>
      </c>
      <c r="F9" s="209" t="n">
        <f aca="false">'Data Sheet'!E17</f>
        <v>1347.8</v>
      </c>
      <c r="G9" s="209" t="n">
        <f aca="false">'Data Sheet'!F17</f>
        <v>1409.75</v>
      </c>
      <c r="H9" s="209" t="n">
        <f aca="false">'Data Sheet'!G17</f>
        <v>2215.87</v>
      </c>
      <c r="I9" s="209" t="n">
        <f aca="false">'Data Sheet'!H17</f>
        <v>2800.6</v>
      </c>
      <c r="J9" s="209" t="n">
        <f aca="false">'Data Sheet'!I17</f>
        <v>3160.75</v>
      </c>
      <c r="K9" s="209" t="n">
        <f aca="false">'Data Sheet'!J17</f>
        <v>3868.77</v>
      </c>
      <c r="L9" s="209" t="n">
        <f aca="false">'Data Sheet'!K17</f>
        <v>4265.27</v>
      </c>
      <c r="M9" s="210" t="n">
        <f aca="false">L9*(1+$U9)</f>
        <v>4907.32712528325</v>
      </c>
      <c r="N9" s="211" t="n">
        <f aca="false">M9*(1+$V9)</f>
        <v>5646.03401766847</v>
      </c>
      <c r="O9" s="212" t="n">
        <f aca="false">N9*(1+$W9)</f>
        <v>6495.93950328501</v>
      </c>
      <c r="P9" s="213" t="n">
        <f aca="false">SUM(I99:L99)</f>
        <v>4265.27</v>
      </c>
      <c r="Q9" s="214" t="n">
        <f aca="false">((O9/L9)^(1/3))-1</f>
        <v>0.150531414255898</v>
      </c>
      <c r="R9" s="215" t="n">
        <f aca="false">((L9/I9)^(1/3))-1</f>
        <v>0.150531414255898</v>
      </c>
      <c r="S9" s="215" t="n">
        <f aca="false">((L9/G9)^(1/5))-1</f>
        <v>0.247845694708874</v>
      </c>
      <c r="T9" s="215" t="n">
        <f aca="false">IF(C9&gt;0,((L9/C9)^(1/9))-1,"-")</f>
        <v>0.231468992001523</v>
      </c>
      <c r="U9" s="216" t="n">
        <f aca="false">R9</f>
        <v>0.150531414255898</v>
      </c>
      <c r="V9" s="217" t="n">
        <f aca="false">U9</f>
        <v>0.150531414255898</v>
      </c>
      <c r="W9" s="218" t="n">
        <f aca="false">V9</f>
        <v>0.150531414255898</v>
      </c>
    </row>
    <row r="10" customFormat="false" ht="12.75" hidden="false" customHeight="false" outlineLevel="0" collapsed="false">
      <c r="A10" s="171" t="s">
        <v>108</v>
      </c>
      <c r="C10" s="172"/>
      <c r="D10" s="179" t="n">
        <f aca="false">D9/C9-1</f>
        <v>0.553661963227659</v>
      </c>
      <c r="E10" s="179" t="n">
        <f aca="false">E9/D9-1</f>
        <v>0.2204934145862</v>
      </c>
      <c r="F10" s="179" t="n">
        <f aca="false">F9/E9-1</f>
        <v>0.0854211463039469</v>
      </c>
      <c r="G10" s="179" t="n">
        <f aca="false">G9/F9-1</f>
        <v>0.0459637928476035</v>
      </c>
      <c r="H10" s="179" t="n">
        <f aca="false">H9/G9-1</f>
        <v>0.571817698173435</v>
      </c>
      <c r="I10" s="179" t="n">
        <f aca="false">I9/H9-1</f>
        <v>0.263882809009554</v>
      </c>
      <c r="J10" s="179" t="n">
        <f aca="false">J9/I9-1</f>
        <v>0.128597443404985</v>
      </c>
      <c r="K10" s="179" t="n">
        <f aca="false">K9/J9-1</f>
        <v>0.22400379656727</v>
      </c>
      <c r="L10" s="179" t="n">
        <f aca="false">L9/K9-1</f>
        <v>0.102487353861822</v>
      </c>
      <c r="M10" s="219" t="n">
        <f aca="false">M9/L9-1</f>
        <v>0.150531414255898</v>
      </c>
      <c r="N10" s="220" t="n">
        <f aca="false">N9/M9-1</f>
        <v>0.150531414255898</v>
      </c>
      <c r="O10" s="221" t="n">
        <f aca="false">O9/N9-1</f>
        <v>0.150531414255898</v>
      </c>
      <c r="P10" s="178"/>
      <c r="Q10" s="222"/>
      <c r="R10" s="179"/>
      <c r="S10" s="179"/>
      <c r="T10" s="179"/>
      <c r="U10" s="171"/>
      <c r="W10" s="180"/>
    </row>
    <row r="11" customFormat="false" ht="12.75" hidden="false" customHeight="false" outlineLevel="0" collapsed="false">
      <c r="A11" s="171" t="s">
        <v>109</v>
      </c>
      <c r="B11" s="156" t="s">
        <v>105</v>
      </c>
      <c r="C11" s="223" t="n">
        <f aca="false">C9-SUM('Data Sheet'!B18,-1*'Data Sheet'!B19)</f>
        <v>139.63</v>
      </c>
      <c r="D11" s="173" t="n">
        <f aca="false">D9-SUM('Data Sheet'!C18,-1*'Data Sheet'!C19)</f>
        <v>208.86</v>
      </c>
      <c r="E11" s="173" t="n">
        <f aca="false">E9-SUM('Data Sheet'!D18,-1*'Data Sheet'!D19)</f>
        <v>206.29</v>
      </c>
      <c r="F11" s="173" t="n">
        <f aca="false">F9-SUM('Data Sheet'!E18,-1*'Data Sheet'!E19)</f>
        <v>256.73</v>
      </c>
      <c r="G11" s="173" t="n">
        <f aca="false">G9-SUM('Data Sheet'!F18,-1*'Data Sheet'!F19)</f>
        <v>277.34</v>
      </c>
      <c r="H11" s="173" t="n">
        <f aca="false">H9-SUM('Data Sheet'!G18,-1*'Data Sheet'!G19)</f>
        <v>472.34</v>
      </c>
      <c r="I11" s="173" t="n">
        <f aca="false">I9-SUM('Data Sheet'!H18,-1*'Data Sheet'!H19)</f>
        <v>518.58</v>
      </c>
      <c r="J11" s="173" t="n">
        <f aca="false">J9-SUM('Data Sheet'!I18,-1*'Data Sheet'!I19)</f>
        <v>599.56</v>
      </c>
      <c r="K11" s="173" t="n">
        <f aca="false">K9-SUM('Data Sheet'!J18,-1*'Data Sheet'!J19)</f>
        <v>695.97</v>
      </c>
      <c r="L11" s="173" t="n">
        <f aca="false">L9-SUM('Data Sheet'!K18,-1*'Data Sheet'!K19)</f>
        <v>847.320000000001</v>
      </c>
      <c r="M11" s="201"/>
      <c r="N11" s="202"/>
      <c r="O11" s="203"/>
      <c r="P11" s="178"/>
      <c r="Q11" s="172"/>
      <c r="R11" s="224"/>
      <c r="S11" s="224"/>
      <c r="T11" s="224"/>
      <c r="U11" s="171"/>
      <c r="W11" s="180"/>
    </row>
    <row r="12" customFormat="false" ht="12.75" hidden="false" customHeight="false" outlineLevel="0" collapsed="false">
      <c r="A12" s="171" t="s">
        <v>108</v>
      </c>
      <c r="C12" s="223"/>
      <c r="D12" s="179" t="n">
        <f aca="false">D11/C11-1</f>
        <v>0.495810355940701</v>
      </c>
      <c r="E12" s="179" t="n">
        <f aca="false">E11/D11-1</f>
        <v>-0.012304893229915</v>
      </c>
      <c r="F12" s="179" t="n">
        <f aca="false">F11/E11-1</f>
        <v>0.244510155606186</v>
      </c>
      <c r="H12" s="179" t="n">
        <f aca="false">H11/G11-1</f>
        <v>0.70310809836302</v>
      </c>
      <c r="I12" s="179" t="n">
        <f aca="false">I11/H11-1</f>
        <v>0.0978955836897151</v>
      </c>
      <c r="J12" s="179" t="n">
        <f aca="false">J11/I11-1</f>
        <v>0.156157198503606</v>
      </c>
      <c r="K12" s="179" t="n">
        <f aca="false">K11/J11-1</f>
        <v>0.160801254253119</v>
      </c>
      <c r="L12" s="179" t="n">
        <f aca="false">L11/K11-1</f>
        <v>0.21746627009785</v>
      </c>
      <c r="M12" s="219"/>
      <c r="N12" s="220"/>
      <c r="O12" s="221"/>
      <c r="P12" s="178"/>
      <c r="Q12" s="172"/>
      <c r="R12" s="224"/>
      <c r="S12" s="224"/>
      <c r="T12" s="224"/>
      <c r="U12" s="171"/>
      <c r="W12" s="180"/>
    </row>
    <row r="13" customFormat="false" ht="12.75" hidden="false" customHeight="false" outlineLevel="0" collapsed="false">
      <c r="A13" s="171" t="s">
        <v>8</v>
      </c>
      <c r="B13" s="156" t="s">
        <v>105</v>
      </c>
      <c r="C13" s="223" t="n">
        <f aca="false">C9-SUM('Data Sheet'!B18,'Data Sheet'!B20:B24,-1*'Data Sheet'!B19)</f>
        <v>58.51</v>
      </c>
      <c r="D13" s="173" t="n">
        <f aca="false">D9-SUM('Data Sheet'!C18,'Data Sheet'!C20:C24,-1*'Data Sheet'!C19)</f>
        <v>91.61</v>
      </c>
      <c r="E13" s="173" t="n">
        <f aca="false">E9-SUM('Data Sheet'!D18,'Data Sheet'!D20:D24,-1*'Data Sheet'!D19)</f>
        <v>61.8600000000001</v>
      </c>
      <c r="F13" s="173" t="n">
        <f aca="false">F9-SUM('Data Sheet'!E18,'Data Sheet'!E20:E24,-1*'Data Sheet'!E19)</f>
        <v>108.73</v>
      </c>
      <c r="G13" s="173" t="n">
        <f aca="false">G9-SUM('Data Sheet'!F18,'Data Sheet'!F20:F24,-1*'Data Sheet'!F19)</f>
        <v>121.27</v>
      </c>
      <c r="H13" s="173" t="n">
        <f aca="false">H9-SUM('Data Sheet'!G18,'Data Sheet'!G20:G24,-1*'Data Sheet'!G19)</f>
        <v>217.48</v>
      </c>
      <c r="I13" s="173" t="n">
        <f aca="false">I9-SUM('Data Sheet'!H18,'Data Sheet'!H20:H24,-1*'Data Sheet'!H19)</f>
        <v>206.99</v>
      </c>
      <c r="J13" s="173" t="n">
        <f aca="false">J9-SUM('Data Sheet'!I18,'Data Sheet'!I20:I24,-1*'Data Sheet'!I19)</f>
        <v>287.45</v>
      </c>
      <c r="K13" s="173" t="n">
        <f aca="false">K9-SUM('Data Sheet'!J18,'Data Sheet'!J20:J24,-1*'Data Sheet'!J19)</f>
        <v>328.25</v>
      </c>
      <c r="L13" s="173" t="n">
        <f aca="false">L9-SUM('Data Sheet'!K18,'Data Sheet'!K20:K24,-1*'Data Sheet'!K19)</f>
        <v>434.93</v>
      </c>
      <c r="M13" s="175" t="n">
        <f aca="false">M9*$U27</f>
        <v>454.352719246523</v>
      </c>
      <c r="N13" s="176" t="n">
        <f aca="false">N9*$V27</f>
        <v>522.747076645715</v>
      </c>
      <c r="O13" s="177" t="n">
        <f aca="false">O9*$W27</f>
        <v>601.43693339133</v>
      </c>
      <c r="P13" s="225" t="n">
        <f aca="false">SUM(I101:L101)</f>
        <v>434.93</v>
      </c>
      <c r="Q13" s="222" t="n">
        <f aca="false">((O13/L13)^(1/3))-1</f>
        <v>0.114098466322293</v>
      </c>
      <c r="R13" s="179" t="n">
        <f aca="false">((L13/I13)^(1/3))-1</f>
        <v>0.280825602414158</v>
      </c>
      <c r="S13" s="179" t="n">
        <f aca="false">((L13/G13)^(1/5))-1</f>
        <v>0.291020675429418</v>
      </c>
      <c r="T13" s="179" t="n">
        <f aca="false">IF(C13&gt;0,((L13/C13)^(1/9))-1,"-")</f>
        <v>0.249679965555185</v>
      </c>
      <c r="U13" s="171"/>
      <c r="W13" s="180"/>
    </row>
    <row r="14" customFormat="false" ht="12.75" hidden="false" customHeight="false" outlineLevel="0" collapsed="false">
      <c r="A14" s="171" t="s">
        <v>108</v>
      </c>
      <c r="C14" s="223"/>
      <c r="D14" s="179" t="n">
        <f aca="false">D13/C13-1</f>
        <v>0.565715262348317</v>
      </c>
      <c r="E14" s="179" t="n">
        <f aca="false">E13/D13-1</f>
        <v>-0.324746206745987</v>
      </c>
      <c r="F14" s="179" t="n">
        <f aca="false">F13/E13-1</f>
        <v>0.757678629162622</v>
      </c>
      <c r="G14" s="179" t="n">
        <f aca="false">G13/F13-1</f>
        <v>0.115331555228547</v>
      </c>
      <c r="H14" s="179" t="n">
        <f aca="false">H13/G13-1</f>
        <v>0.793353673620846</v>
      </c>
      <c r="I14" s="179" t="n">
        <f aca="false">I13/H13-1</f>
        <v>-0.048234320397279</v>
      </c>
      <c r="J14" s="179" t="n">
        <f aca="false">J13/I13-1</f>
        <v>0.388714430648824</v>
      </c>
      <c r="K14" s="179" t="n">
        <f aca="false">K13/J13-1</f>
        <v>0.141937728300575</v>
      </c>
      <c r="L14" s="179" t="n">
        <f aca="false">L13/K13-1</f>
        <v>0.324996191926886</v>
      </c>
      <c r="M14" s="219" t="n">
        <f aca="false">M13/L13-1</f>
        <v>0.0446571155048452</v>
      </c>
      <c r="N14" s="220" t="n">
        <f aca="false">N13/M13-1</f>
        <v>0.150531414255898</v>
      </c>
      <c r="O14" s="221" t="n">
        <f aca="false">O13/N13-1</f>
        <v>0.150531414255898</v>
      </c>
      <c r="P14" s="225"/>
      <c r="Q14" s="222"/>
      <c r="R14" s="179"/>
      <c r="S14" s="179"/>
      <c r="T14" s="179"/>
      <c r="U14" s="171"/>
      <c r="W14" s="180"/>
    </row>
    <row r="15" customFormat="false" ht="12.75" hidden="false" customHeight="false" outlineLevel="1" collapsed="false">
      <c r="A15" s="226" t="s">
        <v>110</v>
      </c>
      <c r="B15" s="156" t="s">
        <v>105</v>
      </c>
      <c r="C15" s="223" t="n">
        <f aca="false">'Data Sheet'!B25</f>
        <v>1.45</v>
      </c>
      <c r="D15" s="227" t="n">
        <f aca="false">'Data Sheet'!C25</f>
        <v>1.59</v>
      </c>
      <c r="E15" s="227" t="n">
        <f aca="false">'Data Sheet'!D25</f>
        <v>5.45</v>
      </c>
      <c r="F15" s="227" t="n">
        <f aca="false">'Data Sheet'!E25</f>
        <v>-12.24</v>
      </c>
      <c r="G15" s="227" t="n">
        <f aca="false">'Data Sheet'!F25</f>
        <v>0.9</v>
      </c>
      <c r="H15" s="227" t="n">
        <f aca="false">'Data Sheet'!G25</f>
        <v>5.71</v>
      </c>
      <c r="I15" s="227" t="n">
        <f aca="false">'Data Sheet'!H25</f>
        <v>88.06</v>
      </c>
      <c r="J15" s="227" t="n">
        <f aca="false">'Data Sheet'!I25</f>
        <v>76.45</v>
      </c>
      <c r="K15" s="227" t="n">
        <f aca="false">'Data Sheet'!J25</f>
        <v>110.73</v>
      </c>
      <c r="L15" s="227" t="n">
        <f aca="false">'Data Sheet'!K25</f>
        <v>76.93</v>
      </c>
      <c r="M15" s="188" t="n">
        <f aca="false">AVERAGE(J15:L15)</f>
        <v>88.0366666666667</v>
      </c>
      <c r="N15" s="189" t="n">
        <f aca="false">AVERAGE(K15:M15)</f>
        <v>91.8988888888889</v>
      </c>
      <c r="O15" s="190" t="n">
        <f aca="false">AVERAGE(L15:N15)</f>
        <v>85.6218518518519</v>
      </c>
      <c r="P15" s="225" t="n">
        <f aca="false">SUM(I114:L114)</f>
        <v>76.93</v>
      </c>
      <c r="Q15" s="223"/>
      <c r="R15" s="224"/>
      <c r="S15" s="224"/>
      <c r="U15" s="228"/>
      <c r="W15" s="180"/>
    </row>
    <row r="16" customFormat="false" ht="12.75" hidden="false" customHeight="false" outlineLevel="1" collapsed="false">
      <c r="A16" s="226" t="s">
        <v>111</v>
      </c>
      <c r="B16" s="156" t="s">
        <v>105</v>
      </c>
      <c r="C16" s="223" t="n">
        <f aca="false">'Data Sheet'!B26</f>
        <v>5.85</v>
      </c>
      <c r="D16" s="227" t="n">
        <f aca="false">'Data Sheet'!C26</f>
        <v>8.69</v>
      </c>
      <c r="E16" s="227" t="n">
        <f aca="false">'Data Sheet'!D26</f>
        <v>11.56</v>
      </c>
      <c r="F16" s="227" t="n">
        <f aca="false">'Data Sheet'!E26</f>
        <v>18.13</v>
      </c>
      <c r="G16" s="227" t="n">
        <f aca="false">'Data Sheet'!F26</f>
        <v>20.3</v>
      </c>
      <c r="H16" s="227" t="n">
        <f aca="false">'Data Sheet'!G26</f>
        <v>20.56</v>
      </c>
      <c r="I16" s="227" t="n">
        <f aca="false">'Data Sheet'!H26</f>
        <v>23.96</v>
      </c>
      <c r="J16" s="227" t="n">
        <f aca="false">'Data Sheet'!I26</f>
        <v>37.99</v>
      </c>
      <c r="K16" s="227" t="n">
        <f aca="false">'Data Sheet'!J26</f>
        <v>29.09</v>
      </c>
      <c r="L16" s="227" t="n">
        <f aca="false">'Data Sheet'!K26</f>
        <v>38.83</v>
      </c>
      <c r="M16" s="188" t="n">
        <f aca="false">L16*(1+$U16)</f>
        <v>58.5965701009462</v>
      </c>
      <c r="N16" s="189" t="n">
        <f aca="false">M16*(1+$V16)</f>
        <v>88.4253934482385</v>
      </c>
      <c r="O16" s="190" t="n">
        <f aca="false">N16*(1+$W16)</f>
        <v>133.438701156154</v>
      </c>
      <c r="P16" s="225" t="n">
        <f aca="false">SUM(I115:L115)</f>
        <v>38.83</v>
      </c>
      <c r="Q16" s="223"/>
      <c r="R16" s="179"/>
      <c r="S16" s="179"/>
      <c r="T16" s="179"/>
      <c r="U16" s="216" t="n">
        <f aca="false">R45</f>
        <v>0.509054084495138</v>
      </c>
      <c r="V16" s="217" t="n">
        <f aca="false">U16</f>
        <v>0.509054084495138</v>
      </c>
      <c r="W16" s="218" t="n">
        <f aca="false">V16</f>
        <v>0.509054084495138</v>
      </c>
    </row>
    <row r="17" customFormat="false" ht="12.75" hidden="false" customHeight="false" outlineLevel="1" collapsed="false">
      <c r="A17" s="226" t="s">
        <v>112</v>
      </c>
      <c r="B17" s="156" t="s">
        <v>105</v>
      </c>
      <c r="C17" s="223" t="n">
        <f aca="false">'Data Sheet'!B27</f>
        <v>10.58</v>
      </c>
      <c r="D17" s="227" t="n">
        <f aca="false">'Data Sheet'!C27</f>
        <v>20.32</v>
      </c>
      <c r="E17" s="227" t="n">
        <f aca="false">'Data Sheet'!D27</f>
        <v>26.16</v>
      </c>
      <c r="F17" s="227" t="n">
        <f aca="false">'Data Sheet'!E27</f>
        <v>31.43</v>
      </c>
      <c r="G17" s="227" t="n">
        <f aca="false">'Data Sheet'!F27</f>
        <v>30.97</v>
      </c>
      <c r="H17" s="227" t="n">
        <f aca="false">'Data Sheet'!G27</f>
        <v>37.99</v>
      </c>
      <c r="I17" s="227" t="n">
        <f aca="false">'Data Sheet'!H27</f>
        <v>43.5</v>
      </c>
      <c r="J17" s="227" t="n">
        <f aca="false">'Data Sheet'!I27</f>
        <v>51.76</v>
      </c>
      <c r="K17" s="227" t="n">
        <f aca="false">'Data Sheet'!J27</f>
        <v>46.43</v>
      </c>
      <c r="L17" s="227" t="n">
        <f aca="false">'Data Sheet'!K27</f>
        <v>24.78</v>
      </c>
      <c r="M17" s="188" t="n">
        <f aca="false">L17*(1+$U17)</f>
        <v>27.258</v>
      </c>
      <c r="N17" s="189" t="n">
        <f aca="false">M17*(1+$V17)</f>
        <v>29.9838</v>
      </c>
      <c r="O17" s="190" t="n">
        <f aca="false">N17*(1+$W17)</f>
        <v>32.98218</v>
      </c>
      <c r="P17" s="225" t="n">
        <f aca="false">SUM(I116:L116)</f>
        <v>24.78</v>
      </c>
      <c r="Q17" s="223"/>
      <c r="R17" s="224"/>
      <c r="S17" s="224"/>
      <c r="U17" s="216" t="n">
        <v>0.1</v>
      </c>
      <c r="V17" s="217" t="n">
        <f aca="false">U17</f>
        <v>0.1</v>
      </c>
      <c r="W17" s="218" t="n">
        <f aca="false">V17</f>
        <v>0.1</v>
      </c>
    </row>
    <row r="18" customFormat="false" ht="12.75" hidden="false" customHeight="false" outlineLevel="1" collapsed="false">
      <c r="A18" s="226" t="s">
        <v>113</v>
      </c>
      <c r="B18" s="156" t="s">
        <v>105</v>
      </c>
      <c r="C18" s="223" t="n">
        <f aca="false">'Data Sheet'!B28</f>
        <v>43.53</v>
      </c>
      <c r="D18" s="227" t="n">
        <f aca="false">'Data Sheet'!C28</f>
        <v>64.19</v>
      </c>
      <c r="E18" s="227" t="n">
        <f aca="false">'Data Sheet'!D28</f>
        <v>29.59</v>
      </c>
      <c r="F18" s="227" t="n">
        <f aca="false">'Data Sheet'!E28</f>
        <v>46.93</v>
      </c>
      <c r="G18" s="227" t="n">
        <f aca="false">'Data Sheet'!F28</f>
        <v>70.9</v>
      </c>
      <c r="H18" s="227" t="n">
        <f aca="false">'Data Sheet'!G28</f>
        <v>164.64</v>
      </c>
      <c r="I18" s="227" t="n">
        <f aca="false">'Data Sheet'!H28</f>
        <v>227.59</v>
      </c>
      <c r="J18" s="227" t="n">
        <f aca="false">'Data Sheet'!I28</f>
        <v>274.15</v>
      </c>
      <c r="K18" s="227" t="n">
        <f aca="false">'Data Sheet'!J28</f>
        <v>363.46</v>
      </c>
      <c r="L18" s="227" t="n">
        <f aca="false">'Data Sheet'!K28</f>
        <v>448.25</v>
      </c>
      <c r="M18" s="175" t="n">
        <f aca="false">M13+M15-M16-M17</f>
        <v>456.534815812243</v>
      </c>
      <c r="N18" s="176" t="n">
        <f aca="false">N13+N15-N16-N17</f>
        <v>496.236772086365</v>
      </c>
      <c r="O18" s="177" t="n">
        <f aca="false">O13+O15-O16-O17</f>
        <v>520.637904087028</v>
      </c>
      <c r="P18" s="225" t="n">
        <f aca="false">P13+P15-P16-P17</f>
        <v>448.25</v>
      </c>
      <c r="Q18" s="223"/>
      <c r="R18" s="224"/>
      <c r="S18" s="224"/>
      <c r="U18" s="171"/>
      <c r="W18" s="180"/>
    </row>
    <row r="19" customFormat="false" ht="12.75" hidden="false" customHeight="false" outlineLevel="1" collapsed="false">
      <c r="A19" s="226" t="s">
        <v>114</v>
      </c>
      <c r="B19" s="156" t="s">
        <v>105</v>
      </c>
      <c r="C19" s="223" t="n">
        <f aca="false">'Data Sheet'!B29</f>
        <v>8.38</v>
      </c>
      <c r="D19" s="227" t="n">
        <f aca="false">'Data Sheet'!C29</f>
        <v>16.55</v>
      </c>
      <c r="E19" s="227" t="n">
        <f aca="false">'Data Sheet'!D29</f>
        <v>10.2</v>
      </c>
      <c r="F19" s="227" t="n">
        <f aca="false">'Data Sheet'!E29</f>
        <v>10.35</v>
      </c>
      <c r="G19" s="227" t="n">
        <f aca="false">'Data Sheet'!F29</f>
        <v>14.08</v>
      </c>
      <c r="H19" s="227" t="n">
        <f aca="false">'Data Sheet'!G29</f>
        <v>16.19</v>
      </c>
      <c r="I19" s="227" t="n">
        <f aca="false">'Data Sheet'!H29</f>
        <v>23.5</v>
      </c>
      <c r="J19" s="227" t="n">
        <f aca="false">'Data Sheet'!I29</f>
        <v>31.87</v>
      </c>
      <c r="K19" s="227" t="n">
        <f aca="false">'Data Sheet'!J29</f>
        <v>50.56</v>
      </c>
      <c r="L19" s="227" t="n">
        <f aca="false">'Data Sheet'!K29</f>
        <v>69.92</v>
      </c>
      <c r="M19" s="175" t="n">
        <f aca="false">M18*$U30</f>
        <v>62.5973267289645</v>
      </c>
      <c r="N19" s="176" t="n">
        <f aca="false">N18*$V30</f>
        <v>68.0410218045495</v>
      </c>
      <c r="O19" s="177" t="n">
        <f aca="false">O18*$W30</f>
        <v>71.3867592587337</v>
      </c>
      <c r="P19" s="225" t="n">
        <f aca="false">P18-P20</f>
        <v>69.45</v>
      </c>
      <c r="Q19" s="223"/>
      <c r="R19" s="224"/>
      <c r="S19" s="224"/>
      <c r="U19" s="171"/>
      <c r="W19" s="180"/>
    </row>
    <row r="20" customFormat="false" ht="12.75" hidden="false" customHeight="false" outlineLevel="0" collapsed="false">
      <c r="A20" s="226" t="s">
        <v>11</v>
      </c>
      <c r="B20" s="156" t="s">
        <v>105</v>
      </c>
      <c r="C20" s="223" t="n">
        <f aca="false">'Data Sheet'!B30</f>
        <v>32.7</v>
      </c>
      <c r="D20" s="173" t="n">
        <f aca="false">'Data Sheet'!C30</f>
        <v>44.09</v>
      </c>
      <c r="E20" s="173" t="n">
        <f aca="false">'Data Sheet'!D30</f>
        <v>15.49</v>
      </c>
      <c r="F20" s="173" t="n">
        <f aca="false">'Data Sheet'!E30</f>
        <v>33.18</v>
      </c>
      <c r="G20" s="173" t="n">
        <f aca="false">'Data Sheet'!F30</f>
        <v>52.47</v>
      </c>
      <c r="H20" s="173" t="n">
        <f aca="false">'Data Sheet'!G30</f>
        <v>139.39</v>
      </c>
      <c r="I20" s="173" t="n">
        <f aca="false">'Data Sheet'!H30</f>
        <v>201.1</v>
      </c>
      <c r="J20" s="173" t="n">
        <f aca="false">'Data Sheet'!I30</f>
        <v>239.19</v>
      </c>
      <c r="K20" s="173" t="n">
        <f aca="false">'Data Sheet'!J30</f>
        <v>312.39</v>
      </c>
      <c r="L20" s="173" t="n">
        <f aca="false">'Data Sheet'!K30</f>
        <v>378.8</v>
      </c>
      <c r="M20" s="175" t="n">
        <f aca="false">M18-M19</f>
        <v>393.937489083279</v>
      </c>
      <c r="N20" s="176" t="n">
        <f aca="false">N18-N19</f>
        <v>428.195750281815</v>
      </c>
      <c r="O20" s="177" t="n">
        <f aca="false">O18-O19</f>
        <v>449.251144828294</v>
      </c>
      <c r="P20" s="225" t="n">
        <f aca="false">SUM(I105:L105)</f>
        <v>378.8</v>
      </c>
      <c r="Q20" s="222" t="n">
        <f aca="false">((O20/L20)^(1/3))-1</f>
        <v>0.0585053905591266</v>
      </c>
      <c r="R20" s="179" t="n">
        <f aca="false">((L20/I20)^(1/3))-1</f>
        <v>0.234997181854038</v>
      </c>
      <c r="S20" s="179" t="n">
        <f aca="false">((L20/G20)^(1/5))-1</f>
        <v>0.484908800735531</v>
      </c>
      <c r="T20" s="179" t="n">
        <f aca="false">IF(C20&gt;0,((L20/C20)^(1/9))-1,"-")</f>
        <v>0.312825225878883</v>
      </c>
      <c r="U20" s="171"/>
      <c r="W20" s="180"/>
    </row>
    <row r="21" customFormat="false" ht="12.75" hidden="false" customHeight="false" outlineLevel="0" collapsed="false">
      <c r="A21" s="226" t="s">
        <v>108</v>
      </c>
      <c r="C21" s="223"/>
      <c r="D21" s="179" t="n">
        <f aca="false">D20/C20-1</f>
        <v>0.348318042813456</v>
      </c>
      <c r="E21" s="179" t="n">
        <f aca="false">E20/D20-1</f>
        <v>-0.648673168518939</v>
      </c>
      <c r="F21" s="179" t="n">
        <f aca="false">F20/E20-1</f>
        <v>1.14202711426727</v>
      </c>
      <c r="G21" s="179" t="n">
        <f aca="false">G20/F20-1</f>
        <v>0.581374321880651</v>
      </c>
      <c r="H21" s="179" t="n">
        <f aca="false">H20/G20-1</f>
        <v>1.65656565656566</v>
      </c>
      <c r="I21" s="179" t="n">
        <f aca="false">I20/H20-1</f>
        <v>0.442714685415023</v>
      </c>
      <c r="J21" s="179" t="n">
        <f aca="false">J20/I20-1</f>
        <v>0.189408254599702</v>
      </c>
      <c r="K21" s="179" t="n">
        <f aca="false">K20/J20-1</f>
        <v>0.306032860905556</v>
      </c>
      <c r="L21" s="179" t="n">
        <f aca="false">L20/K20-1</f>
        <v>0.212586830564359</v>
      </c>
      <c r="M21" s="219" t="n">
        <f aca="false">M20/L20-1</f>
        <v>0.0399616924056987</v>
      </c>
      <c r="N21" s="220" t="n">
        <f aca="false">N20/M20-1</f>
        <v>0.0869636989316709</v>
      </c>
      <c r="O21" s="221" t="n">
        <f aca="false">O20/N20-1</f>
        <v>0.0491723575785639</v>
      </c>
      <c r="P21" s="225"/>
      <c r="Q21" s="222"/>
      <c r="R21" s="179"/>
      <c r="S21" s="179"/>
      <c r="T21" s="179"/>
      <c r="U21" s="171"/>
      <c r="W21" s="180"/>
    </row>
    <row r="22" customFormat="false" ht="12.75" hidden="false" customHeight="false" outlineLevel="0" collapsed="false">
      <c r="A22" s="226" t="s">
        <v>15</v>
      </c>
      <c r="B22" s="156" t="s">
        <v>104</v>
      </c>
      <c r="C22" s="229" t="n">
        <f aca="false">C20/C5</f>
        <v>4.77372262773723</v>
      </c>
      <c r="D22" s="230" t="n">
        <f aca="false">D20/D5</f>
        <v>6.41775836972344</v>
      </c>
      <c r="E22" s="230" t="n">
        <f aca="false">E20/E5</f>
        <v>2.254730713246</v>
      </c>
      <c r="F22" s="230" t="n">
        <f aca="false">F20/F5</f>
        <v>4.80869565217391</v>
      </c>
      <c r="G22" s="230" t="n">
        <f aca="false">G20/G5</f>
        <v>7.60434782608696</v>
      </c>
      <c r="H22" s="230" t="n">
        <f aca="false">H20/H5</f>
        <v>20.2014492753623</v>
      </c>
      <c r="I22" s="230" t="n">
        <f aca="false">I20/I5</f>
        <v>29.1449275362319</v>
      </c>
      <c r="J22" s="230" t="n">
        <f aca="false">J20/J5</f>
        <v>34.6652173913043</v>
      </c>
      <c r="K22" s="230" t="n">
        <f aca="false">K20/K5</f>
        <v>42.3292682926829</v>
      </c>
      <c r="L22" s="230" t="n">
        <f aca="false">L20/L5</f>
        <v>51.3279132791328</v>
      </c>
      <c r="M22" s="231" t="n">
        <f aca="false">M20/M5</f>
        <v>53.3790635614199</v>
      </c>
      <c r="N22" s="232" t="n">
        <f aca="false">N20/N5</f>
        <v>58.0211043742297</v>
      </c>
      <c r="O22" s="233" t="n">
        <f aca="false">O20/O5</f>
        <v>60.8741388656225</v>
      </c>
      <c r="P22" s="234" t="n">
        <f aca="false">P20/P5</f>
        <v>51.3279132791328</v>
      </c>
      <c r="Q22" s="229"/>
      <c r="R22" s="179" t="n">
        <f aca="false">((L22/I22)^(1/3))-1</f>
        <v>0.207619756889082</v>
      </c>
      <c r="S22" s="179" t="n">
        <f aca="false">((L22/G22)^(1/5))-1</f>
        <v>0.465069836532382</v>
      </c>
      <c r="T22" s="179" t="n">
        <f aca="false">IF(C22&gt;0,((L22/C22)^(1/9))-1,"-")</f>
        <v>0.301999190299916</v>
      </c>
      <c r="U22" s="171"/>
      <c r="W22" s="180"/>
    </row>
    <row r="23" customFormat="false" ht="13.5" hidden="false" customHeight="true" outlineLevel="0" collapsed="false">
      <c r="A23" s="235" t="s">
        <v>115</v>
      </c>
      <c r="B23" s="192" t="s">
        <v>104</v>
      </c>
      <c r="C23" s="236" t="n">
        <f aca="false">'Data Sheet'!B31/C5</f>
        <v>0.6</v>
      </c>
      <c r="D23" s="237" t="n">
        <f aca="false">'Data Sheet'!C31/D5</f>
        <v>0.700145560407569</v>
      </c>
      <c r="E23" s="237" t="n">
        <f aca="false">'Data Sheet'!D31/E5</f>
        <v>0.299854439592431</v>
      </c>
      <c r="F23" s="237" t="n">
        <f aca="false">'Data Sheet'!E31/F5</f>
        <v>0.7</v>
      </c>
      <c r="G23" s="237" t="n">
        <f aca="false">'Data Sheet'!F31/G5</f>
        <v>1.10144927536232</v>
      </c>
      <c r="H23" s="237" t="n">
        <f aca="false">'Data Sheet'!G31/H5</f>
        <v>3.00289855072464</v>
      </c>
      <c r="I23" s="237" t="n">
        <f aca="false">'Data Sheet'!H31/I5</f>
        <v>4.3536231884058</v>
      </c>
      <c r="J23" s="237" t="n">
        <f aca="false">'Data Sheet'!I31/J5</f>
        <v>5.20434782608696</v>
      </c>
      <c r="K23" s="237" t="n">
        <f aca="false">'Data Sheet'!J31/K5</f>
        <v>6.34959349593496</v>
      </c>
      <c r="L23" s="237" t="n">
        <f aca="false">'Data Sheet'!K31/L5</f>
        <v>0</v>
      </c>
      <c r="M23" s="238" t="n">
        <f aca="false">M22*$U32</f>
        <v>5.34033503519152</v>
      </c>
      <c r="N23" s="239" t="n">
        <f aca="false">N22*$V32</f>
        <v>5.80475032338617</v>
      </c>
      <c r="O23" s="240" t="n">
        <f aca="false">O22*$W32</f>
        <v>6.090183581942</v>
      </c>
      <c r="P23" s="241"/>
      <c r="Q23" s="236"/>
      <c r="R23" s="200" t="n">
        <f aca="false">((L23/I23)^(1/3))-1</f>
        <v>-1</v>
      </c>
      <c r="S23" s="200" t="n">
        <f aca="false">((L23/G23)^(1/5))-1</f>
        <v>-1</v>
      </c>
      <c r="T23" s="200" t="n">
        <f aca="false">IF(C23&gt;0,((L23/C23)^(1/9))-1,"-")</f>
        <v>-1</v>
      </c>
      <c r="U23" s="171"/>
      <c r="W23" s="180"/>
    </row>
    <row r="24" customFormat="false" ht="13.5" hidden="false" customHeight="true" outlineLevel="0" collapsed="false">
      <c r="A24" s="226"/>
      <c r="C24" s="171"/>
      <c r="G24" s="242"/>
      <c r="H24" s="242"/>
      <c r="I24" s="242"/>
      <c r="J24" s="242"/>
      <c r="K24" s="242"/>
      <c r="L24" s="243"/>
      <c r="M24" s="231"/>
      <c r="N24" s="232"/>
      <c r="O24" s="233"/>
      <c r="P24" s="234"/>
      <c r="Q24" s="229"/>
      <c r="R24" s="224"/>
      <c r="S24" s="224"/>
      <c r="U24" s="171"/>
      <c r="W24" s="180"/>
    </row>
    <row r="25" customFormat="false" ht="12.75" hidden="false" customHeight="false" outlineLevel="0" collapsed="false">
      <c r="A25" s="244" t="s">
        <v>116</v>
      </c>
      <c r="B25" s="207"/>
      <c r="C25" s="206"/>
      <c r="D25" s="207"/>
      <c r="E25" s="207"/>
      <c r="F25" s="207"/>
      <c r="G25" s="245"/>
      <c r="H25" s="245"/>
      <c r="I25" s="245"/>
      <c r="J25" s="245"/>
      <c r="K25" s="245"/>
      <c r="L25" s="246"/>
      <c r="M25" s="247"/>
      <c r="N25" s="248"/>
      <c r="O25" s="249"/>
      <c r="P25" s="250"/>
      <c r="Q25" s="251"/>
      <c r="R25" s="252"/>
      <c r="S25" s="252"/>
      <c r="T25" s="207"/>
      <c r="U25" s="171"/>
      <c r="W25" s="180"/>
    </row>
    <row r="26" customFormat="false" ht="12.75" hidden="false" customHeight="false" outlineLevel="0" collapsed="false">
      <c r="A26" s="226" t="s">
        <v>117</v>
      </c>
      <c r="B26" s="156" t="s">
        <v>118</v>
      </c>
      <c r="C26" s="222" t="n">
        <f aca="false">C11/C$9</f>
        <v>0.213227658664712</v>
      </c>
      <c r="D26" s="224" t="n">
        <f aca="false">D11/D$9</f>
        <v>0.205287988991547</v>
      </c>
      <c r="E26" s="224" t="n">
        <f aca="false">E11/E$9</f>
        <v>0.166131123513163</v>
      </c>
      <c r="F26" s="224" t="n">
        <f aca="false">F11/F$9</f>
        <v>0.190480783499036</v>
      </c>
      <c r="G26" s="224" t="n">
        <f aca="false">G11/G$9</f>
        <v>0.196729916651889</v>
      </c>
      <c r="H26" s="224" t="n">
        <f aca="false">H11/H$9</f>
        <v>0.213162324504596</v>
      </c>
      <c r="I26" s="224" t="n">
        <f aca="false">I11/I$9</f>
        <v>0.185167464114833</v>
      </c>
      <c r="J26" s="224" t="n">
        <f aca="false">J11/J$9</f>
        <v>0.189689156054734</v>
      </c>
      <c r="K26" s="224" t="n">
        <f aca="false">K11/K$9</f>
        <v>0.179894385037105</v>
      </c>
      <c r="L26" s="224" t="n">
        <f aca="false">L11/L$9</f>
        <v>0.198655653686637</v>
      </c>
      <c r="M26" s="231"/>
      <c r="N26" s="232"/>
      <c r="O26" s="233"/>
      <c r="P26" s="253"/>
      <c r="Q26" s="222"/>
      <c r="R26" s="254" t="n">
        <f aca="false">AVERAGE(J26:L26)</f>
        <v>0.189413064926158</v>
      </c>
      <c r="S26" s="254" t="n">
        <f aca="false">AVERAGE(H26:L26)</f>
        <v>0.193313796679581</v>
      </c>
      <c r="T26" s="254" t="n">
        <f aca="false">AVERAGE(C26:L26)</f>
        <v>0.193842645471825</v>
      </c>
      <c r="U26" s="171"/>
      <c r="W26" s="180"/>
    </row>
    <row r="27" customFormat="false" ht="12.75" hidden="false" customHeight="false" outlineLevel="0" collapsed="false">
      <c r="A27" s="226" t="s">
        <v>119</v>
      </c>
      <c r="B27" s="156" t="s">
        <v>118</v>
      </c>
      <c r="C27" s="222" t="n">
        <f aca="false">C13/C$9</f>
        <v>0.089350070246167</v>
      </c>
      <c r="D27" s="224" t="n">
        <f aca="false">D13/D$9</f>
        <v>0.0900432474936112</v>
      </c>
      <c r="E27" s="224" t="n">
        <f aca="false">E13/E$9</f>
        <v>0.0498175931965887</v>
      </c>
      <c r="F27" s="224" t="n">
        <f aca="false">F13/F$9</f>
        <v>0.0806722065588366</v>
      </c>
      <c r="G27" s="224" t="n">
        <f aca="false">G13/G$9</f>
        <v>0.0860223443873027</v>
      </c>
      <c r="H27" s="224" t="n">
        <f aca="false">H13/H$9</f>
        <v>0.0981465519186595</v>
      </c>
      <c r="I27" s="224" t="n">
        <f aca="false">I13/I$9</f>
        <v>0.0739091623223594</v>
      </c>
      <c r="J27" s="224" t="n">
        <f aca="false">J13/J$9</f>
        <v>0.0909436051570038</v>
      </c>
      <c r="K27" s="224" t="n">
        <f aca="false">K13/K$9</f>
        <v>0.0848460880331475</v>
      </c>
      <c r="L27" s="224" t="n">
        <f aca="false">L13/L$9</f>
        <v>0.101970098024275</v>
      </c>
      <c r="M27" s="255" t="n">
        <f aca="false">M13/M$9</f>
        <v>0.0925865970714755</v>
      </c>
      <c r="N27" s="256" t="n">
        <f aca="false">N13/N$9</f>
        <v>0.0925865970714755</v>
      </c>
      <c r="O27" s="257" t="n">
        <f aca="false">O13/O$9</f>
        <v>0.0925865970714755</v>
      </c>
      <c r="P27" s="253" t="n">
        <f aca="false">P13/P$9</f>
        <v>0.101970098024275</v>
      </c>
      <c r="Q27" s="222"/>
      <c r="R27" s="254" t="n">
        <f aca="false">AVERAGE(J27:L27)</f>
        <v>0.0925865970714755</v>
      </c>
      <c r="S27" s="254" t="n">
        <f aca="false">AVERAGE(H27:L27)</f>
        <v>0.0899631010910891</v>
      </c>
      <c r="T27" s="254" t="n">
        <f aca="false">AVERAGE(C27:L27)</f>
        <v>0.0845720967337952</v>
      </c>
      <c r="U27" s="258" t="n">
        <f aca="false">R27</f>
        <v>0.0925865970714755</v>
      </c>
      <c r="V27" s="259" t="n">
        <f aca="false">U27</f>
        <v>0.0925865970714755</v>
      </c>
      <c r="W27" s="260" t="n">
        <f aca="false">V27</f>
        <v>0.0925865970714755</v>
      </c>
    </row>
    <row r="28" customFormat="false" ht="12.75" hidden="false" customHeight="false" outlineLevel="1" collapsed="false">
      <c r="A28" s="226" t="s">
        <v>120</v>
      </c>
      <c r="B28" s="156" t="s">
        <v>118</v>
      </c>
      <c r="C28" s="222" t="n">
        <f aca="false">C16/(C45+C46)</f>
        <v>0.0581915846016115</v>
      </c>
      <c r="D28" s="224" t="n">
        <f aca="false">D16/(D45+D46)</f>
        <v>0.0654416748249115</v>
      </c>
      <c r="E28" s="224" t="n">
        <f aca="false">E16/(E45+E46)</f>
        <v>0.0632592754733501</v>
      </c>
      <c r="F28" s="224" t="n">
        <f aca="false">F16/(F45+F46)</f>
        <v>0.0923633399561873</v>
      </c>
      <c r="G28" s="224" t="n">
        <f aca="false">G16/(G45+G46)</f>
        <v>0.109221995050038</v>
      </c>
      <c r="H28" s="224" t="n">
        <f aca="false">H16/(H45+H46)</f>
        <v>0.0879572192513369</v>
      </c>
      <c r="I28" s="224" t="n">
        <f aca="false">I16/(I45+I46)</f>
        <v>0.0751521234552412</v>
      </c>
      <c r="J28" s="224" t="n">
        <f aca="false">J16/(J45+J46)</f>
        <v>0.0970965598323366</v>
      </c>
      <c r="K28" s="224" t="n">
        <f aca="false">K16/(K45+K46)</f>
        <v>0.0612421052631579</v>
      </c>
      <c r="L28" s="224" t="n">
        <f aca="false">L16/(L45+L46)</f>
        <v>0.039349412241589</v>
      </c>
      <c r="M28" s="255" t="n">
        <f aca="false">M16/(M45+M46)</f>
        <v>0.0493999426701744</v>
      </c>
      <c r="N28" s="256" t="n">
        <f aca="false">N16/(N45+N46)</f>
        <v>0.0629414877405899</v>
      </c>
      <c r="O28" s="257" t="n">
        <f aca="false">O16/(O45+O46)</f>
        <v>0.0811989375060896</v>
      </c>
      <c r="P28" s="253"/>
      <c r="Q28" s="261" t="n">
        <f aca="false">AVERAGE(M28:O28)</f>
        <v>0.0645134559722846</v>
      </c>
      <c r="R28" s="262" t="n">
        <f aca="false">AVERAGE(J28:L28)</f>
        <v>0.0658960257790278</v>
      </c>
      <c r="S28" s="262" t="n">
        <f aca="false">AVERAGE(H28:L28)</f>
        <v>0.0721594840087323</v>
      </c>
      <c r="T28" s="262" t="n">
        <f aca="false">AVERAGE(C28:L28)</f>
        <v>0.074927528994976</v>
      </c>
      <c r="U28" s="228"/>
      <c r="W28" s="180"/>
    </row>
    <row r="29" customFormat="false" ht="12.75" hidden="false" customHeight="false" outlineLevel="1" collapsed="false">
      <c r="A29" s="226" t="s">
        <v>121</v>
      </c>
      <c r="B29" s="156" t="s">
        <v>118</v>
      </c>
      <c r="C29" s="222" t="n">
        <f aca="false">C17/C42</f>
        <v>0.0638773169111876</v>
      </c>
      <c r="D29" s="224" t="n">
        <f aca="false">D17/D42</f>
        <v>0.0873903320144504</v>
      </c>
      <c r="E29" s="224" t="n">
        <f aca="false">E17/E42</f>
        <v>0.104522934313569</v>
      </c>
      <c r="F29" s="224" t="n">
        <f aca="false">F17/F42</f>
        <v>0.112531328320802</v>
      </c>
      <c r="G29" s="224" t="n">
        <f aca="false">G17/G42</f>
        <v>0.118618101037956</v>
      </c>
      <c r="H29" s="224" t="n">
        <f aca="false">H17/H42</f>
        <v>0.0970320800980793</v>
      </c>
      <c r="I29" s="224" t="n">
        <f aca="false">I17/I42</f>
        <v>0.125100655699989</v>
      </c>
      <c r="J29" s="224" t="n">
        <f aca="false">J17/J42</f>
        <v>0.0945232747128326</v>
      </c>
      <c r="K29" s="224" t="n">
        <f aca="false">K17/K42</f>
        <v>0.162371043888792</v>
      </c>
      <c r="L29" s="224" t="n">
        <f aca="false">L17/L42</f>
        <v>0.0336730534039951</v>
      </c>
      <c r="M29" s="255" t="n">
        <f aca="false">M17/M42</f>
        <v>0.0490054000815821</v>
      </c>
      <c r="N29" s="256" t="n">
        <f aca="false">N17/N42</f>
        <v>0.0457735714981721</v>
      </c>
      <c r="O29" s="257" t="n">
        <f aca="false">O17/O42</f>
        <v>0.0415059996983424</v>
      </c>
      <c r="P29" s="204"/>
      <c r="Q29" s="261" t="n">
        <f aca="false">AVERAGE(M29:O29)</f>
        <v>0.0454283237593656</v>
      </c>
      <c r="R29" s="262" t="n">
        <f aca="false">AVERAGE(J29:L29)</f>
        <v>0.0968557906685398</v>
      </c>
      <c r="S29" s="262" t="n">
        <f aca="false">AVERAGE(H29:L29)</f>
        <v>0.102540021560737</v>
      </c>
      <c r="T29" s="262" t="n">
        <f aca="false">AVERAGE(C29:L29)</f>
        <v>0.0999640120401652</v>
      </c>
      <c r="U29" s="171"/>
      <c r="W29" s="180"/>
    </row>
    <row r="30" customFormat="false" ht="12.75" hidden="false" customHeight="false" outlineLevel="1" collapsed="false">
      <c r="A30" s="226" t="s">
        <v>122</v>
      </c>
      <c r="B30" s="156" t="s">
        <v>118</v>
      </c>
      <c r="C30" s="222" t="n">
        <f aca="false">C19/C18</f>
        <v>0.192510912014703</v>
      </c>
      <c r="D30" s="224" t="n">
        <f aca="false">D19/D18</f>
        <v>0.257828322168562</v>
      </c>
      <c r="E30" s="224" t="n">
        <f aca="false">E19/E18</f>
        <v>0.344711051030754</v>
      </c>
      <c r="F30" s="224" t="n">
        <f aca="false">F19/F18</f>
        <v>0.220541231621564</v>
      </c>
      <c r="G30" s="224" t="n">
        <f aca="false">G19/G18</f>
        <v>0.198589562764457</v>
      </c>
      <c r="H30" s="224" t="n">
        <f aca="false">H19/H18</f>
        <v>0.0983357628765792</v>
      </c>
      <c r="I30" s="224" t="n">
        <f aca="false">I19/I18</f>
        <v>0.103255854826662</v>
      </c>
      <c r="J30" s="224" t="n">
        <f aca="false">J19/J18</f>
        <v>0.116250227977385</v>
      </c>
      <c r="K30" s="224" t="n">
        <f aca="false">K19/K18</f>
        <v>0.139107467121554</v>
      </c>
      <c r="L30" s="224" t="n">
        <f aca="false">L19/L18</f>
        <v>0.155984383714445</v>
      </c>
      <c r="M30" s="255" t="n">
        <f aca="false">M19/M18</f>
        <v>0.137114026271128</v>
      </c>
      <c r="N30" s="256" t="n">
        <f aca="false">N19/N18</f>
        <v>0.137114026271128</v>
      </c>
      <c r="O30" s="257" t="n">
        <f aca="false">O19/O18</f>
        <v>0.137114026271128</v>
      </c>
      <c r="P30" s="253" t="n">
        <f aca="false">P19/P18</f>
        <v>0.154935861684328</v>
      </c>
      <c r="Q30" s="261" t="n">
        <f aca="false">AVERAGE(M30:O30)</f>
        <v>0.137114026271128</v>
      </c>
      <c r="R30" s="254" t="n">
        <f aca="false">AVERAGE(J30:L30)</f>
        <v>0.137114026271128</v>
      </c>
      <c r="S30" s="254" t="n">
        <f aca="false">AVERAGE(H30:L30)</f>
        <v>0.122586739303325</v>
      </c>
      <c r="T30" s="254" t="n">
        <f aca="false">AVERAGE(C30:L30)</f>
        <v>0.182711477611666</v>
      </c>
      <c r="U30" s="216" t="n">
        <f aca="false">R30</f>
        <v>0.137114026271128</v>
      </c>
      <c r="V30" s="259" t="n">
        <f aca="false">U30</f>
        <v>0.137114026271128</v>
      </c>
      <c r="W30" s="260" t="n">
        <f aca="false">V30</f>
        <v>0.137114026271128</v>
      </c>
    </row>
    <row r="31" customFormat="false" ht="12.75" hidden="false" customHeight="false" outlineLevel="0" collapsed="false">
      <c r="A31" s="226" t="s">
        <v>123</v>
      </c>
      <c r="B31" s="156" t="s">
        <v>118</v>
      </c>
      <c r="C31" s="222" t="n">
        <f aca="false">C20/C$9</f>
        <v>0.0499358621953454</v>
      </c>
      <c r="D31" s="224" t="n">
        <f aca="false">D20/D$9</f>
        <v>0.0433359543935522</v>
      </c>
      <c r="E31" s="224" t="n">
        <f aca="false">E20/E$9</f>
        <v>0.0124745315004067</v>
      </c>
      <c r="F31" s="224" t="n">
        <f aca="false">F20/F$9</f>
        <v>0.0246178958302419</v>
      </c>
      <c r="G31" s="224" t="n">
        <f aca="false">G20/G$9</f>
        <v>0.0372193651356624</v>
      </c>
      <c r="H31" s="224" t="n">
        <f aca="false">H20/H$9</f>
        <v>0.0629053148424772</v>
      </c>
      <c r="I31" s="224" t="n">
        <f aca="false">I20/I$9</f>
        <v>0.0718060415625223</v>
      </c>
      <c r="J31" s="224" t="n">
        <f aca="false">J20/J$9</f>
        <v>0.0756750771177727</v>
      </c>
      <c r="K31" s="224" t="n">
        <f aca="false">K20/K$9</f>
        <v>0.0807465938786746</v>
      </c>
      <c r="L31" s="224" t="n">
        <f aca="false">L20/L$9</f>
        <v>0.0888103215036797</v>
      </c>
      <c r="M31" s="255" t="n">
        <f aca="false">M20/M$9</f>
        <v>0.0802753676341763</v>
      </c>
      <c r="N31" s="256" t="n">
        <f aca="false">N20/N$9</f>
        <v>0.0758400939388316</v>
      </c>
      <c r="O31" s="257" t="n">
        <f aca="false">O20/O$9</f>
        <v>0.0691587636555277</v>
      </c>
      <c r="P31" s="253" t="n">
        <f aca="false">P20/P$9</f>
        <v>0.0888103215036797</v>
      </c>
      <c r="Q31" s="222"/>
      <c r="R31" s="254" t="n">
        <f aca="false">AVERAGE(J31:L31)</f>
        <v>0.0817439975000423</v>
      </c>
      <c r="S31" s="254" t="n">
        <f aca="false">AVERAGE(H31:L31)</f>
        <v>0.0759886697810253</v>
      </c>
      <c r="T31" s="254" t="n">
        <f aca="false">AVERAGE(C31:L31)</f>
        <v>0.0547526957960335</v>
      </c>
      <c r="U31" s="171"/>
      <c r="W31" s="180"/>
    </row>
    <row r="32" customFormat="false" ht="13.5" hidden="false" customHeight="true" outlineLevel="0" collapsed="false">
      <c r="A32" s="235" t="s">
        <v>124</v>
      </c>
      <c r="B32" s="192" t="s">
        <v>118</v>
      </c>
      <c r="C32" s="263" t="n">
        <f aca="false">C23/C22</f>
        <v>0.125688073394495</v>
      </c>
      <c r="D32" s="264" t="n">
        <f aca="false">D23/D22</f>
        <v>0.109095032887276</v>
      </c>
      <c r="E32" s="264" t="n">
        <f aca="false">E23/E22</f>
        <v>0.132989025177534</v>
      </c>
      <c r="F32" s="264" t="n">
        <f aca="false">F23/F22</f>
        <v>0.145569620253165</v>
      </c>
      <c r="G32" s="264" t="n">
        <f aca="false">G23/G22</f>
        <v>0.14484467314656</v>
      </c>
      <c r="H32" s="264" t="n">
        <f aca="false">H23/H22</f>
        <v>0.148647679173542</v>
      </c>
      <c r="I32" s="264" t="n">
        <f aca="false">I23/I22</f>
        <v>0.149378418697166</v>
      </c>
      <c r="J32" s="264" t="n">
        <f aca="false">J23/J22</f>
        <v>0.150131694468832</v>
      </c>
      <c r="K32" s="264" t="n">
        <f aca="false">K23/K22</f>
        <v>0.150004801690195</v>
      </c>
      <c r="L32" s="264" t="n">
        <f aca="false">L23/L22</f>
        <v>0</v>
      </c>
      <c r="M32" s="265" t="n">
        <f aca="false">M23/M22</f>
        <v>0.100045498719676</v>
      </c>
      <c r="N32" s="266" t="n">
        <f aca="false">N23/N22</f>
        <v>0.100045498719676</v>
      </c>
      <c r="O32" s="267" t="n">
        <f aca="false">O23/O22</f>
        <v>0.100045498719676</v>
      </c>
      <c r="P32" s="268"/>
      <c r="Q32" s="263"/>
      <c r="R32" s="269" t="n">
        <f aca="false">AVERAGE(J32:L32)</f>
        <v>0.100045498719676</v>
      </c>
      <c r="S32" s="269" t="n">
        <f aca="false">AVERAGE(H32:L32)</f>
        <v>0.119632518805947</v>
      </c>
      <c r="T32" s="269" t="n">
        <f aca="false">AVERAGE(C32:L32)</f>
        <v>0.125634901888876</v>
      </c>
      <c r="U32" s="216" t="n">
        <f aca="false">R32</f>
        <v>0.100045498719676</v>
      </c>
      <c r="V32" s="259" t="n">
        <f aca="false">U32</f>
        <v>0.100045498719676</v>
      </c>
      <c r="W32" s="260" t="n">
        <f aca="false">V32</f>
        <v>0.100045498719676</v>
      </c>
    </row>
    <row r="33" customFormat="false" ht="13.5" hidden="false" customHeight="true" outlineLevel="0" collapsed="false">
      <c r="A33" s="226"/>
      <c r="C33" s="171"/>
      <c r="H33" s="224"/>
      <c r="I33" s="224"/>
      <c r="J33" s="224"/>
      <c r="K33" s="224"/>
      <c r="L33" s="270"/>
      <c r="M33" s="255"/>
      <c r="N33" s="256"/>
      <c r="O33" s="257"/>
      <c r="P33" s="253"/>
      <c r="Q33" s="222"/>
      <c r="U33" s="171"/>
      <c r="W33" s="180"/>
    </row>
    <row r="34" customFormat="false" ht="12.75" hidden="false" customHeight="false" outlineLevel="0" collapsed="false">
      <c r="A34" s="244" t="s">
        <v>125</v>
      </c>
      <c r="B34" s="207"/>
      <c r="C34" s="206"/>
      <c r="D34" s="207"/>
      <c r="E34" s="207"/>
      <c r="F34" s="207"/>
      <c r="G34" s="207"/>
      <c r="H34" s="252"/>
      <c r="I34" s="252"/>
      <c r="J34" s="252"/>
      <c r="K34" s="252"/>
      <c r="L34" s="271"/>
      <c r="M34" s="272"/>
      <c r="N34" s="273"/>
      <c r="O34" s="274"/>
      <c r="P34" s="275"/>
      <c r="Q34" s="214"/>
      <c r="R34" s="207"/>
      <c r="S34" s="207"/>
      <c r="T34" s="207"/>
      <c r="U34" s="171"/>
      <c r="W34" s="180"/>
    </row>
    <row r="35" customFormat="false" ht="12.75" hidden="false" customHeight="false" outlineLevel="0" collapsed="false">
      <c r="A35" s="226" t="str">
        <f aca="false">A9</f>
        <v>Revenue</v>
      </c>
      <c r="B35" s="156" t="s">
        <v>118</v>
      </c>
      <c r="C35" s="222"/>
      <c r="D35" s="224" t="n">
        <f aca="false">D9/C9-1</f>
        <v>0.553661963227659</v>
      </c>
      <c r="E35" s="224" t="n">
        <f aca="false">E9/D9-1</f>
        <v>0.2204934145862</v>
      </c>
      <c r="F35" s="224" t="n">
        <f aca="false">F9/E9-1</f>
        <v>0.0854211463039469</v>
      </c>
      <c r="G35" s="224" t="n">
        <f aca="false">G9/F9-1</f>
        <v>0.0459637928476035</v>
      </c>
      <c r="H35" s="224" t="n">
        <f aca="false">H9/G9-1</f>
        <v>0.571817698173435</v>
      </c>
      <c r="I35" s="224" t="n">
        <f aca="false">I9/H9-1</f>
        <v>0.263882809009554</v>
      </c>
      <c r="J35" s="224" t="n">
        <f aca="false">J9/I9-1</f>
        <v>0.128597443404985</v>
      </c>
      <c r="K35" s="224" t="n">
        <f aca="false">K9/J9-1</f>
        <v>0.22400379656727</v>
      </c>
      <c r="L35" s="224" t="n">
        <f aca="false">L9/K9-1</f>
        <v>0.102487353861822</v>
      </c>
      <c r="M35" s="255" t="n">
        <f aca="false">M9/L9-1</f>
        <v>0.150531414255898</v>
      </c>
      <c r="N35" s="256" t="n">
        <f aca="false">N9/M9-1</f>
        <v>0.150531414255898</v>
      </c>
      <c r="O35" s="257" t="n">
        <f aca="false">O9/N9-1</f>
        <v>0.150531414255898</v>
      </c>
      <c r="P35" s="253" t="n">
        <f aca="false">P9/L9-1</f>
        <v>0</v>
      </c>
      <c r="Q35" s="222"/>
      <c r="U35" s="171"/>
      <c r="W35" s="180"/>
    </row>
    <row r="36" customFormat="false" ht="12.75" hidden="false" customHeight="false" outlineLevel="0" collapsed="false">
      <c r="A36" s="226" t="s">
        <v>126</v>
      </c>
      <c r="B36" s="156" t="s">
        <v>118</v>
      </c>
      <c r="C36" s="171"/>
      <c r="D36" s="224" t="n">
        <f aca="false">D11/C11-1</f>
        <v>0.495810355940701</v>
      </c>
      <c r="E36" s="224" t="n">
        <f aca="false">E11/D11-1</f>
        <v>-0.012304893229915</v>
      </c>
      <c r="F36" s="224" t="n">
        <f aca="false">F11/E11-1</f>
        <v>0.244510155606186</v>
      </c>
      <c r="G36" s="224" t="n">
        <f aca="false">G11/F11-1</f>
        <v>0.0802788922213995</v>
      </c>
      <c r="H36" s="224" t="n">
        <f aca="false">H11/G11-1</f>
        <v>0.70310809836302</v>
      </c>
      <c r="I36" s="224" t="n">
        <f aca="false">I11/H11-1</f>
        <v>0.0978955836897151</v>
      </c>
      <c r="J36" s="224" t="n">
        <f aca="false">J11/I11-1</f>
        <v>0.156157198503606</v>
      </c>
      <c r="K36" s="224" t="n">
        <f aca="false">K11/J11-1</f>
        <v>0.160801254253119</v>
      </c>
      <c r="L36" s="224" t="n">
        <f aca="false">L11/K11-1</f>
        <v>0.21746627009785</v>
      </c>
      <c r="M36" s="255"/>
      <c r="N36" s="256"/>
      <c r="O36" s="257"/>
      <c r="P36" s="253"/>
      <c r="Q36" s="222"/>
      <c r="U36" s="171"/>
      <c r="W36" s="180"/>
    </row>
    <row r="37" customFormat="false" ht="12.75" hidden="false" customHeight="false" outlineLevel="0" collapsed="false">
      <c r="A37" s="226" t="s">
        <v>8</v>
      </c>
      <c r="B37" s="156" t="s">
        <v>118</v>
      </c>
      <c r="C37" s="171"/>
      <c r="D37" s="224" t="n">
        <f aca="false">D13/C13-1</f>
        <v>0.565715262348317</v>
      </c>
      <c r="E37" s="224" t="n">
        <f aca="false">E13/D13-1</f>
        <v>-0.324746206745987</v>
      </c>
      <c r="F37" s="224" t="n">
        <f aca="false">F13/E13-1</f>
        <v>0.757678629162622</v>
      </c>
      <c r="G37" s="224" t="n">
        <f aca="false">G13/F13-1</f>
        <v>0.115331555228547</v>
      </c>
      <c r="H37" s="224" t="n">
        <f aca="false">H13/G13-1</f>
        <v>0.793353673620846</v>
      </c>
      <c r="I37" s="224" t="n">
        <f aca="false">I13/H13-1</f>
        <v>-0.048234320397279</v>
      </c>
      <c r="J37" s="224" t="n">
        <f aca="false">J13/I13-1</f>
        <v>0.388714430648824</v>
      </c>
      <c r="K37" s="224" t="n">
        <f aca="false">K13/J13-1</f>
        <v>0.141937728300575</v>
      </c>
      <c r="L37" s="224" t="n">
        <f aca="false">L13/K13-1</f>
        <v>0.324996191926886</v>
      </c>
      <c r="M37" s="255" t="n">
        <f aca="false">M13/L13-1</f>
        <v>0.0446571155048452</v>
      </c>
      <c r="N37" s="256" t="n">
        <f aca="false">N13/M13-1</f>
        <v>0.150531414255898</v>
      </c>
      <c r="O37" s="257" t="n">
        <f aca="false">O13/N13-1</f>
        <v>0.150531414255898</v>
      </c>
      <c r="P37" s="253" t="n">
        <f aca="false">P13/L13-1</f>
        <v>0</v>
      </c>
      <c r="Q37" s="222"/>
      <c r="U37" s="171"/>
      <c r="W37" s="180"/>
    </row>
    <row r="38" customFormat="false" ht="13.5" hidden="false" customHeight="true" outlineLevel="0" collapsed="false">
      <c r="A38" s="235" t="s">
        <v>127</v>
      </c>
      <c r="B38" s="192" t="s">
        <v>118</v>
      </c>
      <c r="C38" s="191"/>
      <c r="D38" s="264" t="n">
        <f aca="false">D20/C20-1</f>
        <v>0.348318042813456</v>
      </c>
      <c r="E38" s="264" t="n">
        <f aca="false">E20/D20-1</f>
        <v>-0.648673168518939</v>
      </c>
      <c r="F38" s="264" t="n">
        <f aca="false">F20/E20-1</f>
        <v>1.14202711426727</v>
      </c>
      <c r="G38" s="264" t="n">
        <f aca="false">G20/F20-1</f>
        <v>0.581374321880651</v>
      </c>
      <c r="H38" s="264" t="n">
        <f aca="false">H20/G20-1</f>
        <v>1.65656565656566</v>
      </c>
      <c r="I38" s="264" t="n">
        <f aca="false">I20/H20-1</f>
        <v>0.442714685415023</v>
      </c>
      <c r="J38" s="264" t="n">
        <f aca="false">J20/I20-1</f>
        <v>0.189408254599702</v>
      </c>
      <c r="K38" s="264" t="n">
        <f aca="false">K20/J20-1</f>
        <v>0.306032860905556</v>
      </c>
      <c r="L38" s="264" t="n">
        <f aca="false">L20/K20-1</f>
        <v>0.212586830564359</v>
      </c>
      <c r="M38" s="265" t="n">
        <f aca="false">M20/L20-1</f>
        <v>0.0399616924056987</v>
      </c>
      <c r="N38" s="266" t="n">
        <f aca="false">N20/M20-1</f>
        <v>0.0869636989316709</v>
      </c>
      <c r="O38" s="267" t="n">
        <f aca="false">O20/N20-1</f>
        <v>0.0491723575785639</v>
      </c>
      <c r="P38" s="268" t="n">
        <f aca="false">P20/L20-1</f>
        <v>0</v>
      </c>
      <c r="Q38" s="263"/>
      <c r="R38" s="192"/>
      <c r="S38" s="192"/>
      <c r="T38" s="192"/>
      <c r="U38" s="171"/>
      <c r="W38" s="180"/>
    </row>
    <row r="39" customFormat="false" ht="13.5" hidden="false" customHeight="true" outlineLevel="0" collapsed="false">
      <c r="A39" s="226"/>
      <c r="C39" s="171"/>
      <c r="D39" s="224"/>
      <c r="E39" s="224"/>
      <c r="F39" s="224"/>
      <c r="G39" s="224"/>
      <c r="H39" s="224"/>
      <c r="I39" s="224"/>
      <c r="J39" s="224"/>
      <c r="K39" s="224"/>
      <c r="L39" s="270"/>
      <c r="M39" s="255"/>
      <c r="N39" s="256"/>
      <c r="O39" s="257"/>
      <c r="P39" s="253"/>
      <c r="Q39" s="222"/>
      <c r="U39" s="171"/>
      <c r="W39" s="180"/>
    </row>
    <row r="40" customFormat="false" ht="12.75" hidden="false" customHeight="false" outlineLevel="0" collapsed="false">
      <c r="A40" s="244" t="s">
        <v>128</v>
      </c>
      <c r="B40" s="207"/>
      <c r="C40" s="206"/>
      <c r="D40" s="252"/>
      <c r="E40" s="252"/>
      <c r="F40" s="252"/>
      <c r="G40" s="252"/>
      <c r="H40" s="252"/>
      <c r="I40" s="252"/>
      <c r="J40" s="252"/>
      <c r="K40" s="252"/>
      <c r="L40" s="271"/>
      <c r="M40" s="272"/>
      <c r="N40" s="273"/>
      <c r="O40" s="274"/>
      <c r="P40" s="275"/>
      <c r="Q40" s="214"/>
      <c r="R40" s="207"/>
      <c r="S40" s="207"/>
      <c r="T40" s="207"/>
      <c r="U40" s="171"/>
      <c r="W40" s="180"/>
    </row>
    <row r="41" customFormat="false" ht="12.75" hidden="false" customHeight="false" outlineLevel="0" collapsed="false">
      <c r="A41" s="226" t="s">
        <v>129</v>
      </c>
      <c r="B41" s="156" t="s">
        <v>105</v>
      </c>
      <c r="C41" s="223" t="n">
        <f aca="false">'Data Sheet'!B57+'Data Sheet'!B58</f>
        <v>150.14</v>
      </c>
      <c r="D41" s="227" t="n">
        <f aca="false">'Data Sheet'!C57+'Data Sheet'!C58</f>
        <v>189.68</v>
      </c>
      <c r="E41" s="227" t="n">
        <f aca="false">'Data Sheet'!D57+'Data Sheet'!D58</f>
        <v>199.32</v>
      </c>
      <c r="F41" s="227" t="n">
        <f aca="false">'Data Sheet'!E57+'Data Sheet'!E58</f>
        <v>225.18</v>
      </c>
      <c r="G41" s="227" t="n">
        <f aca="false">'Data Sheet'!F57+'Data Sheet'!F58</f>
        <v>268.93</v>
      </c>
      <c r="H41" s="227" t="n">
        <f aca="false">'Data Sheet'!G57+'Data Sheet'!G58</f>
        <v>386.85</v>
      </c>
      <c r="I41" s="227" t="n">
        <f aca="false">'Data Sheet'!H57+'Data Sheet'!H58</f>
        <v>588.93</v>
      </c>
      <c r="J41" s="227" t="n">
        <f aca="false">'Data Sheet'!I57+'Data Sheet'!I58</f>
        <v>837.4</v>
      </c>
      <c r="K41" s="227" t="n">
        <f aca="false">'Data Sheet'!J57+'Data Sheet'!J58</f>
        <v>2069.91</v>
      </c>
      <c r="L41" s="276" t="n">
        <f aca="false">'Data Sheet'!K57+'Data Sheet'!K58</f>
        <v>2451.63</v>
      </c>
      <c r="M41" s="175" t="n">
        <f aca="false">L41+M20-M5*M23</f>
        <v>2806.15581652357</v>
      </c>
      <c r="N41" s="176" t="n">
        <f aca="false">M41+N20-N5*N23</f>
        <v>3191.51250941879</v>
      </c>
      <c r="O41" s="177" t="n">
        <f aca="false">N41+O20-O5*O23</f>
        <v>3595.81809941235</v>
      </c>
      <c r="P41" s="204"/>
      <c r="Q41" s="222" t="n">
        <f aca="false">((O41/L41)^(1/3))-1</f>
        <v>0.136181191614718</v>
      </c>
      <c r="R41" s="179" t="n">
        <f aca="false">((L41/I41)^(1/3))-1</f>
        <v>0.608658098797283</v>
      </c>
      <c r="S41" s="179" t="n">
        <f aca="false">((L41/G41)^(1/5))-1</f>
        <v>0.555833559528317</v>
      </c>
      <c r="T41" s="179" t="n">
        <f aca="false">IF(C41&gt;0,((L41/C41)^(1/9))-1,"-")</f>
        <v>0.363870602170972</v>
      </c>
      <c r="U41" s="171"/>
      <c r="W41" s="180"/>
    </row>
    <row r="42" customFormat="false" ht="12.75" hidden="false" customHeight="false" outlineLevel="0" collapsed="false">
      <c r="A42" s="226" t="s">
        <v>130</v>
      </c>
      <c r="B42" s="156" t="s">
        <v>105</v>
      </c>
      <c r="C42" s="223" t="n">
        <f aca="false">'Data Sheet'!B59</f>
        <v>165.63</v>
      </c>
      <c r="D42" s="227" t="n">
        <f aca="false">'Data Sheet'!C59</f>
        <v>232.52</v>
      </c>
      <c r="E42" s="227" t="n">
        <f aca="false">'Data Sheet'!D59</f>
        <v>250.28</v>
      </c>
      <c r="F42" s="227" t="n">
        <f aca="false">'Data Sheet'!E59</f>
        <v>279.3</v>
      </c>
      <c r="G42" s="227" t="n">
        <f aca="false">'Data Sheet'!F59</f>
        <v>261.09</v>
      </c>
      <c r="H42" s="227" t="n">
        <f aca="false">'Data Sheet'!G59</f>
        <v>391.52</v>
      </c>
      <c r="I42" s="227" t="n">
        <f aca="false">'Data Sheet'!H59</f>
        <v>347.72</v>
      </c>
      <c r="J42" s="227" t="n">
        <f aca="false">'Data Sheet'!I59</f>
        <v>547.59</v>
      </c>
      <c r="K42" s="227" t="n">
        <f aca="false">'Data Sheet'!J59</f>
        <v>285.95</v>
      </c>
      <c r="L42" s="276" t="n">
        <f aca="false">'Data Sheet'!K59</f>
        <v>735.9</v>
      </c>
      <c r="M42" s="175" t="n">
        <f aca="false">(M45+M46+M47+M50)-M41</f>
        <v>556.224415158779</v>
      </c>
      <c r="N42" s="176" t="n">
        <f aca="false">(N45+N46+N47+N50)-N41</f>
        <v>655.046111077379</v>
      </c>
      <c r="O42" s="177" t="n">
        <f aca="false">(O45+O46+O47+O50)-O41</f>
        <v>794.636443880598</v>
      </c>
      <c r="P42" s="225" t="n">
        <f aca="false">L42</f>
        <v>735.9</v>
      </c>
      <c r="Q42" s="222" t="n">
        <f aca="false">((O42/L42)^(1/3))-1</f>
        <v>0.0259272340729395</v>
      </c>
      <c r="R42" s="179" t="n">
        <f aca="false">((L42/I42)^(1/3))-1</f>
        <v>0.283895600457559</v>
      </c>
      <c r="S42" s="179" t="n">
        <f aca="false">((L42/G42)^(1/5))-1</f>
        <v>0.23028495451784</v>
      </c>
      <c r="T42" s="179" t="n">
        <f aca="false">IF(C42&gt;0,((L42/C42)^(1/9))-1,"-")</f>
        <v>0.180223947051722</v>
      </c>
      <c r="U42" s="171"/>
      <c r="W42" s="180"/>
    </row>
    <row r="43" customFormat="false" ht="12.75" hidden="false" customHeight="false" outlineLevel="0" collapsed="false">
      <c r="A43" s="277" t="s">
        <v>131</v>
      </c>
      <c r="B43" s="278" t="s">
        <v>105</v>
      </c>
      <c r="C43" s="279" t="n">
        <f aca="false">SUM(C41:C42)</f>
        <v>315.77</v>
      </c>
      <c r="D43" s="280" t="n">
        <f aca="false">SUM(D41:D42)</f>
        <v>422.2</v>
      </c>
      <c r="E43" s="280" t="n">
        <f aca="false">SUM(E41:E42)</f>
        <v>449.6</v>
      </c>
      <c r="F43" s="280" t="n">
        <f aca="false">SUM(F41:F42)</f>
        <v>504.48</v>
      </c>
      <c r="G43" s="280" t="n">
        <f aca="false">SUM(G41:G42)</f>
        <v>530.02</v>
      </c>
      <c r="H43" s="280" t="n">
        <f aca="false">SUM(H41:H42)</f>
        <v>778.37</v>
      </c>
      <c r="I43" s="280" t="n">
        <f aca="false">SUM(I41:I42)</f>
        <v>936.65</v>
      </c>
      <c r="J43" s="280" t="n">
        <f aca="false">SUM(J41:J42)</f>
        <v>1384.99</v>
      </c>
      <c r="K43" s="280" t="n">
        <f aca="false">SUM(K41:K42)</f>
        <v>2355.86</v>
      </c>
      <c r="L43" s="281" t="n">
        <f aca="false">SUM(L41:L42)</f>
        <v>3187.53</v>
      </c>
      <c r="M43" s="282" t="n">
        <f aca="false">SUM(M41:M42)</f>
        <v>3362.38023168235</v>
      </c>
      <c r="N43" s="283" t="n">
        <f aca="false">SUM(N41:N42)</f>
        <v>3846.55862049617</v>
      </c>
      <c r="O43" s="284" t="n">
        <f aca="false">SUM(O41:O42)</f>
        <v>4390.45454329295</v>
      </c>
      <c r="P43" s="285"/>
      <c r="Q43" s="222" t="n">
        <f aca="false">((O43/L43)^(1/3))-1</f>
        <v>0.112632482519043</v>
      </c>
      <c r="R43" s="179" t="n">
        <f aca="false">((L43/I43)^(1/3))-1</f>
        <v>0.504154039895994</v>
      </c>
      <c r="S43" s="179" t="n">
        <f aca="false">((L43/G43)^(1/5))-1</f>
        <v>0.431635320858085</v>
      </c>
      <c r="T43" s="179" t="n">
        <f aca="false">IF(C43&gt;0,((L43/C43)^(1/9))-1,"-")</f>
        <v>0.292899667467045</v>
      </c>
      <c r="U43" s="171"/>
      <c r="W43" s="180"/>
    </row>
    <row r="44" customFormat="false" ht="12.75" hidden="false" customHeight="false" outlineLevel="0" collapsed="false">
      <c r="A44" s="226" t="s">
        <v>132</v>
      </c>
      <c r="C44" s="223"/>
      <c r="D44" s="227"/>
      <c r="E44" s="227"/>
      <c r="F44" s="227"/>
      <c r="G44" s="227"/>
      <c r="H44" s="227"/>
      <c r="I44" s="227"/>
      <c r="J44" s="227"/>
      <c r="K44" s="227"/>
      <c r="L44" s="276"/>
      <c r="M44" s="175"/>
      <c r="N44" s="176"/>
      <c r="O44" s="177"/>
      <c r="P44" s="204"/>
      <c r="Q44" s="171"/>
      <c r="R44" s="224"/>
      <c r="S44" s="224"/>
      <c r="U44" s="171"/>
      <c r="W44" s="180"/>
    </row>
    <row r="45" customFormat="false" ht="12.75" hidden="false" customHeight="false" outlineLevel="0" collapsed="false">
      <c r="A45" s="226" t="s">
        <v>133</v>
      </c>
      <c r="B45" s="156" t="s">
        <v>105</v>
      </c>
      <c r="C45" s="223" t="n">
        <f aca="false">'Data Sheet'!B62</f>
        <v>68.09</v>
      </c>
      <c r="D45" s="227" t="n">
        <f aca="false">'Data Sheet'!C62</f>
        <v>108.91</v>
      </c>
      <c r="E45" s="227" t="n">
        <f aca="false">'Data Sheet'!D62</f>
        <v>136.52</v>
      </c>
      <c r="F45" s="227" t="n">
        <f aca="false">'Data Sheet'!E62</f>
        <v>181.64</v>
      </c>
      <c r="G45" s="227" t="n">
        <f aca="false">'Data Sheet'!F62</f>
        <v>172.37</v>
      </c>
      <c r="H45" s="227" t="n">
        <f aca="false">'Data Sheet'!G62</f>
        <v>191.26</v>
      </c>
      <c r="I45" s="227" t="n">
        <f aca="false">'Data Sheet'!H62</f>
        <v>273.32</v>
      </c>
      <c r="J45" s="227" t="n">
        <f aca="false">'Data Sheet'!I62</f>
        <v>348.5</v>
      </c>
      <c r="K45" s="227" t="n">
        <f aca="false">'Data Sheet'!J62</f>
        <v>435.71</v>
      </c>
      <c r="L45" s="276" t="n">
        <f aca="false">'Data Sheet'!K62</f>
        <v>939.26</v>
      </c>
      <c r="M45" s="175" t="n">
        <f aca="false">L45+M65-M16</f>
        <v>1138.62676323239</v>
      </c>
      <c r="N45" s="176" t="n">
        <f aca="false">M45+N65-N16</f>
        <v>1357.34248089526</v>
      </c>
      <c r="O45" s="177" t="n">
        <f aca="false">N45+O65-O16</f>
        <v>1595.81526122059</v>
      </c>
      <c r="P45" s="204"/>
      <c r="Q45" s="222" t="n">
        <f aca="false">((O45/L45)^(1/3))-1</f>
        <v>0.19325225058836</v>
      </c>
      <c r="R45" s="179" t="n">
        <f aca="false">((L45/I45)^(1/3))-1</f>
        <v>0.509054084495138</v>
      </c>
      <c r="S45" s="179" t="n">
        <f aca="false">((L45/G45)^(1/5))-1</f>
        <v>0.403669389632547</v>
      </c>
      <c r="T45" s="179" t="n">
        <f aca="false">IF(C45&gt;0,((L45/C45)^(1/9))-1,"-")</f>
        <v>0.338546954792434</v>
      </c>
      <c r="U45" s="171"/>
      <c r="W45" s="180"/>
    </row>
    <row r="46" customFormat="false" ht="12.75" hidden="false" customHeight="false" outlineLevel="0" collapsed="false">
      <c r="A46" s="226" t="s">
        <v>134</v>
      </c>
      <c r="B46" s="156" t="s">
        <v>105</v>
      </c>
      <c r="C46" s="223" t="n">
        <f aca="false">'Data Sheet'!B63</f>
        <v>32.44</v>
      </c>
      <c r="D46" s="227" t="n">
        <f aca="false">'Data Sheet'!C63</f>
        <v>23.88</v>
      </c>
      <c r="E46" s="227" t="n">
        <f aca="false">'Data Sheet'!D63</f>
        <v>46.22</v>
      </c>
      <c r="F46" s="227" t="n">
        <f aca="false">'Data Sheet'!E63</f>
        <v>14.65</v>
      </c>
      <c r="G46" s="227" t="n">
        <f aca="false">'Data Sheet'!F63</f>
        <v>13.49</v>
      </c>
      <c r="H46" s="227" t="n">
        <f aca="false">'Data Sheet'!G63</f>
        <v>42.49</v>
      </c>
      <c r="I46" s="227" t="n">
        <f aca="false">'Data Sheet'!H63</f>
        <v>45.5</v>
      </c>
      <c r="J46" s="227" t="n">
        <f aca="false">'Data Sheet'!I63</f>
        <v>42.76</v>
      </c>
      <c r="K46" s="227" t="n">
        <f aca="false">'Data Sheet'!J63</f>
        <v>39.29</v>
      </c>
      <c r="L46" s="276" t="n">
        <f aca="false">'Data Sheet'!K63</f>
        <v>47.54</v>
      </c>
      <c r="M46" s="175" t="n">
        <f aca="false">L46</f>
        <v>47.54</v>
      </c>
      <c r="N46" s="176" t="n">
        <f aca="false">M46</f>
        <v>47.54</v>
      </c>
      <c r="O46" s="177" t="n">
        <f aca="false">N46</f>
        <v>47.54</v>
      </c>
      <c r="P46" s="204"/>
      <c r="Q46" s="222" t="n">
        <f aca="false">((O46/L46)^(1/3))-1</f>
        <v>0</v>
      </c>
      <c r="R46" s="179" t="n">
        <f aca="false">((L46/I46)^(1/3))-1</f>
        <v>0.0147271026831903</v>
      </c>
      <c r="S46" s="179" t="n">
        <f aca="false">((L46/G46)^(1/5))-1</f>
        <v>0.286498978008427</v>
      </c>
      <c r="T46" s="179" t="n">
        <f aca="false">IF(C46&gt;0,((L46/C46)^(1/9))-1,"-")</f>
        <v>0.0433788688400454</v>
      </c>
      <c r="U46" s="171"/>
      <c r="W46" s="180"/>
    </row>
    <row r="47" customFormat="false" ht="12.75" hidden="false" customHeight="false" outlineLevel="0" collapsed="false">
      <c r="A47" s="226" t="s">
        <v>135</v>
      </c>
      <c r="B47" s="156" t="s">
        <v>105</v>
      </c>
      <c r="C47" s="223" t="n">
        <f aca="false">'Data Sheet'!B64</f>
        <v>0.04</v>
      </c>
      <c r="D47" s="227" t="n">
        <f aca="false">'Data Sheet'!C64</f>
        <v>0.04</v>
      </c>
      <c r="E47" s="227" t="n">
        <f aca="false">'Data Sheet'!D64</f>
        <v>0.02</v>
      </c>
      <c r="F47" s="227" t="n">
        <f aca="false">'Data Sheet'!E64</f>
        <v>0.01</v>
      </c>
      <c r="G47" s="227" t="n">
        <f aca="false">'Data Sheet'!F64</f>
        <v>0</v>
      </c>
      <c r="H47" s="227" t="n">
        <f aca="false">'Data Sheet'!G64</f>
        <v>0</v>
      </c>
      <c r="I47" s="227" t="n">
        <f aca="false">'Data Sheet'!H64</f>
        <v>1.11</v>
      </c>
      <c r="J47" s="227" t="n">
        <f aca="false">'Data Sheet'!I64</f>
        <v>16.5</v>
      </c>
      <c r="K47" s="227" t="n">
        <f aca="false">'Data Sheet'!J64</f>
        <v>527.94</v>
      </c>
      <c r="L47" s="276" t="n">
        <f aca="false">'Data Sheet'!K64</f>
        <v>412.71</v>
      </c>
      <c r="M47" s="175" t="n">
        <f aca="false">L47</f>
        <v>412.71</v>
      </c>
      <c r="N47" s="176" t="n">
        <f aca="false">M47</f>
        <v>412.71</v>
      </c>
      <c r="O47" s="177" t="n">
        <f aca="false">N47</f>
        <v>412.71</v>
      </c>
      <c r="P47" s="204"/>
      <c r="Q47" s="171"/>
      <c r="R47" s="224"/>
      <c r="S47" s="224"/>
      <c r="U47" s="171"/>
      <c r="W47" s="180"/>
    </row>
    <row r="48" customFormat="false" ht="12.75" hidden="false" customHeight="false" outlineLevel="0" collapsed="false">
      <c r="A48" s="226" t="s">
        <v>136</v>
      </c>
      <c r="B48" s="156" t="s">
        <v>105</v>
      </c>
      <c r="C48" s="223" t="n">
        <f aca="false">'Data Sheet'!B65</f>
        <v>254.59</v>
      </c>
      <c r="D48" s="227" t="n">
        <f aca="false">'Data Sheet'!C65</f>
        <v>358.96</v>
      </c>
      <c r="E48" s="227" t="n">
        <f aca="false">'Data Sheet'!D65</f>
        <v>389.77</v>
      </c>
      <c r="F48" s="227" t="n">
        <f aca="false">'Data Sheet'!E65</f>
        <v>418.06</v>
      </c>
      <c r="G48" s="227" t="n">
        <f aca="false">'Data Sheet'!F65</f>
        <v>540.47</v>
      </c>
      <c r="H48" s="227" t="n">
        <f aca="false">'Data Sheet'!G65</f>
        <v>763.75</v>
      </c>
      <c r="I48" s="227" t="n">
        <f aca="false">'Data Sheet'!H65</f>
        <v>884.97</v>
      </c>
      <c r="J48" s="227" t="n">
        <f aca="false">'Data Sheet'!I65</f>
        <v>1194.35</v>
      </c>
      <c r="K48" s="227" t="n">
        <f aca="false">'Data Sheet'!J65</f>
        <v>1511.78</v>
      </c>
      <c r="L48" s="276" t="n">
        <f aca="false">'Data Sheet'!K65</f>
        <v>2017.44</v>
      </c>
      <c r="M48" s="175"/>
      <c r="N48" s="176"/>
      <c r="O48" s="177"/>
      <c r="P48" s="204"/>
      <c r="Q48" s="171"/>
      <c r="R48" s="179" t="n">
        <f aca="false">((L48/I48)^(1/3))-1</f>
        <v>0.316105466310835</v>
      </c>
      <c r="S48" s="179" t="n">
        <f aca="false">((L48/G48)^(1/5))-1</f>
        <v>0.301385030903111</v>
      </c>
      <c r="T48" s="179" t="n">
        <f aca="false">IF(C48&gt;0,((L48/C48)^(1/9))-1,"-")</f>
        <v>0.258590256078804</v>
      </c>
      <c r="U48" s="171"/>
      <c r="W48" s="180"/>
    </row>
    <row r="49" customFormat="false" ht="12.75" hidden="false" customHeight="false" outlineLevel="0" collapsed="false">
      <c r="A49" s="226" t="s">
        <v>137</v>
      </c>
      <c r="B49" s="156" t="s">
        <v>105</v>
      </c>
      <c r="C49" s="223" t="n">
        <f aca="false">'Data Sheet'!B60</f>
        <v>39.39</v>
      </c>
      <c r="D49" s="227" t="n">
        <f aca="false">'Data Sheet'!C60</f>
        <v>69.59</v>
      </c>
      <c r="E49" s="227" t="n">
        <f aca="false">'Data Sheet'!D60</f>
        <v>122.93</v>
      </c>
      <c r="F49" s="227" t="n">
        <f aca="false">'Data Sheet'!E60</f>
        <v>109.88</v>
      </c>
      <c r="G49" s="227" t="n">
        <f aca="false">'Data Sheet'!F60</f>
        <v>196.31</v>
      </c>
      <c r="H49" s="227" t="n">
        <f aca="false">'Data Sheet'!G60</f>
        <v>219.13</v>
      </c>
      <c r="I49" s="227" t="n">
        <f aca="false">'Data Sheet'!H60</f>
        <v>268.25</v>
      </c>
      <c r="J49" s="227" t="n">
        <f aca="false">'Data Sheet'!I60</f>
        <v>217.12</v>
      </c>
      <c r="K49" s="227" t="n">
        <f aca="false">'Data Sheet'!J60</f>
        <v>158.86</v>
      </c>
      <c r="L49" s="276" t="n">
        <f aca="false">'Data Sheet'!K60</f>
        <v>229.42</v>
      </c>
      <c r="M49" s="175"/>
      <c r="N49" s="176"/>
      <c r="O49" s="177"/>
      <c r="P49" s="204"/>
      <c r="Q49" s="171"/>
      <c r="R49" s="179" t="n">
        <f aca="false">((L49/I49)^(1/3))-1</f>
        <v>-0.0507866267523195</v>
      </c>
      <c r="S49" s="179" t="n">
        <f aca="false">((L49/G49)^(1/5))-1</f>
        <v>0.0316627989743454</v>
      </c>
      <c r="T49" s="179" t="n">
        <f aca="false">IF(C49&gt;0,((L49/C49)^(1/9))-1,"-")</f>
        <v>0.216262327054552</v>
      </c>
      <c r="U49" s="171"/>
      <c r="W49" s="180"/>
    </row>
    <row r="50" customFormat="false" ht="12.75" hidden="false" customHeight="false" outlineLevel="0" collapsed="false">
      <c r="A50" s="277" t="s">
        <v>138</v>
      </c>
      <c r="B50" s="278" t="s">
        <v>105</v>
      </c>
      <c r="C50" s="279" t="n">
        <f aca="false">C48-C49</f>
        <v>215.2</v>
      </c>
      <c r="D50" s="280" t="n">
        <f aca="false">D48-D49</f>
        <v>289.37</v>
      </c>
      <c r="E50" s="280" t="n">
        <f aca="false">E48-E49</f>
        <v>266.84</v>
      </c>
      <c r="F50" s="280" t="n">
        <f aca="false">F48-F49</f>
        <v>308.18</v>
      </c>
      <c r="G50" s="280" t="n">
        <f aca="false">G48-G49</f>
        <v>344.16</v>
      </c>
      <c r="H50" s="280" t="n">
        <f aca="false">H48-H49</f>
        <v>544.62</v>
      </c>
      <c r="I50" s="280" t="n">
        <f aca="false">I48-I49</f>
        <v>616.72</v>
      </c>
      <c r="J50" s="280" t="n">
        <f aca="false">J48-J49</f>
        <v>977.23</v>
      </c>
      <c r="K50" s="280" t="n">
        <f aca="false">K48-K49</f>
        <v>1352.92</v>
      </c>
      <c r="L50" s="281" t="n">
        <f aca="false">L48-L49</f>
        <v>1788.02</v>
      </c>
      <c r="M50" s="282" t="n">
        <f aca="false">M9*$U71</f>
        <v>1763.50346844996</v>
      </c>
      <c r="N50" s="283" t="n">
        <f aca="false">N9*$V71</f>
        <v>2028.96613960091</v>
      </c>
      <c r="O50" s="284" t="n">
        <f aca="false">O9*$W71</f>
        <v>2334.38928207236</v>
      </c>
      <c r="P50" s="286"/>
      <c r="Q50" s="287"/>
      <c r="R50" s="179" t="n">
        <f aca="false">((L50/I50)^(1/3))-1</f>
        <v>0.425918750368162</v>
      </c>
      <c r="S50" s="179" t="n">
        <f aca="false">((L50/G50)^(1/5))-1</f>
        <v>0.39034441241557</v>
      </c>
      <c r="T50" s="179" t="n">
        <f aca="false">IF(C50&gt;0,((L50/C50)^(1/9))-1,"-")</f>
        <v>0.265231546190194</v>
      </c>
      <c r="U50" s="171"/>
      <c r="W50" s="180"/>
    </row>
    <row r="51" customFormat="false" ht="13.5" hidden="false" customHeight="true" outlineLevel="0" collapsed="false">
      <c r="A51" s="191" t="s">
        <v>139</v>
      </c>
      <c r="B51" s="288"/>
      <c r="C51" s="289" t="n">
        <f aca="false">C45+C46+C47+C50-C43</f>
        <v>0</v>
      </c>
      <c r="D51" s="288" t="n">
        <f aca="false">D45+D46+D47+D50-D43</f>
        <v>0</v>
      </c>
      <c r="E51" s="288" t="n">
        <f aca="false">E45+E46+E47+E50-E43</f>
        <v>0</v>
      </c>
      <c r="F51" s="288" t="n">
        <f aca="false">F45+F46+F47+F50-F43</f>
        <v>0</v>
      </c>
      <c r="G51" s="288" t="n">
        <f aca="false">G45+G46+G47+G50-G43</f>
        <v>0</v>
      </c>
      <c r="H51" s="288" t="n">
        <f aca="false">H45+H46+H47+H50-H43</f>
        <v>0</v>
      </c>
      <c r="I51" s="288" t="n">
        <f aca="false">I45+I46+I47+I50-I43</f>
        <v>0</v>
      </c>
      <c r="J51" s="288" t="n">
        <f aca="false">J45+J46+J47+J50-J43</f>
        <v>0</v>
      </c>
      <c r="K51" s="288" t="n">
        <f aca="false">K45+K46+K47+K50-K43</f>
        <v>0</v>
      </c>
      <c r="L51" s="290" t="n">
        <f aca="false">L45+L46+L47+L50-L43</f>
        <v>0</v>
      </c>
      <c r="M51" s="291" t="n">
        <f aca="false">M45+M46+M47+M50-M43</f>
        <v>0</v>
      </c>
      <c r="N51" s="292" t="n">
        <f aca="false">N45+N46+N47+N50-N43</f>
        <v>0</v>
      </c>
      <c r="O51" s="293" t="n">
        <f aca="false">O45+O46+O47+O50-O43</f>
        <v>0</v>
      </c>
      <c r="P51" s="294"/>
      <c r="Q51" s="191"/>
      <c r="R51" s="264"/>
      <c r="S51" s="264"/>
      <c r="T51" s="192"/>
      <c r="U51" s="171"/>
      <c r="W51" s="180"/>
    </row>
    <row r="52" customFormat="false" ht="13.5" hidden="false" customHeight="true" outlineLevel="0" collapsed="false">
      <c r="A52" s="171"/>
      <c r="B52" s="227"/>
      <c r="C52" s="223"/>
      <c r="D52" s="227"/>
      <c r="E52" s="227"/>
      <c r="F52" s="227"/>
      <c r="G52" s="227"/>
      <c r="H52" s="227"/>
      <c r="I52" s="227"/>
      <c r="J52" s="227"/>
      <c r="K52" s="227"/>
      <c r="L52" s="276"/>
      <c r="M52" s="175"/>
      <c r="N52" s="176"/>
      <c r="O52" s="177"/>
      <c r="P52" s="204"/>
      <c r="Q52" s="171"/>
      <c r="R52" s="224"/>
      <c r="S52" s="224"/>
      <c r="U52" s="171"/>
      <c r="W52" s="180"/>
    </row>
    <row r="53" customFormat="false" ht="12.75" hidden="false" customHeight="false" outlineLevel="0" collapsed="false">
      <c r="A53" s="295" t="str">
        <f aca="false">'Data Sheet'!A67</f>
        <v>Receivables</v>
      </c>
      <c r="B53" s="207" t="s">
        <v>105</v>
      </c>
      <c r="C53" s="295" t="n">
        <f aca="false">'Data Sheet'!B67</f>
        <v>60.27</v>
      </c>
      <c r="D53" s="296" t="n">
        <f aca="false">'Data Sheet'!C67</f>
        <v>113.15</v>
      </c>
      <c r="E53" s="296" t="n">
        <f aca="false">'Data Sheet'!D67</f>
        <v>96.46</v>
      </c>
      <c r="F53" s="296" t="n">
        <f aca="false">'Data Sheet'!E67</f>
        <v>67.53</v>
      </c>
      <c r="G53" s="296" t="n">
        <f aca="false">'Data Sheet'!F67</f>
        <v>59.38</v>
      </c>
      <c r="H53" s="296" t="n">
        <f aca="false">'Data Sheet'!G67</f>
        <v>109.65</v>
      </c>
      <c r="I53" s="296" t="n">
        <f aca="false">'Data Sheet'!H67</f>
        <v>137.02</v>
      </c>
      <c r="J53" s="296" t="n">
        <f aca="false">'Data Sheet'!I67</f>
        <v>264.33</v>
      </c>
      <c r="K53" s="296" t="n">
        <f aca="false">'Data Sheet'!J67</f>
        <v>275.08</v>
      </c>
      <c r="L53" s="297" t="n">
        <f aca="false">'Data Sheet'!K67</f>
        <v>430.92</v>
      </c>
      <c r="M53" s="298"/>
      <c r="N53" s="299"/>
      <c r="O53" s="300"/>
      <c r="P53" s="301"/>
      <c r="Q53" s="206"/>
      <c r="R53" s="215" t="n">
        <f aca="false">((L53/I53)^(1/3))-1</f>
        <v>0.46511223797078</v>
      </c>
      <c r="S53" s="215" t="n">
        <f aca="false">((L53/G53)^(1/5))-1</f>
        <v>0.486453375591491</v>
      </c>
      <c r="T53" s="215" t="n">
        <f aca="false">IF(C53&gt;0,((L53/C53)^(1/9))-1,"-")</f>
        <v>0.244290306295936</v>
      </c>
      <c r="U53" s="171"/>
      <c r="W53" s="180"/>
    </row>
    <row r="54" customFormat="false" ht="12.75" hidden="false" customHeight="false" outlineLevel="0" collapsed="false">
      <c r="A54" s="223" t="str">
        <f aca="false">'Data Sheet'!A68</f>
        <v>Inventory</v>
      </c>
      <c r="B54" s="156" t="s">
        <v>105</v>
      </c>
      <c r="C54" s="223" t="n">
        <f aca="false">'Data Sheet'!B68</f>
        <v>109.37</v>
      </c>
      <c r="D54" s="227" t="n">
        <f aca="false">'Data Sheet'!C68</f>
        <v>158.48</v>
      </c>
      <c r="E54" s="227" t="n">
        <f aca="false">'Data Sheet'!D68</f>
        <v>182.61</v>
      </c>
      <c r="F54" s="227" t="n">
        <f aca="false">'Data Sheet'!E68</f>
        <v>224.36</v>
      </c>
      <c r="G54" s="227" t="n">
        <f aca="false">'Data Sheet'!F68</f>
        <v>357.7</v>
      </c>
      <c r="H54" s="227" t="n">
        <f aca="false">'Data Sheet'!G68</f>
        <v>513.45</v>
      </c>
      <c r="I54" s="227" t="n">
        <f aca="false">'Data Sheet'!H68</f>
        <v>596.47</v>
      </c>
      <c r="J54" s="227" t="n">
        <f aca="false">'Data Sheet'!I68</f>
        <v>674.63</v>
      </c>
      <c r="K54" s="227" t="n">
        <f aca="false">'Data Sheet'!J68</f>
        <v>616.8</v>
      </c>
      <c r="L54" s="276" t="n">
        <f aca="false">'Data Sheet'!K68</f>
        <v>1023.27</v>
      </c>
      <c r="M54" s="175"/>
      <c r="N54" s="176"/>
      <c r="O54" s="177"/>
      <c r="P54" s="204"/>
      <c r="Q54" s="171"/>
      <c r="R54" s="179" t="n">
        <f aca="false">((L54/I54)^(1/3))-1</f>
        <v>0.197109504224181</v>
      </c>
      <c r="S54" s="179" t="n">
        <f aca="false">((L54/G54)^(1/5))-1</f>
        <v>0.233940618156741</v>
      </c>
      <c r="T54" s="179" t="n">
        <f aca="false">IF(C54&gt;0,((L54/C54)^(1/9))-1,"-")</f>
        <v>0.282032734851179</v>
      </c>
      <c r="U54" s="171"/>
      <c r="W54" s="180"/>
    </row>
    <row r="55" customFormat="false" ht="13.5" hidden="false" customHeight="true" outlineLevel="0" collapsed="false">
      <c r="A55" s="289" t="str">
        <f aca="false">'Data Sheet'!A69</f>
        <v>Cash &amp; Bank</v>
      </c>
      <c r="B55" s="192" t="s">
        <v>105</v>
      </c>
      <c r="C55" s="289" t="n">
        <f aca="false">'Data Sheet'!B69</f>
        <v>17.76</v>
      </c>
      <c r="D55" s="288" t="n">
        <f aca="false">'Data Sheet'!C69</f>
        <v>16.58</v>
      </c>
      <c r="E55" s="288" t="n">
        <f aca="false">'Data Sheet'!D69</f>
        <v>21.87</v>
      </c>
      <c r="F55" s="288" t="n">
        <f aca="false">'Data Sheet'!E69</f>
        <v>20.32</v>
      </c>
      <c r="G55" s="288" t="n">
        <f aca="false">'Data Sheet'!F69</f>
        <v>19.86</v>
      </c>
      <c r="H55" s="288" t="n">
        <f aca="false">'Data Sheet'!G69</f>
        <v>32.52</v>
      </c>
      <c r="I55" s="288" t="n">
        <f aca="false">'Data Sheet'!H69</f>
        <v>38.12</v>
      </c>
      <c r="J55" s="288" t="n">
        <f aca="false">'Data Sheet'!I69</f>
        <v>98.78</v>
      </c>
      <c r="K55" s="288" t="n">
        <f aca="false">'Data Sheet'!J69</f>
        <v>407.27</v>
      </c>
      <c r="L55" s="290" t="n">
        <f aca="false">'Data Sheet'!K69</f>
        <v>201.81</v>
      </c>
      <c r="M55" s="291"/>
      <c r="N55" s="292"/>
      <c r="O55" s="293"/>
      <c r="P55" s="294"/>
      <c r="Q55" s="191"/>
      <c r="R55" s="200" t="n">
        <f aca="false">((L55/I55)^(1/3))-1</f>
        <v>0.742863053399963</v>
      </c>
      <c r="S55" s="200" t="n">
        <f aca="false">((L55/G55)^(1/5))-1</f>
        <v>0.58998375693804</v>
      </c>
      <c r="T55" s="200" t="n">
        <f aca="false">IF(C55&gt;0,((L55/C55)^(1/9))-1,"-")</f>
        <v>0.31001945920825</v>
      </c>
      <c r="U55" s="171"/>
      <c r="W55" s="180"/>
    </row>
    <row r="56" customFormat="false" ht="13.5" hidden="false" customHeight="true" outlineLevel="0" collapsed="false">
      <c r="A56" s="171"/>
      <c r="C56" s="171"/>
      <c r="L56" s="180"/>
      <c r="M56" s="201"/>
      <c r="N56" s="202"/>
      <c r="O56" s="203"/>
      <c r="P56" s="204"/>
      <c r="Q56" s="171"/>
      <c r="U56" s="171"/>
      <c r="W56" s="180"/>
    </row>
    <row r="57" customFormat="false" ht="12.75" hidden="false" customHeight="false" outlineLevel="0" collapsed="false">
      <c r="A57" s="302" t="s">
        <v>125</v>
      </c>
      <c r="B57" s="207"/>
      <c r="C57" s="206"/>
      <c r="D57" s="207"/>
      <c r="E57" s="207"/>
      <c r="F57" s="207"/>
      <c r="G57" s="207"/>
      <c r="H57" s="207"/>
      <c r="I57" s="207"/>
      <c r="J57" s="207"/>
      <c r="K57" s="207"/>
      <c r="L57" s="303"/>
      <c r="M57" s="304"/>
      <c r="N57" s="305"/>
      <c r="O57" s="306"/>
      <c r="P57" s="301"/>
      <c r="Q57" s="206"/>
      <c r="R57" s="207"/>
      <c r="S57" s="207"/>
      <c r="T57" s="303"/>
      <c r="U57" s="171"/>
      <c r="W57" s="180"/>
    </row>
    <row r="58" customFormat="false" ht="12.75" hidden="false" customHeight="false" outlineLevel="0" collapsed="false">
      <c r="A58" s="171" t="s">
        <v>129</v>
      </c>
      <c r="B58" s="156" t="s">
        <v>118</v>
      </c>
      <c r="C58" s="222"/>
      <c r="D58" s="179" t="n">
        <f aca="false">D41/C41-1</f>
        <v>0.263354202744106</v>
      </c>
      <c r="E58" s="224" t="n">
        <f aca="false">E41/D41-1</f>
        <v>0.050822437789962</v>
      </c>
      <c r="F58" s="224" t="n">
        <f aca="false">F41/E41-1</f>
        <v>0.129741119807345</v>
      </c>
      <c r="G58" s="224" t="n">
        <f aca="false">G41/F41-1</f>
        <v>0.194289013233857</v>
      </c>
      <c r="H58" s="224" t="n">
        <f aca="false">H41/G41-1</f>
        <v>0.438478414457294</v>
      </c>
      <c r="I58" s="224" t="n">
        <f aca="false">I41/H41-1</f>
        <v>0.522373012795657</v>
      </c>
      <c r="J58" s="224" t="n">
        <f aca="false">J41/I41-1</f>
        <v>0.421900735231691</v>
      </c>
      <c r="K58" s="224" t="n">
        <f aca="false">K41/J41-1</f>
        <v>1.47182947217578</v>
      </c>
      <c r="L58" s="224" t="n">
        <f aca="false">L41/K41-1</f>
        <v>0.18441381509341</v>
      </c>
      <c r="M58" s="201"/>
      <c r="N58" s="202"/>
      <c r="O58" s="203"/>
      <c r="P58" s="204"/>
      <c r="Q58" s="171"/>
      <c r="T58" s="180"/>
      <c r="U58" s="171"/>
      <c r="W58" s="180"/>
    </row>
    <row r="59" customFormat="false" ht="12.75" hidden="false" customHeight="false" outlineLevel="0" collapsed="false">
      <c r="A59" s="171" t="s">
        <v>130</v>
      </c>
      <c r="B59" s="156" t="s">
        <v>118</v>
      </c>
      <c r="C59" s="222"/>
      <c r="D59" s="179" t="n">
        <f aca="false">D42/C42-1</f>
        <v>0.403851959186138</v>
      </c>
      <c r="E59" s="224" t="n">
        <f aca="false">E42/D42-1</f>
        <v>0.0763805264063306</v>
      </c>
      <c r="F59" s="224" t="n">
        <f aca="false">F42/E42-1</f>
        <v>0.115950135847851</v>
      </c>
      <c r="G59" s="224" t="n">
        <f aca="false">G42/F42-1</f>
        <v>-0.0651987110633728</v>
      </c>
      <c r="H59" s="224" t="n">
        <f aca="false">H42/G42-1</f>
        <v>0.499559538856333</v>
      </c>
      <c r="I59" s="224" t="n">
        <f aca="false">I42/H42-1</f>
        <v>-0.111871679607683</v>
      </c>
      <c r="J59" s="224" t="n">
        <f aca="false">J42/I42-1</f>
        <v>0.574801564477166</v>
      </c>
      <c r="K59" s="224" t="n">
        <f aca="false">K42/J42-1</f>
        <v>-0.477802735623368</v>
      </c>
      <c r="L59" s="224" t="n">
        <f aca="false">L42/K42-1</f>
        <v>1.57352684035671</v>
      </c>
      <c r="M59" s="201"/>
      <c r="N59" s="202"/>
      <c r="O59" s="203"/>
      <c r="P59" s="204"/>
      <c r="Q59" s="171"/>
      <c r="T59" s="180"/>
      <c r="U59" s="171"/>
      <c r="W59" s="180"/>
    </row>
    <row r="60" customFormat="false" ht="12.75" hidden="false" customHeight="false" outlineLevel="0" collapsed="false">
      <c r="A60" s="307" t="s">
        <v>140</v>
      </c>
      <c r="B60" s="156" t="s">
        <v>118</v>
      </c>
      <c r="C60" s="222"/>
      <c r="D60" s="179" t="n">
        <f aca="false">D43/C43-1</f>
        <v>0.337049118028945</v>
      </c>
      <c r="E60" s="224" t="n">
        <f aca="false">E43/D43-1</f>
        <v>0.0648981525343439</v>
      </c>
      <c r="F60" s="224" t="n">
        <f aca="false">F43/E43-1</f>
        <v>0.122064056939502</v>
      </c>
      <c r="G60" s="224" t="n">
        <f aca="false">G43/F43-1</f>
        <v>0.050626387567396</v>
      </c>
      <c r="H60" s="224" t="n">
        <f aca="false">H43/G43-1</f>
        <v>0.468567223878344</v>
      </c>
      <c r="I60" s="224" t="n">
        <f aca="false">I43/H43-1</f>
        <v>0.20334802214885</v>
      </c>
      <c r="J60" s="224" t="n">
        <f aca="false">J43/I43-1</f>
        <v>0.478663321411413</v>
      </c>
      <c r="K60" s="224" t="n">
        <f aca="false">K43/J43-1</f>
        <v>0.700994231005278</v>
      </c>
      <c r="L60" s="224" t="n">
        <f aca="false">L43/K43-1</f>
        <v>0.353021826424321</v>
      </c>
      <c r="M60" s="201"/>
      <c r="N60" s="202"/>
      <c r="O60" s="203"/>
      <c r="P60" s="204"/>
      <c r="Q60" s="171"/>
      <c r="T60" s="180"/>
      <c r="U60" s="171"/>
      <c r="W60" s="180"/>
    </row>
    <row r="61" customFormat="false" ht="13.5" hidden="false" customHeight="true" outlineLevel="0" collapsed="false">
      <c r="A61" s="191" t="s">
        <v>138</v>
      </c>
      <c r="B61" s="192" t="s">
        <v>118</v>
      </c>
      <c r="C61" s="263"/>
      <c r="D61" s="200" t="n">
        <f aca="false">D50/C50-1</f>
        <v>0.344656133828996</v>
      </c>
      <c r="E61" s="264" t="n">
        <f aca="false">E50/D50-1</f>
        <v>-0.0778587966962713</v>
      </c>
      <c r="F61" s="264" t="n">
        <f aca="false">F50/E50-1</f>
        <v>0.154924299205517</v>
      </c>
      <c r="G61" s="264" t="n">
        <f aca="false">G50/F50-1</f>
        <v>0.116749951327147</v>
      </c>
      <c r="H61" s="264" t="n">
        <f aca="false">H50/G50-1</f>
        <v>0.582461645746164</v>
      </c>
      <c r="I61" s="264" t="n">
        <f aca="false">I50/H50-1</f>
        <v>0.132385883735449</v>
      </c>
      <c r="J61" s="264" t="n">
        <f aca="false">J50/I50-1</f>
        <v>0.584560254248281</v>
      </c>
      <c r="K61" s="264" t="n">
        <f aca="false">K50/J50-1</f>
        <v>0.384443784984088</v>
      </c>
      <c r="L61" s="264" t="n">
        <f aca="false">L50/K50-1</f>
        <v>0.32160068592378</v>
      </c>
      <c r="M61" s="308"/>
      <c r="N61" s="309"/>
      <c r="O61" s="310"/>
      <c r="P61" s="294"/>
      <c r="Q61" s="191"/>
      <c r="R61" s="192"/>
      <c r="S61" s="192"/>
      <c r="T61" s="311"/>
      <c r="U61" s="171"/>
      <c r="W61" s="180"/>
    </row>
    <row r="62" customFormat="false" ht="13.5" hidden="false" customHeight="true" outlineLevel="0" collapsed="false">
      <c r="A62" s="171"/>
      <c r="C62" s="171"/>
      <c r="G62" s="242"/>
      <c r="L62" s="180"/>
      <c r="M62" s="188"/>
      <c r="N62" s="189"/>
      <c r="O62" s="190"/>
      <c r="P62" s="253"/>
      <c r="Q62" s="222"/>
      <c r="R62" s="224"/>
      <c r="S62" s="224"/>
      <c r="U62" s="171"/>
      <c r="W62" s="180"/>
    </row>
    <row r="63" customFormat="false" ht="12.75" hidden="false" customHeight="false" outlineLevel="0" collapsed="false">
      <c r="A63" s="302" t="s">
        <v>141</v>
      </c>
      <c r="B63" s="207"/>
      <c r="C63" s="206"/>
      <c r="D63" s="207"/>
      <c r="E63" s="207"/>
      <c r="F63" s="207"/>
      <c r="G63" s="245"/>
      <c r="H63" s="207"/>
      <c r="I63" s="207"/>
      <c r="J63" s="207"/>
      <c r="K63" s="207"/>
      <c r="L63" s="303"/>
      <c r="M63" s="210"/>
      <c r="N63" s="211"/>
      <c r="O63" s="212"/>
      <c r="P63" s="275"/>
      <c r="Q63" s="214"/>
      <c r="R63" s="252"/>
      <c r="S63" s="252"/>
      <c r="T63" s="207"/>
      <c r="U63" s="171"/>
      <c r="W63" s="180"/>
    </row>
    <row r="64" customFormat="false" ht="12.75" hidden="false" customHeight="false" outlineLevel="0" collapsed="false">
      <c r="A64" s="171" t="s">
        <v>58</v>
      </c>
      <c r="B64" s="156" t="s">
        <v>105</v>
      </c>
      <c r="C64" s="223" t="n">
        <f aca="false">'Data Sheet'!B82</f>
        <v>1</v>
      </c>
      <c r="D64" s="173" t="n">
        <f aca="false">'Data Sheet'!C82</f>
        <v>-2.55</v>
      </c>
      <c r="E64" s="173" t="n">
        <f aca="false">'Data Sheet'!D82</f>
        <v>89.02</v>
      </c>
      <c r="F64" s="173" t="n">
        <f aca="false">'Data Sheet'!E82</f>
        <v>33.87</v>
      </c>
      <c r="G64" s="173" t="n">
        <f aca="false">'Data Sheet'!F82</f>
        <v>76.51</v>
      </c>
      <c r="H64" s="173" t="n">
        <f aca="false">'Data Sheet'!G82</f>
        <v>9.61</v>
      </c>
      <c r="I64" s="173" t="n">
        <f aca="false">'Data Sheet'!H82</f>
        <v>199.66</v>
      </c>
      <c r="J64" s="173" t="n">
        <f aca="false">'Data Sheet'!I82</f>
        <v>42.4</v>
      </c>
      <c r="K64" s="173" t="n">
        <f aca="false">'Data Sheet'!J82</f>
        <v>282.18</v>
      </c>
      <c r="L64" s="173" t="n">
        <f aca="false">'Data Sheet'!K82</f>
        <v>169.29</v>
      </c>
      <c r="M64" s="175" t="n">
        <f aca="false">M13-M19-M50+L50</f>
        <v>416.2719240676</v>
      </c>
      <c r="N64" s="176" t="n">
        <f aca="false">N13-N19-N50+M50</f>
        <v>189.243383690212</v>
      </c>
      <c r="O64" s="177" t="n">
        <f aca="false">O13-O19-O50+N50</f>
        <v>224.627031661142</v>
      </c>
      <c r="P64" s="234"/>
      <c r="Q64" s="222" t="n">
        <f aca="false">((O64/L64)^(1/3))-1</f>
        <v>0.098863052189597</v>
      </c>
      <c r="R64" s="179" t="n">
        <f aca="false">((L64/I64)^(1/3))-1</f>
        <v>-0.0535157036490225</v>
      </c>
      <c r="S64" s="179" t="n">
        <f aca="false">((L64/G64)^(1/5))-1</f>
        <v>0.172148458117032</v>
      </c>
      <c r="T64" s="179" t="n">
        <f aca="false">IF(C64&gt;0,((L64/C64)^(1/9))-1,"-")</f>
        <v>0.768584035944395</v>
      </c>
      <c r="U64" s="171"/>
      <c r="W64" s="180"/>
    </row>
    <row r="65" customFormat="false" ht="12.75" hidden="false" customHeight="false" outlineLevel="0" collapsed="false">
      <c r="A65" s="171" t="s">
        <v>142</v>
      </c>
      <c r="B65" s="156" t="s">
        <v>105</v>
      </c>
      <c r="C65" s="223" t="n">
        <f aca="false">C16</f>
        <v>5.85</v>
      </c>
      <c r="D65" s="173" t="n">
        <f aca="false">(D45+D46+D16)-(C45+C46)</f>
        <v>40.95</v>
      </c>
      <c r="E65" s="173" t="n">
        <f aca="false">(E45+E46+E16)-(D45+D46)</f>
        <v>61.51</v>
      </c>
      <c r="F65" s="173" t="n">
        <f aca="false">(F45+F46+F16)-(E45+E46)</f>
        <v>31.68</v>
      </c>
      <c r="G65" s="173" t="n">
        <f aca="false">(G45+G46+G16)-(F45+F46)</f>
        <v>9.87000000000003</v>
      </c>
      <c r="H65" s="173" t="n">
        <f aca="false">(H45+H46+H16)-(G45+G46)</f>
        <v>68.45</v>
      </c>
      <c r="I65" s="173" t="n">
        <f aca="false">(I45+I46+I16)-(H45+H46)</f>
        <v>109.03</v>
      </c>
      <c r="J65" s="173" t="n">
        <f aca="false">(J45+J46+J16)-(I45+I46)</f>
        <v>110.43</v>
      </c>
      <c r="K65" s="173" t="n">
        <f aca="false">(K45+K46+K16)-(J45+J46)</f>
        <v>112.83</v>
      </c>
      <c r="L65" s="173" t="n">
        <f aca="false">(L45+L46+L16)-(K45+K46)</f>
        <v>550.63</v>
      </c>
      <c r="M65" s="175" t="n">
        <f aca="false">AVERAGE(J65:L65)</f>
        <v>257.963333333333</v>
      </c>
      <c r="N65" s="176" t="n">
        <f aca="false">AVERAGE(K65:M65)</f>
        <v>307.141111111111</v>
      </c>
      <c r="O65" s="177" t="n">
        <f aca="false">AVERAGE(L65:N65)</f>
        <v>371.911481481481</v>
      </c>
      <c r="P65" s="234"/>
      <c r="Q65" s="222" t="n">
        <f aca="false">((O65/L65)^(1/3))-1</f>
        <v>-0.122608871503989</v>
      </c>
      <c r="R65" s="179" t="n">
        <f aca="false">((L65/I65)^(1/3))-1</f>
        <v>0.715686572812448</v>
      </c>
      <c r="S65" s="179" t="n">
        <f aca="false">((L65/G65)^(1/5))-1</f>
        <v>1.23515962200925</v>
      </c>
      <c r="T65" s="179" t="n">
        <f aca="false">IF(C65&gt;0,((L65/C65)^(1/9))-1,"-")</f>
        <v>0.656915821014208</v>
      </c>
      <c r="U65" s="171"/>
      <c r="W65" s="180"/>
    </row>
    <row r="66" customFormat="false" ht="13.5" hidden="false" customHeight="true" outlineLevel="0" collapsed="false">
      <c r="A66" s="191" t="s">
        <v>143</v>
      </c>
      <c r="B66" s="192" t="s">
        <v>105</v>
      </c>
      <c r="C66" s="193" t="n">
        <f aca="false">C64-C65</f>
        <v>-4.85</v>
      </c>
      <c r="D66" s="194" t="n">
        <f aca="false">D64-D65</f>
        <v>-43.5</v>
      </c>
      <c r="E66" s="194" t="n">
        <f aca="false">E64-E65</f>
        <v>27.51</v>
      </c>
      <c r="F66" s="194" t="n">
        <f aca="false">F64-F65</f>
        <v>2.19000000000002</v>
      </c>
      <c r="G66" s="194" t="n">
        <f aca="false">G64-G65</f>
        <v>66.64</v>
      </c>
      <c r="H66" s="194" t="n">
        <f aca="false">H64-H65</f>
        <v>-58.84</v>
      </c>
      <c r="I66" s="194" t="n">
        <f aca="false">I64-I65</f>
        <v>90.63</v>
      </c>
      <c r="J66" s="194" t="n">
        <f aca="false">J64-J65</f>
        <v>-68.03</v>
      </c>
      <c r="K66" s="194" t="n">
        <f aca="false">K64-K65</f>
        <v>169.35</v>
      </c>
      <c r="L66" s="195" t="n">
        <f aca="false">L64-L65</f>
        <v>-381.34</v>
      </c>
      <c r="M66" s="196" t="n">
        <f aca="false">M64-M65</f>
        <v>158.308590734267</v>
      </c>
      <c r="N66" s="197" t="n">
        <f aca="false">N64-N65</f>
        <v>-117.897727420899</v>
      </c>
      <c r="O66" s="198" t="n">
        <f aca="false">O64-O65</f>
        <v>-147.284449820339</v>
      </c>
      <c r="P66" s="294"/>
      <c r="Q66" s="263" t="n">
        <f aca="false">((O66/L66)^(1/3))-1</f>
        <v>-0.271748292592245</v>
      </c>
      <c r="R66" s="200" t="n">
        <f aca="false">((L66/I66)^(1/3))-1</f>
        <v>-2.61440859386045</v>
      </c>
      <c r="S66" s="200" t="n">
        <f aca="false">((L66/G66)^(1/5))-1</f>
        <v>-2.41747521797309</v>
      </c>
      <c r="T66" s="200" t="str">
        <f aca="false">IF(C66&gt;0,((L66/C66)^(1/9))-1,"-")</f>
        <v>-</v>
      </c>
      <c r="U66" s="171"/>
      <c r="W66" s="180"/>
    </row>
    <row r="67" customFormat="false" ht="13.5" hidden="false" customHeight="true" outlineLevel="0" collapsed="false">
      <c r="A67" s="171"/>
      <c r="C67" s="172"/>
      <c r="D67" s="173"/>
      <c r="E67" s="173"/>
      <c r="F67" s="173"/>
      <c r="G67" s="173"/>
      <c r="H67" s="173"/>
      <c r="I67" s="173"/>
      <c r="J67" s="173"/>
      <c r="K67" s="173"/>
      <c r="L67" s="174"/>
      <c r="M67" s="188"/>
      <c r="N67" s="189"/>
      <c r="O67" s="190"/>
      <c r="P67" s="204"/>
      <c r="Q67" s="171"/>
      <c r="R67" s="179"/>
      <c r="S67" s="179"/>
      <c r="U67" s="171"/>
      <c r="W67" s="180"/>
    </row>
    <row r="68" customFormat="false" ht="12.75" hidden="false" customHeight="false" outlineLevel="0" collapsed="false">
      <c r="A68" s="206" t="s">
        <v>144</v>
      </c>
      <c r="B68" s="312" t="s">
        <v>145</v>
      </c>
      <c r="C68" s="313" t="n">
        <f aca="false">C53/C$9*365</f>
        <v>33.5937786329485</v>
      </c>
      <c r="D68" s="209" t="n">
        <f aca="false">D53/D$9*365</f>
        <v>40.5934244151759</v>
      </c>
      <c r="E68" s="209" t="n">
        <f aca="false">E53/E$9*365</f>
        <v>28.3539094650206</v>
      </c>
      <c r="F68" s="209" t="n">
        <f aca="false">F53/F$9*365</f>
        <v>18.2879136370381</v>
      </c>
      <c r="G68" s="209" t="n">
        <f aca="false">G53/G$9*365</f>
        <v>15.3741443518354</v>
      </c>
      <c r="H68" s="209" t="n">
        <f aca="false">H53/H$9*365</f>
        <v>18.0616417028075</v>
      </c>
      <c r="I68" s="209" t="n">
        <f aca="false">I53/I$9*365</f>
        <v>17.8577090623438</v>
      </c>
      <c r="J68" s="209" t="n">
        <f aca="false">J53/J$9*365</f>
        <v>30.5245432255003</v>
      </c>
      <c r="K68" s="209" t="n">
        <f aca="false">K53/K$9*365</f>
        <v>25.9524861907014</v>
      </c>
      <c r="L68" s="209" t="n">
        <f aca="false">L53/L$9*365</f>
        <v>36.8759304803682</v>
      </c>
      <c r="M68" s="304"/>
      <c r="N68" s="305"/>
      <c r="O68" s="306"/>
      <c r="P68" s="301"/>
      <c r="Q68" s="206"/>
      <c r="R68" s="296" t="n">
        <f aca="false">AVERAGE(J68:L68)</f>
        <v>31.1176532988566</v>
      </c>
      <c r="S68" s="296" t="n">
        <f aca="false">AVERAGE(H68:L68)</f>
        <v>25.8544621323442</v>
      </c>
      <c r="T68" s="312" t="n">
        <f aca="false">AVERAGE(C68:L68)</f>
        <v>26.547548116374</v>
      </c>
      <c r="U68" s="171"/>
      <c r="W68" s="180"/>
    </row>
    <row r="69" customFormat="false" ht="12.75" hidden="false" customHeight="false" outlineLevel="0" collapsed="false">
      <c r="A69" s="171" t="s">
        <v>146</v>
      </c>
      <c r="B69" s="314" t="s">
        <v>145</v>
      </c>
      <c r="C69" s="315" t="n">
        <f aca="false">C54/C$9*365</f>
        <v>60.9615325881131</v>
      </c>
      <c r="D69" s="173" t="n">
        <f aca="false">D54/D$9*365</f>
        <v>56.8559072144682</v>
      </c>
      <c r="E69" s="173" t="n">
        <f aca="false">E54/E$9*365</f>
        <v>53.6772486772487</v>
      </c>
      <c r="F69" s="173" t="n">
        <f aca="false">F54/F$9*365</f>
        <v>60.7593114705446</v>
      </c>
      <c r="G69" s="173" t="n">
        <f aca="false">G54/G$9*365</f>
        <v>92.6125199503458</v>
      </c>
      <c r="H69" s="173" t="n">
        <f aca="false">H54/H$9*365</f>
        <v>84.5759227752531</v>
      </c>
      <c r="I69" s="173" t="n">
        <f aca="false">I54/I$9*365</f>
        <v>77.7374669713633</v>
      </c>
      <c r="J69" s="173" t="n">
        <f aca="false">J54/J$9*365</f>
        <v>77.9055445701179</v>
      </c>
      <c r="K69" s="173" t="n">
        <f aca="false">K54/K$9*365</f>
        <v>58.1921385866826</v>
      </c>
      <c r="L69" s="174" t="n">
        <f aca="false">L54/L$9*365</f>
        <v>87.5662150344527</v>
      </c>
      <c r="M69" s="202"/>
      <c r="N69" s="202"/>
      <c r="O69" s="203"/>
      <c r="P69" s="204"/>
      <c r="Q69" s="171"/>
      <c r="R69" s="227" t="n">
        <f aca="false">AVERAGE(J69:L69)</f>
        <v>74.5546327304177</v>
      </c>
      <c r="S69" s="227" t="n">
        <f aca="false">AVERAGE(H69:L69)</f>
        <v>77.1954575875739</v>
      </c>
      <c r="T69" s="314" t="n">
        <f aca="false">AVERAGE(C69:L69)</f>
        <v>71.084380783859</v>
      </c>
      <c r="U69" s="171"/>
      <c r="W69" s="180"/>
    </row>
    <row r="70" customFormat="false" ht="12.75" hidden="false" customHeight="false" outlineLevel="0" collapsed="false">
      <c r="A70" s="171" t="s">
        <v>147</v>
      </c>
      <c r="B70" s="314" t="s">
        <v>145</v>
      </c>
      <c r="C70" s="315" t="n">
        <f aca="false">C50/C$9*365</f>
        <v>119.949911428746</v>
      </c>
      <c r="D70" s="173" t="n">
        <f aca="false">D50/D$9*365</f>
        <v>103.813691763318</v>
      </c>
      <c r="E70" s="173" t="n">
        <f aca="false">E50/E$9*365</f>
        <v>78.4362139917695</v>
      </c>
      <c r="F70" s="173" t="n">
        <f aca="false">F50/F$9*365</f>
        <v>83.458747588663</v>
      </c>
      <c r="G70" s="173" t="n">
        <f aca="false">G50/G$9*365</f>
        <v>89.1068629189573</v>
      </c>
      <c r="H70" s="173" t="n">
        <f aca="false">H50/H$9*365</f>
        <v>89.7102718119745</v>
      </c>
      <c r="I70" s="173" t="n">
        <f aca="false">I50/I$9*365</f>
        <v>80.3766335785189</v>
      </c>
      <c r="J70" s="173" t="n">
        <f aca="false">J50/J$9*365</f>
        <v>112.849466107728</v>
      </c>
      <c r="K70" s="173" t="n">
        <f aca="false">K50/K$9*365</f>
        <v>127.641550156768</v>
      </c>
      <c r="L70" s="174" t="n">
        <f aca="false">L50/L$9*365</f>
        <v>153.009610177081</v>
      </c>
      <c r="M70" s="202"/>
      <c r="N70" s="202"/>
      <c r="O70" s="203"/>
      <c r="P70" s="204"/>
      <c r="Q70" s="171"/>
      <c r="R70" s="227" t="n">
        <f aca="false">AVERAGE(J70:L70)</f>
        <v>131.166875480526</v>
      </c>
      <c r="S70" s="227" t="n">
        <f aca="false">AVERAGE(H70:L70)</f>
        <v>112.717506366414</v>
      </c>
      <c r="T70" s="314" t="n">
        <f aca="false">AVERAGE(C70:L70)</f>
        <v>103.835295952352</v>
      </c>
      <c r="U70" s="171"/>
      <c r="W70" s="180"/>
    </row>
    <row r="71" customFormat="false" ht="12.75" hidden="false" customHeight="false" outlineLevel="0" collapsed="false">
      <c r="A71" s="307" t="s">
        <v>148</v>
      </c>
      <c r="B71" s="156" t="s">
        <v>118</v>
      </c>
      <c r="C71" s="316" t="n">
        <f aca="false">C50/C9</f>
        <v>0.328629894325331</v>
      </c>
      <c r="D71" s="179" t="n">
        <f aca="false">D50/D9</f>
        <v>0.28442107332416</v>
      </c>
      <c r="E71" s="179" t="n">
        <f aca="false">E50/E9</f>
        <v>0.214893736963752</v>
      </c>
      <c r="F71" s="179" t="n">
        <f aca="false">F50/F9</f>
        <v>0.228654102982638</v>
      </c>
      <c r="G71" s="179" t="n">
        <f aca="false">G50/G9</f>
        <v>0.244128391558787</v>
      </c>
      <c r="H71" s="179" t="n">
        <f aca="false">H50/H9</f>
        <v>0.245781566608149</v>
      </c>
      <c r="I71" s="179" t="n">
        <f aca="false">I50/I9</f>
        <v>0.220209955009641</v>
      </c>
      <c r="J71" s="179" t="n">
        <f aca="false">J50/J9</f>
        <v>0.309176619473226</v>
      </c>
      <c r="K71" s="179" t="n">
        <f aca="false">K50/K9</f>
        <v>0.349702877141831</v>
      </c>
      <c r="L71" s="179" t="n">
        <f aca="false">L50/L9</f>
        <v>0.419204411444059</v>
      </c>
      <c r="M71" s="317" t="n">
        <f aca="false">M50/M9</f>
        <v>0.359361302686372</v>
      </c>
      <c r="N71" s="318" t="n">
        <f aca="false">N50/N9</f>
        <v>0.359361302686372</v>
      </c>
      <c r="O71" s="319" t="n">
        <f aca="false">O50/O9</f>
        <v>0.359361302686372</v>
      </c>
      <c r="P71" s="204"/>
      <c r="Q71" s="171"/>
      <c r="R71" s="179" t="n">
        <f aca="false">AVERAGE(J71:L71)</f>
        <v>0.359361302686372</v>
      </c>
      <c r="S71" s="179" t="n">
        <f aca="false">AVERAGE(H71:L71)</f>
        <v>0.308815085935381</v>
      </c>
      <c r="T71" s="179" t="n">
        <f aca="false">AVERAGE(C71:L71)</f>
        <v>0.284480262883157</v>
      </c>
      <c r="U71" s="216" t="n">
        <f aca="false">R71</f>
        <v>0.359361302686372</v>
      </c>
      <c r="V71" s="217" t="n">
        <f aca="false">U71</f>
        <v>0.359361302686372</v>
      </c>
      <c r="W71" s="218" t="n">
        <f aca="false">V71</f>
        <v>0.359361302686372</v>
      </c>
    </row>
    <row r="72" customFormat="false" ht="12.75" hidden="false" customHeight="false" outlineLevel="0" collapsed="false">
      <c r="A72" s="171" t="s">
        <v>149</v>
      </c>
      <c r="B72" s="314" t="s">
        <v>150</v>
      </c>
      <c r="C72" s="181" t="n">
        <f aca="false">C9/SUM(C45:C46)</f>
        <v>6.51387645478962</v>
      </c>
      <c r="D72" s="230" t="n">
        <f aca="false">D9/SUM(D45:D46)</f>
        <v>7.66172151517434</v>
      </c>
      <c r="E72" s="230" t="n">
        <f aca="false">E9/SUM(E45:E46)</f>
        <v>6.79506402539127</v>
      </c>
      <c r="F72" s="230" t="n">
        <f aca="false">F9/SUM(F45:F46)</f>
        <v>6.86637118549086</v>
      </c>
      <c r="G72" s="230" t="n">
        <f aca="false">G9/SUM(G45:G46)</f>
        <v>7.58501022274831</v>
      </c>
      <c r="H72" s="230" t="n">
        <f aca="false">H9/SUM(H45:H46)</f>
        <v>9.4796577540107</v>
      </c>
      <c r="I72" s="230" t="n">
        <f aca="false">I9/SUM(I45:I46)</f>
        <v>8.78426698450536</v>
      </c>
      <c r="J72" s="230" t="n">
        <f aca="false">J9/SUM(J45:J46)</f>
        <v>8.07838777283648</v>
      </c>
      <c r="K72" s="230" t="n">
        <f aca="false">K9/SUM(K45:K46)</f>
        <v>8.14477894736842</v>
      </c>
      <c r="L72" s="230" t="n">
        <f aca="false">L9/SUM(L45:L46)</f>
        <v>4.32232468585326</v>
      </c>
      <c r="M72" s="184" t="n">
        <f aca="false">M9/SUM(M45:M46)</f>
        <v>4.13713086337915</v>
      </c>
      <c r="N72" s="185" t="n">
        <f aca="false">N9/SUM(N45:N46)</f>
        <v>4.01886570189881</v>
      </c>
      <c r="O72" s="186" t="n">
        <f aca="false">O9/SUM(O45:O46)</f>
        <v>3.95285161801241</v>
      </c>
      <c r="P72" s="204"/>
      <c r="Q72" s="171"/>
      <c r="R72" s="227"/>
      <c r="S72" s="227"/>
      <c r="U72" s="171"/>
      <c r="W72" s="180"/>
    </row>
    <row r="73" customFormat="false" ht="12.75" hidden="false" customHeight="false" outlineLevel="0" collapsed="false">
      <c r="A73" s="307" t="s">
        <v>151</v>
      </c>
      <c r="B73" s="314" t="s">
        <v>118</v>
      </c>
      <c r="C73" s="316" t="n">
        <f aca="false">C64/C13</f>
        <v>0.0170910955392241</v>
      </c>
      <c r="D73" s="179" t="n">
        <f aca="false">D64/D13</f>
        <v>-0.0278353891496561</v>
      </c>
      <c r="E73" s="179" t="n">
        <f aca="false">E64/E13</f>
        <v>1.43905593275137</v>
      </c>
      <c r="F73" s="179" t="n">
        <f aca="false">F64/F13</f>
        <v>0.3115055642417</v>
      </c>
      <c r="G73" s="179" t="n">
        <f aca="false">G64/G13</f>
        <v>0.630906242269317</v>
      </c>
      <c r="H73" s="179" t="n">
        <f aca="false">H64/H13</f>
        <v>0.0441879713077065</v>
      </c>
      <c r="I73" s="179" t="n">
        <f aca="false">I64/I13</f>
        <v>0.964587661239674</v>
      </c>
      <c r="J73" s="179" t="n">
        <f aca="false">J64/J13</f>
        <v>0.147503913724126</v>
      </c>
      <c r="K73" s="179" t="n">
        <f aca="false">K64/K13</f>
        <v>0.85964965727342</v>
      </c>
      <c r="L73" s="179" t="n">
        <f aca="false">L64/L13</f>
        <v>0.389235049318281</v>
      </c>
      <c r="M73" s="317" t="n">
        <f aca="false">M64/M13</f>
        <v>0.916186712292437</v>
      </c>
      <c r="N73" s="318" t="n">
        <f aca="false">N64/N13</f>
        <v>0.362017105680478</v>
      </c>
      <c r="O73" s="319" t="n">
        <f aca="false">O64/O13</f>
        <v>0.373483933543182</v>
      </c>
      <c r="P73" s="204"/>
      <c r="Q73" s="171"/>
      <c r="R73" s="179" t="n">
        <f aca="false">AVERAGE(J73:L73)</f>
        <v>0.465462873438609</v>
      </c>
      <c r="S73" s="179" t="n">
        <f aca="false">AVERAGE(H73:L73)</f>
        <v>0.481032850572641</v>
      </c>
      <c r="T73" s="179" t="n">
        <f aca="false">AVERAGE(C73:L73)</f>
        <v>0.477588769851516</v>
      </c>
      <c r="U73" s="216" t="n">
        <f aca="false">R73</f>
        <v>0.465462873438609</v>
      </c>
      <c r="V73" s="217" t="n">
        <f aca="false">U73</f>
        <v>0.465462873438609</v>
      </c>
      <c r="W73" s="218" t="n">
        <f aca="false">V73</f>
        <v>0.465462873438609</v>
      </c>
    </row>
    <row r="74" customFormat="false" ht="13.5" hidden="false" customHeight="true" outlineLevel="0" collapsed="false">
      <c r="A74" s="320" t="s">
        <v>152</v>
      </c>
      <c r="B74" s="321" t="s">
        <v>118</v>
      </c>
      <c r="C74" s="322"/>
      <c r="D74" s="200" t="n">
        <f aca="false">D66/D20</f>
        <v>-0.986618280789294</v>
      </c>
      <c r="E74" s="200" t="n">
        <f aca="false">E66/E20</f>
        <v>1.77598450613299</v>
      </c>
      <c r="F74" s="200" t="n">
        <f aca="false">F66/F20</f>
        <v>0.0660036166365286</v>
      </c>
      <c r="G74" s="200" t="n">
        <f aca="false">G66/G20</f>
        <v>1.27005908137984</v>
      </c>
      <c r="H74" s="200" t="n">
        <f aca="false">H66/H20</f>
        <v>-0.422124973097066</v>
      </c>
      <c r="I74" s="200" t="n">
        <f aca="false">I66/I20</f>
        <v>0.450671307807061</v>
      </c>
      <c r="J74" s="200" t="n">
        <f aca="false">J66/J20</f>
        <v>-0.284418244909904</v>
      </c>
      <c r="K74" s="200" t="n">
        <f aca="false">K66/K20</f>
        <v>0.5421108230097</v>
      </c>
      <c r="L74" s="200" t="n">
        <f aca="false">L66/L20</f>
        <v>-1.00670538542767</v>
      </c>
      <c r="M74" s="323" t="n">
        <f aca="false">M66/M20</f>
        <v>0.401862211953127</v>
      </c>
      <c r="N74" s="324" t="n">
        <f aca="false">N66/N20</f>
        <v>-0.27533605212874</v>
      </c>
      <c r="O74" s="325" t="n">
        <f aca="false">O66/O20</f>
        <v>-0.327844350572845</v>
      </c>
      <c r="P74" s="294"/>
      <c r="Q74" s="191"/>
      <c r="R74" s="200" t="n">
        <f aca="false">AVERAGE(J74:L74)</f>
        <v>-0.249670935775957</v>
      </c>
      <c r="S74" s="200" t="n">
        <f aca="false">AVERAGE(H74:L74)</f>
        <v>-0.144093294523575</v>
      </c>
      <c r="T74" s="200" t="n">
        <f aca="false">AVERAGE(C74:L74)</f>
        <v>0.156106938971354</v>
      </c>
      <c r="U74" s="171"/>
      <c r="W74" s="180"/>
    </row>
    <row r="75" customFormat="false" ht="13.5" hidden="false" customHeight="true" outlineLevel="0" collapsed="false">
      <c r="A75" s="171"/>
      <c r="C75" s="171"/>
      <c r="G75" s="227"/>
      <c r="H75" s="227"/>
      <c r="I75" s="227"/>
      <c r="J75" s="227"/>
      <c r="K75" s="227"/>
      <c r="L75" s="276"/>
      <c r="M75" s="175"/>
      <c r="N75" s="176"/>
      <c r="O75" s="177"/>
      <c r="P75" s="204"/>
      <c r="Q75" s="171"/>
      <c r="U75" s="171"/>
      <c r="W75" s="180"/>
    </row>
    <row r="76" customFormat="false" ht="12.75" hidden="false" customHeight="false" outlineLevel="0" collapsed="false">
      <c r="A76" s="206" t="s">
        <v>153</v>
      </c>
      <c r="B76" s="312" t="s">
        <v>150</v>
      </c>
      <c r="C76" s="326" t="n">
        <f aca="false">C42/C41</f>
        <v>1.1031703743173</v>
      </c>
      <c r="D76" s="327" t="n">
        <f aca="false">D42/D41</f>
        <v>1.22585407001265</v>
      </c>
      <c r="E76" s="327" t="n">
        <f aca="false">E42/E41</f>
        <v>1.25566927553683</v>
      </c>
      <c r="F76" s="327" t="n">
        <f aca="false">F42/F41</f>
        <v>1.24034106048495</v>
      </c>
      <c r="G76" s="327" t="n">
        <f aca="false">G42/G41</f>
        <v>0.970847432417358</v>
      </c>
      <c r="H76" s="327" t="n">
        <f aca="false">H42/H41</f>
        <v>1.012071862479</v>
      </c>
      <c r="I76" s="327" t="n">
        <f aca="false">I42/I41</f>
        <v>0.590426706060143</v>
      </c>
      <c r="J76" s="327" t="n">
        <f aca="false">J42/J41</f>
        <v>0.65391688559828</v>
      </c>
      <c r="K76" s="327" t="n">
        <f aca="false">K42/K41</f>
        <v>0.138146102970661</v>
      </c>
      <c r="L76" s="327" t="n">
        <f aca="false">L42/L41</f>
        <v>0.300167643567749</v>
      </c>
      <c r="M76" s="328" t="n">
        <f aca="false">M42/M41</f>
        <v>0.198215798240264</v>
      </c>
      <c r="N76" s="329" t="n">
        <f aca="false">N42/N41</f>
        <v>0.205246292829562</v>
      </c>
      <c r="O76" s="330" t="n">
        <f aca="false">O42/O41</f>
        <v>0.220989055038813</v>
      </c>
      <c r="P76" s="301"/>
      <c r="Q76" s="206"/>
      <c r="R76" s="331" t="n">
        <f aca="false">AVERAGE(J76:L76)</f>
        <v>0.364076877378897</v>
      </c>
      <c r="S76" s="331" t="n">
        <f aca="false">AVERAGE(H76:L76)</f>
        <v>0.538945840135166</v>
      </c>
      <c r="T76" s="327" t="n">
        <f aca="false">AVERAGE(C76:L76)</f>
        <v>0.849061141344492</v>
      </c>
      <c r="U76" s="171"/>
      <c r="W76" s="180"/>
    </row>
    <row r="77" customFormat="false" ht="12.75" hidden="false" customHeight="false" outlineLevel="0" collapsed="false">
      <c r="A77" s="171" t="s">
        <v>154</v>
      </c>
      <c r="B77" s="314" t="s">
        <v>150</v>
      </c>
      <c r="C77" s="229" t="n">
        <f aca="false">(C18+C17)/C17</f>
        <v>5.11436672967864</v>
      </c>
      <c r="D77" s="242" t="n">
        <f aca="false">(D18+D17)/D17</f>
        <v>4.15895669291339</v>
      </c>
      <c r="E77" s="242" t="n">
        <f aca="false">(E18+E17)/E17</f>
        <v>2.13111620795107</v>
      </c>
      <c r="F77" s="242" t="n">
        <f aca="false">(F18+F17)/F17</f>
        <v>2.49315940184537</v>
      </c>
      <c r="G77" s="242" t="n">
        <f aca="false">(G18+G17)/G17</f>
        <v>3.28931223764934</v>
      </c>
      <c r="H77" s="242" t="n">
        <f aca="false">(H18+H17)/H17</f>
        <v>5.33377204527507</v>
      </c>
      <c r="I77" s="242" t="n">
        <f aca="false">(I18+I17)/I17</f>
        <v>6.23195402298851</v>
      </c>
      <c r="J77" s="242" t="n">
        <f aca="false">(J18+J17)/J17</f>
        <v>6.29656105100464</v>
      </c>
      <c r="K77" s="242" t="n">
        <f aca="false">(K18+K17)/K17</f>
        <v>8.82812836528107</v>
      </c>
      <c r="L77" s="243" t="n">
        <f aca="false">(L18+L17)/L17</f>
        <v>19.089184826473</v>
      </c>
      <c r="M77" s="231" t="n">
        <f aca="false">(M18+M17)/M17</f>
        <v>17.7486541863762</v>
      </c>
      <c r="N77" s="232" t="n">
        <f aca="false">(N18+N17)/N17</f>
        <v>17.5501628241372</v>
      </c>
      <c r="O77" s="233" t="n">
        <f aca="false">(O18+O17)/O17</f>
        <v>16.7854303168265</v>
      </c>
      <c r="P77" s="204"/>
      <c r="Q77" s="171"/>
      <c r="R77" s="242" t="n">
        <f aca="false">AVERAGE(J77:L77)</f>
        <v>11.4046247475862</v>
      </c>
      <c r="S77" s="242" t="n">
        <f aca="false">AVERAGE(H77:L77)</f>
        <v>9.15592006220445</v>
      </c>
      <c r="T77" s="332" t="n">
        <f aca="false">AVERAGE(C77:L77)</f>
        <v>6.296651158106</v>
      </c>
      <c r="U77" s="171"/>
      <c r="W77" s="180"/>
    </row>
    <row r="78" customFormat="false" ht="12.75" hidden="false" customHeight="false" outlineLevel="0" collapsed="false">
      <c r="A78" s="307" t="s">
        <v>155</v>
      </c>
      <c r="C78" s="171"/>
      <c r="L78" s="180"/>
      <c r="M78" s="201"/>
      <c r="N78" s="202"/>
      <c r="O78" s="203"/>
      <c r="P78" s="204"/>
      <c r="Q78" s="171"/>
      <c r="U78" s="171"/>
      <c r="W78" s="180"/>
    </row>
    <row r="79" customFormat="false" ht="12.75" hidden="false" customHeight="false" outlineLevel="0" collapsed="false">
      <c r="A79" s="171" t="s">
        <v>28</v>
      </c>
      <c r="B79" s="156" t="s">
        <v>118</v>
      </c>
      <c r="C79" s="316" t="n">
        <f aca="false">C20/C41</f>
        <v>0.217796723058479</v>
      </c>
      <c r="D79" s="179" t="n">
        <f aca="false">D20/D41</f>
        <v>0.23244411640658</v>
      </c>
      <c r="E79" s="179" t="n">
        <f aca="false">E20/E41</f>
        <v>0.07771422837648</v>
      </c>
      <c r="F79" s="179" t="n">
        <f aca="false">F20/F41</f>
        <v>0.147348787636557</v>
      </c>
      <c r="G79" s="179" t="n">
        <f aca="false">G20/G41</f>
        <v>0.195106533298628</v>
      </c>
      <c r="H79" s="179" t="n">
        <f aca="false">H20/H41</f>
        <v>0.360320537676102</v>
      </c>
      <c r="I79" s="179" t="n">
        <f aca="false">I20/I41</f>
        <v>0.341466727794475</v>
      </c>
      <c r="J79" s="179" t="n">
        <f aca="false">J20/J41</f>
        <v>0.285634105564844</v>
      </c>
      <c r="K79" s="179" t="n">
        <f aca="false">K20/K41</f>
        <v>0.150919605200226</v>
      </c>
      <c r="L79" s="333" t="n">
        <f aca="false">L20/L41</f>
        <v>0.154509448815686</v>
      </c>
      <c r="M79" s="317" t="n">
        <f aca="false">M20/M41</f>
        <v>0.140383326814443</v>
      </c>
      <c r="N79" s="318" t="n">
        <f aca="false">N20/N41</f>
        <v>0.134167028648055</v>
      </c>
      <c r="O79" s="319" t="n">
        <f aca="false">O20/O41</f>
        <v>0.124937116508122</v>
      </c>
      <c r="P79" s="204"/>
      <c r="Q79" s="171"/>
      <c r="R79" s="179" t="n">
        <f aca="false">AVERAGE(J79:L79)</f>
        <v>0.197021053193585</v>
      </c>
      <c r="S79" s="179" t="n">
        <f aca="false">AVERAGE(H79:L79)</f>
        <v>0.258570085010266</v>
      </c>
      <c r="T79" s="179" t="n">
        <f aca="false">AVERAGE(C79:L79)</f>
        <v>0.216326081382806</v>
      </c>
      <c r="U79" s="171"/>
      <c r="W79" s="180"/>
    </row>
    <row r="80" customFormat="false" ht="12.75" hidden="false" customHeight="false" outlineLevel="0" collapsed="false">
      <c r="A80" s="171" t="s">
        <v>30</v>
      </c>
      <c r="B80" s="156" t="s">
        <v>118</v>
      </c>
      <c r="C80" s="316"/>
      <c r="D80" s="179" t="n">
        <f aca="false">(D18+D17)/AVERAGE(C43:D43)</f>
        <v>0.229033700556933</v>
      </c>
      <c r="E80" s="179" t="n">
        <f aca="false">(E18+E17)/AVERAGE(D43:E43)</f>
        <v>0.127896306492315</v>
      </c>
      <c r="F80" s="179" t="n">
        <f aca="false">(F18+F17)/AVERAGE(E43:F43)</f>
        <v>0.164262954888479</v>
      </c>
      <c r="G80" s="179" t="n">
        <f aca="false">(G18+G17)/AVERAGE(F43:G43)</f>
        <v>0.196945384243596</v>
      </c>
      <c r="H80" s="179" t="n">
        <f aca="false">(H18+H17)/AVERAGE(G43:H43)</f>
        <v>0.30973945077538</v>
      </c>
      <c r="I80" s="179" t="n">
        <f aca="false">(I18+I17)/AVERAGE(H43:I43)</f>
        <v>0.316136254970788</v>
      </c>
      <c r="J80" s="179" t="n">
        <f aca="false">(J18+J17)/AVERAGE(I43:J43)</f>
        <v>0.280758429386124</v>
      </c>
      <c r="K80" s="179" t="n">
        <f aca="false">(K18+K17)/AVERAGE(J43:K43)</f>
        <v>0.219142708208028</v>
      </c>
      <c r="L80" s="333" t="n">
        <f aca="false">(L18+L17)/AVERAGE(K43:L43)</f>
        <v>0.170664521168455</v>
      </c>
      <c r="M80" s="317" t="n">
        <f aca="false">(M18+M17)/AVERAGE(L43:M43)</f>
        <v>0.147725021778804</v>
      </c>
      <c r="N80" s="318" t="n">
        <f aca="false">(N18+N17)/AVERAGE(M43:N43)</f>
        <v>0.145991132086616</v>
      </c>
      <c r="O80" s="319" t="n">
        <f aca="false">(O18+O17)/AVERAGE(N43:O43)</f>
        <v>0.134422532313244</v>
      </c>
      <c r="P80" s="204"/>
      <c r="Q80" s="171"/>
      <c r="R80" s="179" t="n">
        <f aca="false">AVERAGE(J80:L80)</f>
        <v>0.223521886254202</v>
      </c>
      <c r="S80" s="179" t="n">
        <f aca="false">AVERAGE(H80:L80)</f>
        <v>0.259288272901755</v>
      </c>
      <c r="T80" s="179" t="n">
        <f aca="false">AVERAGE(C80:L80)</f>
        <v>0.223842190076677</v>
      </c>
      <c r="U80" s="171"/>
      <c r="W80" s="180"/>
    </row>
    <row r="81" customFormat="false" ht="12.75" hidden="false" customHeight="false" outlineLevel="0" collapsed="false">
      <c r="A81" s="171" t="s">
        <v>156</v>
      </c>
      <c r="C81" s="316"/>
      <c r="D81" s="179" t="n">
        <f aca="false">(D18+D17)/(AVERAGE((C43-C47-C55),(D43-D47-D55)))</f>
        <v>0.24023878899865</v>
      </c>
      <c r="E81" s="179" t="n">
        <f aca="false">(E18+E17)/(AVERAGE((D43-D47-D55),(E43-E47-E55)))</f>
        <v>0.133806957961814</v>
      </c>
      <c r="F81" s="179" t="n">
        <f aca="false">(F18+F17)/(AVERAGE((E43-E47-E55),(F43-F47-F55)))</f>
        <v>0.171868488583774</v>
      </c>
      <c r="G81" s="179" t="n">
        <f aca="false">(G18+G17)/(AVERAGE((F43-F47-F55),(G43-G47-G55)))</f>
        <v>0.204905914654383</v>
      </c>
      <c r="H81" s="179" t="n">
        <f aca="false">(H18+H17)/(AVERAGE((G43-G47-G55),(H43-H47-H55)))</f>
        <v>0.322656666746284</v>
      </c>
      <c r="I81" s="179" t="n">
        <f aca="false">(I18+I17)/(AVERAGE((H43-H47-H55),(I43-I47-I55)))</f>
        <v>0.329939693416176</v>
      </c>
      <c r="J81" s="179" t="n">
        <f aca="false">(J18+J17)/(AVERAGE((I43-I47-I55),(J43-J47-J55)))</f>
        <v>0.300775680277602</v>
      </c>
      <c r="K81" s="179" t="n">
        <f aca="false">(K18+K17)/(AVERAGE((J43-J47-J55),(K43-K47-K55)))</f>
        <v>0.304710150314456</v>
      </c>
      <c r="L81" s="333" t="n">
        <f aca="false">(L18+L17)/(AVERAGE((K43-K47-K55),(L43-L47-L55)))</f>
        <v>0.236890471397165</v>
      </c>
      <c r="M81" s="317" t="n">
        <f aca="false">(M18+M17)/(AVERAGE((L43-L47-L55),(M43-M47-M55)))</f>
        <v>0.175202182823056</v>
      </c>
      <c r="N81" s="318" t="n">
        <f aca="false">(N18+N17)/(AVERAGE((M43-M47-M55),(N43-N47-N55)))</f>
        <v>0.16486849471958</v>
      </c>
      <c r="O81" s="319" t="n">
        <f aca="false">(O18+O17)/(AVERAGE((N43-N47-N55),(O43-O47-O55)))</f>
        <v>0.149393004136237</v>
      </c>
      <c r="P81" s="204"/>
      <c r="Q81" s="171"/>
      <c r="R81" s="179" t="n">
        <f aca="false">AVERAGE(J81:L81)</f>
        <v>0.280792100663074</v>
      </c>
      <c r="S81" s="179" t="n">
        <f aca="false">AVERAGE(H81:L81)</f>
        <v>0.298994532430337</v>
      </c>
      <c r="T81" s="179" t="n">
        <f aca="false">AVERAGE(C81:L81)</f>
        <v>0.249532534705589</v>
      </c>
      <c r="U81" s="171"/>
      <c r="W81" s="180"/>
    </row>
    <row r="82" customFormat="false" ht="13.5" hidden="false" customHeight="true" outlineLevel="0" collapsed="false">
      <c r="A82" s="191" t="s">
        <v>157</v>
      </c>
      <c r="B82" s="192" t="s">
        <v>118</v>
      </c>
      <c r="C82" s="322" t="n">
        <f aca="false">C64/C43</f>
        <v>0.00316686195648732</v>
      </c>
      <c r="D82" s="200" t="n">
        <f aca="false">D64/D43</f>
        <v>-0.00603979156797726</v>
      </c>
      <c r="E82" s="200" t="n">
        <f aca="false">E64/E43</f>
        <v>0.197998220640569</v>
      </c>
      <c r="F82" s="200" t="n">
        <f aca="false">F64/F43</f>
        <v>0.0671384395813511</v>
      </c>
      <c r="G82" s="200" t="n">
        <f aca="false">G64/G43</f>
        <v>0.144353043281386</v>
      </c>
      <c r="H82" s="200" t="n">
        <f aca="false">H64/H43</f>
        <v>0.0123463134499017</v>
      </c>
      <c r="I82" s="200" t="n">
        <f aca="false">I64/I43</f>
        <v>0.21316393530134</v>
      </c>
      <c r="J82" s="200" t="n">
        <f aca="false">J64/J43</f>
        <v>0.0306139394508264</v>
      </c>
      <c r="K82" s="200" t="n">
        <f aca="false">K64/K43</f>
        <v>0.119777915495827</v>
      </c>
      <c r="L82" s="334" t="n">
        <f aca="false">L64/L43</f>
        <v>0.0531100883756388</v>
      </c>
      <c r="M82" s="323" t="n">
        <f aca="false">M64/M43</f>
        <v>0.123802751439364</v>
      </c>
      <c r="N82" s="324" t="n">
        <f aca="false">N64/N43</f>
        <v>0.0491981020858072</v>
      </c>
      <c r="O82" s="325" t="n">
        <f aca="false">O64/O43</f>
        <v>0.0511625913549868</v>
      </c>
      <c r="P82" s="294"/>
      <c r="Q82" s="191"/>
      <c r="R82" s="200"/>
      <c r="S82" s="200"/>
      <c r="T82" s="200"/>
      <c r="U82" s="171"/>
      <c r="W82" s="180"/>
    </row>
    <row r="83" customFormat="false" ht="13.5" hidden="false" customHeight="true" outlineLevel="0" collapsed="false">
      <c r="A83" s="307"/>
      <c r="C83" s="171"/>
      <c r="L83" s="180"/>
      <c r="M83" s="201"/>
      <c r="N83" s="202"/>
      <c r="O83" s="203"/>
      <c r="P83" s="204"/>
      <c r="Q83" s="171"/>
      <c r="U83" s="171"/>
      <c r="W83" s="180"/>
    </row>
    <row r="84" customFormat="false" ht="12.75" hidden="false" customHeight="false" outlineLevel="0" collapsed="false">
      <c r="A84" s="206" t="s">
        <v>158</v>
      </c>
      <c r="B84" s="207" t="s">
        <v>104</v>
      </c>
      <c r="C84" s="251" t="n">
        <f aca="false">C22</f>
        <v>4.77372262773723</v>
      </c>
      <c r="D84" s="245" t="n">
        <f aca="false">D22</f>
        <v>6.41775836972344</v>
      </c>
      <c r="E84" s="245" t="n">
        <f aca="false">E22</f>
        <v>2.254730713246</v>
      </c>
      <c r="F84" s="245" t="n">
        <f aca="false">F22</f>
        <v>4.80869565217391</v>
      </c>
      <c r="G84" s="245" t="n">
        <f aca="false">G22</f>
        <v>7.60434782608696</v>
      </c>
      <c r="H84" s="245" t="n">
        <f aca="false">H22</f>
        <v>20.2014492753623</v>
      </c>
      <c r="I84" s="245" t="n">
        <f aca="false">I22</f>
        <v>29.1449275362319</v>
      </c>
      <c r="J84" s="245" t="n">
        <f aca="false">J22</f>
        <v>34.6652173913043</v>
      </c>
      <c r="K84" s="245" t="n">
        <f aca="false">K22</f>
        <v>42.3292682926829</v>
      </c>
      <c r="L84" s="246" t="n">
        <f aca="false">L22</f>
        <v>51.3279132791328</v>
      </c>
      <c r="M84" s="247" t="n">
        <f aca="false">M22</f>
        <v>53.3790635614199</v>
      </c>
      <c r="N84" s="248" t="n">
        <f aca="false">N22</f>
        <v>58.0211043742297</v>
      </c>
      <c r="O84" s="249" t="n">
        <f aca="false">O22</f>
        <v>60.8741388656225</v>
      </c>
      <c r="P84" s="335"/>
      <c r="Q84" s="295"/>
      <c r="R84" s="215" t="n">
        <f aca="false">((L84/I84)^(1/3))-1</f>
        <v>0.207619756889082</v>
      </c>
      <c r="S84" s="215" t="n">
        <f aca="false">((L84/G84)^(1/5))-1</f>
        <v>0.465069836532382</v>
      </c>
      <c r="T84" s="215" t="n">
        <f aca="false">IF(C84&gt;0,((L84/C84)^(1/9))-1,"-")</f>
        <v>0.301999190299916</v>
      </c>
      <c r="U84" s="171"/>
      <c r="W84" s="180"/>
    </row>
    <row r="85" customFormat="false" ht="12.75" hidden="false" customHeight="false" outlineLevel="0" collapsed="false">
      <c r="A85" s="171" t="s">
        <v>159</v>
      </c>
      <c r="B85" s="156" t="s">
        <v>104</v>
      </c>
      <c r="C85" s="229" t="n">
        <f aca="false">C23</f>
        <v>0.6</v>
      </c>
      <c r="D85" s="242" t="n">
        <f aca="false">D23</f>
        <v>0.700145560407569</v>
      </c>
      <c r="E85" s="242" t="n">
        <f aca="false">E23</f>
        <v>0.299854439592431</v>
      </c>
      <c r="F85" s="242" t="n">
        <f aca="false">F23</f>
        <v>0.7</v>
      </c>
      <c r="G85" s="242" t="n">
        <f aca="false">G23</f>
        <v>1.10144927536232</v>
      </c>
      <c r="H85" s="242" t="n">
        <f aca="false">H23</f>
        <v>3.00289855072464</v>
      </c>
      <c r="I85" s="242" t="n">
        <f aca="false">I23</f>
        <v>4.3536231884058</v>
      </c>
      <c r="J85" s="242" t="n">
        <f aca="false">J23</f>
        <v>5.20434782608696</v>
      </c>
      <c r="K85" s="242" t="n">
        <f aca="false">K23</f>
        <v>6.34959349593496</v>
      </c>
      <c r="L85" s="243" t="n">
        <f aca="false">L23</f>
        <v>0</v>
      </c>
      <c r="M85" s="231" t="n">
        <f aca="false">M23</f>
        <v>5.34033503519152</v>
      </c>
      <c r="N85" s="232" t="n">
        <f aca="false">N23</f>
        <v>5.80475032338617</v>
      </c>
      <c r="O85" s="233" t="n">
        <f aca="false">O23</f>
        <v>6.090183581942</v>
      </c>
      <c r="P85" s="204"/>
      <c r="Q85" s="171"/>
      <c r="R85" s="179" t="n">
        <f aca="false">((L85/I85)^(1/3))-1</f>
        <v>-1</v>
      </c>
      <c r="S85" s="179" t="n">
        <f aca="false">((L85/G85)^(1/5))-1</f>
        <v>-1</v>
      </c>
      <c r="T85" s="179" t="n">
        <f aca="false">IF(C85&gt;0,((L85/C85)^(1/9))-1,"-")</f>
        <v>-1</v>
      </c>
      <c r="U85" s="171"/>
      <c r="W85" s="180"/>
    </row>
    <row r="86" customFormat="false" ht="12.75" hidden="false" customHeight="false" outlineLevel="0" collapsed="false">
      <c r="A86" s="171" t="s">
        <v>160</v>
      </c>
      <c r="B86" s="156" t="s">
        <v>104</v>
      </c>
      <c r="C86" s="223" t="n">
        <f aca="false">C41/C5</f>
        <v>21.9182481751825</v>
      </c>
      <c r="D86" s="227" t="n">
        <f aca="false">D41/D5</f>
        <v>27.6098981077147</v>
      </c>
      <c r="E86" s="227" t="n">
        <f aca="false">E41/E5</f>
        <v>29.0131004366812</v>
      </c>
      <c r="F86" s="227" t="n">
        <f aca="false">F41/F5</f>
        <v>32.6347826086957</v>
      </c>
      <c r="G86" s="227" t="n">
        <f aca="false">G41/G5</f>
        <v>38.9753623188406</v>
      </c>
      <c r="H86" s="227" t="n">
        <f aca="false">H41/H5</f>
        <v>56.0652173913044</v>
      </c>
      <c r="I86" s="227" t="n">
        <f aca="false">I41/I5</f>
        <v>85.3521739130435</v>
      </c>
      <c r="J86" s="227" t="n">
        <f aca="false">J41/J5</f>
        <v>121.36231884058</v>
      </c>
      <c r="K86" s="227" t="n">
        <f aca="false">K41/K5</f>
        <v>280.475609756098</v>
      </c>
      <c r="L86" s="276" t="n">
        <f aca="false">L41/L5</f>
        <v>332.19918699187</v>
      </c>
      <c r="M86" s="175" t="n">
        <f aca="false">M41/M5</f>
        <v>380.237915518098</v>
      </c>
      <c r="N86" s="176" t="n">
        <f aca="false">N41/N5</f>
        <v>432.454269568942</v>
      </c>
      <c r="O86" s="177" t="n">
        <f aca="false">O41/O5</f>
        <v>487.238224852622</v>
      </c>
      <c r="P86" s="204"/>
      <c r="Q86" s="171"/>
      <c r="R86" s="179" t="n">
        <f aca="false">((L86/I86)^(1/3))-1</f>
        <v>0.572997356375203</v>
      </c>
      <c r="S86" s="179" t="n">
        <f aca="false">((L86/G86)^(1/5))-1</f>
        <v>0.535047012719347</v>
      </c>
      <c r="T86" s="179" t="n">
        <f aca="false">IF(C86&gt;0,((L86/C86)^(1/9))-1,"-")</f>
        <v>0.352623627803668</v>
      </c>
      <c r="U86" s="171"/>
      <c r="W86" s="180"/>
    </row>
    <row r="87" customFormat="false" ht="12.75" hidden="false" customHeight="false" outlineLevel="0" collapsed="false">
      <c r="A87" s="171" t="s">
        <v>161</v>
      </c>
      <c r="B87" s="156" t="s">
        <v>104</v>
      </c>
      <c r="C87" s="223" t="n">
        <f aca="false">C9/C5</f>
        <v>95.5970802919708</v>
      </c>
      <c r="D87" s="227" t="n">
        <f aca="false">D9/D5</f>
        <v>148.093158660844</v>
      </c>
      <c r="E87" s="227" t="n">
        <f aca="false">E9/E5</f>
        <v>180.74672489083</v>
      </c>
      <c r="F87" s="227" t="n">
        <f aca="false">F9/F5</f>
        <v>195.333333333333</v>
      </c>
      <c r="G87" s="227" t="n">
        <f aca="false">G9/G5</f>
        <v>204.311594202899</v>
      </c>
      <c r="H87" s="227" t="n">
        <f aca="false">H9/H5</f>
        <v>321.140579710145</v>
      </c>
      <c r="I87" s="227" t="n">
        <f aca="false">I9/I5</f>
        <v>405.884057971014</v>
      </c>
      <c r="J87" s="227" t="n">
        <f aca="false">J9/J5</f>
        <v>458.079710144928</v>
      </c>
      <c r="K87" s="227" t="n">
        <f aca="false">K9/K5</f>
        <v>524.223577235772</v>
      </c>
      <c r="L87" s="276" t="n">
        <f aca="false">L9/L5</f>
        <v>577.949864498645</v>
      </c>
      <c r="M87" s="175" t="n">
        <f aca="false">M9/M5</f>
        <v>664.949474970631</v>
      </c>
      <c r="N87" s="176" t="n">
        <f aca="false">N9/N5</f>
        <v>765.045259846676</v>
      </c>
      <c r="O87" s="177" t="n">
        <f aca="false">O9/O5</f>
        <v>880.208604781167</v>
      </c>
      <c r="P87" s="204"/>
      <c r="Q87" s="171"/>
      <c r="R87" s="179" t="n">
        <f aca="false">((L87/I87)^(1/3))-1</f>
        <v>0.125026426935742</v>
      </c>
      <c r="S87" s="179" t="n">
        <f aca="false">((L87/G87)^(1/5))-1</f>
        <v>0.231173986617361</v>
      </c>
      <c r="T87" s="179" t="n">
        <f aca="false">IF(C87&gt;0,((L87/C87)^(1/9))-1,"-")</f>
        <v>0.221313849596426</v>
      </c>
      <c r="U87" s="171"/>
      <c r="W87" s="180"/>
    </row>
    <row r="88" customFormat="false" ht="13.5" hidden="false" customHeight="true" outlineLevel="0" collapsed="false">
      <c r="A88" s="191" t="s">
        <v>162</v>
      </c>
      <c r="B88" s="192" t="s">
        <v>104</v>
      </c>
      <c r="C88" s="289" t="n">
        <f aca="false">(C55-C42)/C5</f>
        <v>-21.5868613138686</v>
      </c>
      <c r="D88" s="288" t="n">
        <f aca="false">(D55-D42)/D5</f>
        <v>-31.4323144104804</v>
      </c>
      <c r="E88" s="288" t="n">
        <f aca="false">(E55-E42)/E5</f>
        <v>-33.2474526928675</v>
      </c>
      <c r="F88" s="288" t="n">
        <f aca="false">(F55-F42)/F5</f>
        <v>-37.5333333333333</v>
      </c>
      <c r="G88" s="288" t="n">
        <f aca="false">(G55-G42)/G5</f>
        <v>-34.9608695652174</v>
      </c>
      <c r="H88" s="288" t="n">
        <f aca="false">(H55-H42)/H5</f>
        <v>-52.0289855072464</v>
      </c>
      <c r="I88" s="288" t="n">
        <f aca="false">(I55-I42)/I5</f>
        <v>-44.8695652173913</v>
      </c>
      <c r="J88" s="288" t="n">
        <f aca="false">(J55-J42)/J5</f>
        <v>-65.0449275362319</v>
      </c>
      <c r="K88" s="288" t="n">
        <f aca="false">(K55-K42)/K5</f>
        <v>16.4390243902439</v>
      </c>
      <c r="L88" s="290" t="n">
        <f aca="false">(L55-L42)/L5</f>
        <v>-72.369918699187</v>
      </c>
      <c r="M88" s="291" t="n">
        <f aca="false">(M55-M42)/M5</f>
        <v>-75.3691619456341</v>
      </c>
      <c r="N88" s="292" t="n">
        <f aca="false">(N55-N42)/N5</f>
        <v>-88.7596356473413</v>
      </c>
      <c r="O88" s="293" t="n">
        <f aca="false">(O55-O42)/O5</f>
        <v>-107.67431488897</v>
      </c>
      <c r="P88" s="294"/>
      <c r="Q88" s="191"/>
      <c r="R88" s="200"/>
      <c r="S88" s="200"/>
      <c r="T88" s="200"/>
      <c r="U88" s="171"/>
      <c r="W88" s="180"/>
    </row>
    <row r="89" customFormat="false" ht="13.5" hidden="false" customHeight="true" outlineLevel="0" collapsed="false">
      <c r="A89" s="307"/>
      <c r="C89" s="171"/>
      <c r="L89" s="180"/>
      <c r="M89" s="201"/>
      <c r="N89" s="202"/>
      <c r="O89" s="203"/>
      <c r="P89" s="204"/>
      <c r="Q89" s="171"/>
      <c r="U89" s="171"/>
      <c r="W89" s="180"/>
    </row>
    <row r="90" customFormat="false" ht="12.75" hidden="false" customHeight="false" outlineLevel="0" collapsed="false">
      <c r="A90" s="302" t="s">
        <v>163</v>
      </c>
      <c r="B90" s="207"/>
      <c r="C90" s="206"/>
      <c r="D90" s="207"/>
      <c r="E90" s="207"/>
      <c r="F90" s="207"/>
      <c r="G90" s="207"/>
      <c r="H90" s="207"/>
      <c r="I90" s="207"/>
      <c r="J90" s="207"/>
      <c r="K90" s="207"/>
      <c r="L90" s="303"/>
      <c r="M90" s="304"/>
      <c r="N90" s="305"/>
      <c r="O90" s="306"/>
      <c r="P90" s="301"/>
      <c r="Q90" s="206"/>
      <c r="R90" s="207"/>
      <c r="S90" s="207"/>
      <c r="T90" s="207"/>
      <c r="U90" s="171"/>
      <c r="W90" s="180"/>
    </row>
    <row r="91" customFormat="false" ht="12.75" hidden="false" customHeight="false" outlineLevel="0" collapsed="false">
      <c r="A91" s="171" t="s">
        <v>164</v>
      </c>
      <c r="B91" s="156" t="s">
        <v>150</v>
      </c>
      <c r="C91" s="181" t="n">
        <f aca="false">C$4/C84</f>
        <v>10.6730122324159</v>
      </c>
      <c r="D91" s="182" t="n">
        <f aca="false">D$4/D84</f>
        <v>24.2841800861873</v>
      </c>
      <c r="E91" s="182" t="n">
        <f aca="false">E$4/E84</f>
        <v>35.9909941897999</v>
      </c>
      <c r="F91" s="182" t="n">
        <f aca="false">F$4/F84</f>
        <v>6.95614828209765</v>
      </c>
      <c r="G91" s="182" t="n">
        <f aca="false">G$4/G84</f>
        <v>11.9010863350486</v>
      </c>
      <c r="H91" s="182" t="n">
        <f aca="false">H$4/H84</f>
        <v>15.729069517182</v>
      </c>
      <c r="I91" s="182" t="n">
        <f aca="false">I$4/I84</f>
        <v>16.6289656887121</v>
      </c>
      <c r="J91" s="182" t="n">
        <f aca="false">J$4/J84</f>
        <v>28.8113006396589</v>
      </c>
      <c r="K91" s="182" t="n">
        <f aca="false">K$4/K84</f>
        <v>43.2785652549698</v>
      </c>
      <c r="L91" s="183" t="n">
        <f aca="false">L$4/L84</f>
        <v>25.6799841605069</v>
      </c>
      <c r="M91" s="184" t="n">
        <f aca="false">M$4/M84</f>
        <v>33.6648843217773</v>
      </c>
      <c r="N91" s="185" t="n">
        <f aca="false">N$4/N84</f>
        <v>30.9714890707621</v>
      </c>
      <c r="O91" s="186" t="n">
        <f aca="false">O$4/O84</f>
        <v>29.5199247740787</v>
      </c>
      <c r="P91" s="336" t="n">
        <f aca="false">P4/P22</f>
        <v>35.0101900739176</v>
      </c>
      <c r="Q91" s="337"/>
      <c r="R91" s="242" t="n">
        <f aca="false">AVERAGE(J91:L91)</f>
        <v>32.5899500183785</v>
      </c>
      <c r="S91" s="242" t="n">
        <f aca="false">AVERAGE(H91:L91)</f>
        <v>26.0255770522059</v>
      </c>
      <c r="T91" s="230" t="n">
        <f aca="false">AVERAGE(C91:L91)</f>
        <v>21.9933306386579</v>
      </c>
      <c r="U91" s="171"/>
      <c r="W91" s="180"/>
    </row>
    <row r="92" customFormat="false" ht="12.75" hidden="false" customHeight="false" outlineLevel="0" collapsed="false">
      <c r="A92" s="171" t="s">
        <v>165</v>
      </c>
      <c r="B92" s="156" t="s">
        <v>150</v>
      </c>
      <c r="C92" s="181" t="n">
        <f aca="false">C$4/C86</f>
        <v>2.32454708938324</v>
      </c>
      <c r="D92" s="182" t="n">
        <f aca="false">D$4/D86</f>
        <v>5.64471478279207</v>
      </c>
      <c r="E92" s="182" t="n">
        <f aca="false">E$4/E86</f>
        <v>2.79701234196267</v>
      </c>
      <c r="F92" s="182" t="n">
        <f aca="false">F$4/F86</f>
        <v>1.02498001598721</v>
      </c>
      <c r="G92" s="182" t="n">
        <f aca="false">G$4/G86</f>
        <v>2.32197969731901</v>
      </c>
      <c r="H92" s="182" t="n">
        <f aca="false">H$4/H86</f>
        <v>5.6675067855758</v>
      </c>
      <c r="I92" s="182" t="n">
        <f aca="false">I$4/I86</f>
        <v>5.67823850033111</v>
      </c>
      <c r="J92" s="182" t="n">
        <f aca="false">J$4/J86</f>
        <v>8.22949008836876</v>
      </c>
      <c r="K92" s="182" t="n">
        <f aca="false">K$4/K86</f>
        <v>6.53158398191226</v>
      </c>
      <c r="L92" s="183" t="n">
        <f aca="false">L$4/L86</f>
        <v>3.96780019823546</v>
      </c>
      <c r="M92" s="184" t="n">
        <f aca="false">M$4/M86</f>
        <v>4.7259884579145</v>
      </c>
      <c r="N92" s="185" t="n">
        <f aca="false">N$4/N86</f>
        <v>4.15535266142984</v>
      </c>
      <c r="O92" s="186" t="n">
        <f aca="false">O$4/O86</f>
        <v>3.68813428081007</v>
      </c>
      <c r="P92" s="204"/>
      <c r="Q92" s="171"/>
      <c r="R92" s="242" t="n">
        <f aca="false">AVERAGE(J92:L92)</f>
        <v>6.24295808950549</v>
      </c>
      <c r="S92" s="242" t="n">
        <f aca="false">AVERAGE(H92:L92)</f>
        <v>6.01492391088468</v>
      </c>
      <c r="T92" s="230" t="n">
        <f aca="false">AVERAGE(C92:L92)</f>
        <v>4.41878534818676</v>
      </c>
      <c r="U92" s="171"/>
      <c r="W92" s="180"/>
    </row>
    <row r="93" customFormat="false" ht="12.75" hidden="false" customHeight="false" outlineLevel="0" collapsed="false">
      <c r="A93" s="171" t="s">
        <v>166</v>
      </c>
      <c r="B93" s="156" t="s">
        <v>150</v>
      </c>
      <c r="C93" s="181" t="n">
        <f aca="false">C$4/C87</f>
        <v>0.532966068047157</v>
      </c>
      <c r="D93" s="182" t="n">
        <f aca="false">D$4/D87</f>
        <v>1.05237812069982</v>
      </c>
      <c r="E93" s="182" t="n">
        <f aca="false">E$4/E87</f>
        <v>0.448970790751613</v>
      </c>
      <c r="F93" s="182" t="n">
        <f aca="false">F$4/F87</f>
        <v>0.171245733788396</v>
      </c>
      <c r="G93" s="182" t="n">
        <f aca="false">G$4/G87</f>
        <v>0.442950877815216</v>
      </c>
      <c r="H93" s="182" t="n">
        <f aca="false">H$4/H87</f>
        <v>0.989442070157546</v>
      </c>
      <c r="I93" s="182" t="n">
        <f aca="false">I$4/I87</f>
        <v>1.19406020138542</v>
      </c>
      <c r="J93" s="182" t="n">
        <f aca="false">J$4/J87</f>
        <v>2.18029739776952</v>
      </c>
      <c r="K93" s="182" t="n">
        <f aca="false">K$4/K87</f>
        <v>3.49459673229476</v>
      </c>
      <c r="L93" s="183" t="n">
        <f aca="false">L$4/L87</f>
        <v>2.28064764950402</v>
      </c>
      <c r="M93" s="184" t="n">
        <f aca="false">M$4/M87</f>
        <v>2.70246096529269</v>
      </c>
      <c r="N93" s="185" t="n">
        <f aca="false">N$4/N87</f>
        <v>2.34888064055209</v>
      </c>
      <c r="O93" s="186" t="n">
        <f aca="false">O$4/O87</f>
        <v>2.04156150057947</v>
      </c>
      <c r="P93" s="204"/>
      <c r="Q93" s="171"/>
      <c r="R93" s="242" t="n">
        <f aca="false">AVERAGE(J93:L93)</f>
        <v>2.6518472598561</v>
      </c>
      <c r="S93" s="242" t="n">
        <f aca="false">AVERAGE(H93:L93)</f>
        <v>2.02780881022225</v>
      </c>
      <c r="T93" s="230" t="n">
        <f aca="false">AVERAGE(C93:L93)</f>
        <v>1.27875556422135</v>
      </c>
      <c r="U93" s="171"/>
      <c r="W93" s="180"/>
    </row>
    <row r="94" customFormat="false" ht="12.75" hidden="false" customHeight="false" outlineLevel="0" collapsed="false">
      <c r="A94" s="171"/>
      <c r="C94" s="171"/>
      <c r="L94" s="180"/>
      <c r="M94" s="201"/>
      <c r="N94" s="202"/>
      <c r="O94" s="203"/>
      <c r="P94" s="204"/>
      <c r="Q94" s="171"/>
      <c r="T94" s="242"/>
      <c r="U94" s="171"/>
      <c r="W94" s="180"/>
    </row>
    <row r="95" customFormat="false" ht="12.75" hidden="false" customHeight="false" outlineLevel="0" collapsed="false">
      <c r="A95" s="171" t="s">
        <v>23</v>
      </c>
      <c r="B95" s="156" t="s">
        <v>150</v>
      </c>
      <c r="C95" s="337" t="n">
        <f aca="false">C7/C13</f>
        <v>8.79571868056743</v>
      </c>
      <c r="D95" s="230" t="n">
        <f aca="false">D7/D13</f>
        <v>14.225624931776</v>
      </c>
      <c r="E95" s="230" t="n">
        <f aca="false">E7/E13</f>
        <v>13.0582040090527</v>
      </c>
      <c r="F95" s="230" t="n">
        <f aca="false">F7/F13</f>
        <v>4.69148349121678</v>
      </c>
      <c r="G95" s="230" t="n">
        <f aca="false">G7/G13</f>
        <v>7.30221819081389</v>
      </c>
      <c r="H95" s="230" t="n">
        <f aca="false">H7/H13</f>
        <v>11.8815293360309</v>
      </c>
      <c r="I95" s="230" t="n">
        <f aca="false">I7/I13</f>
        <v>17.8356683897773</v>
      </c>
      <c r="J95" s="230" t="n">
        <f aca="false">J7/J13</f>
        <v>25.8791615933206</v>
      </c>
      <c r="K95" s="230" t="n">
        <f aca="false">K7/K13</f>
        <v>42.0586169078446</v>
      </c>
      <c r="L95" s="338" t="n">
        <f aca="false">L7/L13</f>
        <v>24.0578437909549</v>
      </c>
      <c r="M95" s="339" t="n">
        <f aca="false">M7/M13</f>
        <v>30.4126812272061</v>
      </c>
      <c r="N95" s="340" t="n">
        <f aca="false">N7/N13</f>
        <v>26.6226378545765</v>
      </c>
      <c r="O95" s="341" t="n">
        <f aca="false">O7/O13</f>
        <v>23.3715218728256</v>
      </c>
      <c r="P95" s="336" t="n">
        <f aca="false">P7/P13</f>
        <v>32.1839376451383</v>
      </c>
      <c r="Q95" s="171"/>
      <c r="R95" s="242" t="n">
        <f aca="false">AVERAGE(J95:L95)</f>
        <v>30.6652074307067</v>
      </c>
      <c r="S95" s="242" t="n">
        <f aca="false">AVERAGE(H95:L95)</f>
        <v>24.3425640035857</v>
      </c>
      <c r="T95" s="230" t="n">
        <f aca="false">AVERAGE(C95:L95)</f>
        <v>16.9786069321355</v>
      </c>
      <c r="U95" s="171"/>
      <c r="W95" s="180"/>
    </row>
    <row r="96" customFormat="false" ht="13.5" hidden="false" customHeight="true" outlineLevel="0" collapsed="false">
      <c r="A96" s="191" t="s">
        <v>167</v>
      </c>
      <c r="B96" s="192" t="s">
        <v>150</v>
      </c>
      <c r="C96" s="342" t="n">
        <f aca="false">C7/C9</f>
        <v>0.785898081974223</v>
      </c>
      <c r="D96" s="343" t="n">
        <f aca="false">D7/D9</f>
        <v>1.28092146648319</v>
      </c>
      <c r="E96" s="343" t="n">
        <f aca="false">E7/E9</f>
        <v>0.65052829520105</v>
      </c>
      <c r="F96" s="343" t="n">
        <f aca="false">F7/F9</f>
        <v>0.378472325270812</v>
      </c>
      <c r="G96" s="343" t="n">
        <f aca="false">G7/G9</f>
        <v>0.628153928001419</v>
      </c>
      <c r="H96" s="343" t="n">
        <f aca="false">H7/H9</f>
        <v>1.16613113585183</v>
      </c>
      <c r="I96" s="343" t="n">
        <f aca="false">I7/I9</f>
        <v>1.31821931014783</v>
      </c>
      <c r="J96" s="343" t="n">
        <f aca="false">J7/J9</f>
        <v>2.35354425373725</v>
      </c>
      <c r="K96" s="343" t="n">
        <f aca="false">K7/K9</f>
        <v>3.56850911271541</v>
      </c>
      <c r="L96" s="344" t="n">
        <f aca="false">L7/L9</f>
        <v>2.45318068961637</v>
      </c>
      <c r="M96" s="345" t="n">
        <f aca="false">M7/M9</f>
        <v>2.81580666264656</v>
      </c>
      <c r="N96" s="346" t="n">
        <f aca="false">N7/N9</f>
        <v>2.46489944402148</v>
      </c>
      <c r="O96" s="347" t="n">
        <f aca="false">O7/O9</f>
        <v>2.16388967858648</v>
      </c>
      <c r="P96" s="348" t="n">
        <f aca="false">P7/P9</f>
        <v>3.28179927648191</v>
      </c>
      <c r="Q96" s="191"/>
      <c r="R96" s="237" t="n">
        <f aca="false">AVERAGE(J96:L96)</f>
        <v>2.79174468535634</v>
      </c>
      <c r="S96" s="237" t="n">
        <f aca="false">AVERAGE(H96:L96)</f>
        <v>2.17191690041374</v>
      </c>
      <c r="T96" s="343" t="n">
        <f aca="false">AVERAGE(C96:L96)</f>
        <v>1.45835585989994</v>
      </c>
      <c r="U96" s="171"/>
      <c r="W96" s="180"/>
    </row>
    <row r="97" customFormat="false" ht="13.5" hidden="false" customHeight="true" outlineLevel="0" collapsed="false">
      <c r="A97" s="171"/>
      <c r="H97" s="349" t="str">
        <f aca="false">IF(H98&gt;$L$3,IF(H98&lt;=$M$3,"1","0"),"0")</f>
        <v>0</v>
      </c>
      <c r="I97" s="349" t="str">
        <f aca="false">IF(I98&gt;$L$3,IF(I98&lt;=$M$3,"1","0"),"0")</f>
        <v>0</v>
      </c>
      <c r="J97" s="349" t="str">
        <f aca="false">IF(J98&gt;$L$3,IF(J98&lt;=$M$3,"1","0"),"0")</f>
        <v>0</v>
      </c>
      <c r="K97" s="349" t="str">
        <f aca="false">IF(K98&gt;$L$3,IF(K98&lt;=$M$3,"1","0"),"0")</f>
        <v>0</v>
      </c>
      <c r="L97" s="349" t="str">
        <f aca="false">IF(L98&gt;$L$3,IF(L98&lt;=$M$3,"1","0"),"0")</f>
        <v>0</v>
      </c>
      <c r="M97" s="349" t="str">
        <f aca="false">IF(M98&gt;$L$3,IF(M98&lt;=$M$3,"1","0"),"0")</f>
        <v>1</v>
      </c>
      <c r="N97" s="349" t="str">
        <f aca="false">IF(N98&gt;$L$3,IF(N98&lt;=$M$3,"1","0"),"0")</f>
        <v>1</v>
      </c>
      <c r="O97" s="349" t="str">
        <f aca="false">IF(O98&gt;$L$3,IF(O98&lt;=$M$3,"1","0"),"0")</f>
        <v>1</v>
      </c>
      <c r="P97" s="349" t="str">
        <f aca="false">IF(P98&gt;$L$3,IF(P98&lt;=$M$3,"1","0"),"0")</f>
        <v>1</v>
      </c>
      <c r="U97" s="171"/>
      <c r="W97" s="180"/>
    </row>
    <row r="98" customFormat="false" ht="12.75" hidden="false" customHeight="false" outlineLevel="0" collapsed="false">
      <c r="A98" s="302" t="s">
        <v>168</v>
      </c>
      <c r="B98" s="207"/>
      <c r="C98" s="350" t="n">
        <f aca="false">'Data Sheet'!B41</f>
        <v>45291</v>
      </c>
      <c r="D98" s="351" t="n">
        <f aca="false">'Data Sheet'!C41</f>
        <v>45382</v>
      </c>
      <c r="E98" s="351" t="n">
        <f aca="false">'Data Sheet'!D41</f>
        <v>45473</v>
      </c>
      <c r="F98" s="351" t="n">
        <f aca="false">'Data Sheet'!E41</f>
        <v>45565</v>
      </c>
      <c r="G98" s="351" t="n">
        <f aca="false">'Data Sheet'!F41</f>
        <v>45657</v>
      </c>
      <c r="H98" s="351" t="n">
        <f aca="false">'Data Sheet'!G41</f>
        <v>45747</v>
      </c>
      <c r="I98" s="351" t="n">
        <f aca="false">'Data Sheet'!H41</f>
        <v>45838</v>
      </c>
      <c r="J98" s="351" t="n">
        <f aca="false">'Data Sheet'!I41</f>
        <v>45930</v>
      </c>
      <c r="K98" s="351" t="n">
        <f aca="false">'Data Sheet'!J41</f>
        <v>46022</v>
      </c>
      <c r="L98" s="351" t="n">
        <f aca="false">'Data Sheet'!K41</f>
        <v>46112</v>
      </c>
      <c r="M98" s="350" t="n">
        <f aca="false">L98+90</f>
        <v>46202</v>
      </c>
      <c r="N98" s="351" t="n">
        <f aca="false">M98+90</f>
        <v>46292</v>
      </c>
      <c r="O98" s="351" t="n">
        <f aca="false">N98+90</f>
        <v>46382</v>
      </c>
      <c r="P98" s="352" t="n">
        <f aca="false">O98+90</f>
        <v>46472</v>
      </c>
      <c r="Q98" s="353" t="s">
        <v>169</v>
      </c>
      <c r="R98" s="207"/>
      <c r="S98" s="207"/>
      <c r="T98" s="207"/>
      <c r="U98" s="171"/>
      <c r="W98" s="180"/>
    </row>
    <row r="99" customFormat="false" ht="12.75" hidden="false" customHeight="false" outlineLevel="0" collapsed="false">
      <c r="A99" s="226" t="s">
        <v>170</v>
      </c>
      <c r="B99" s="156" t="s">
        <v>105</v>
      </c>
      <c r="C99" s="172" t="n">
        <f aca="false">'Data Sheet'!B42</f>
        <v>757.77</v>
      </c>
      <c r="D99" s="173" t="n">
        <f aca="false">'Data Sheet'!C42</f>
        <v>863.41</v>
      </c>
      <c r="E99" s="173" t="n">
        <f aca="false">'Data Sheet'!D42</f>
        <v>907.86</v>
      </c>
      <c r="F99" s="173" t="n">
        <f aca="false">'Data Sheet'!E42</f>
        <v>927.42</v>
      </c>
      <c r="G99" s="173" t="n">
        <f aca="false">'Data Sheet'!F42</f>
        <v>996.42</v>
      </c>
      <c r="H99" s="173" t="n">
        <f aca="false">'Data Sheet'!G42</f>
        <v>1037.07</v>
      </c>
      <c r="I99" s="173" t="n">
        <f aca="false">'Data Sheet'!H42</f>
        <v>1039.94</v>
      </c>
      <c r="J99" s="173" t="n">
        <f aca="false">'Data Sheet'!I42</f>
        <v>1035.5</v>
      </c>
      <c r="K99" s="173" t="n">
        <f aca="false">'Data Sheet'!J42</f>
        <v>1017.07</v>
      </c>
      <c r="L99" s="173" t="n">
        <f aca="false">'Data Sheet'!K42</f>
        <v>1172.76</v>
      </c>
      <c r="M99" s="354" t="n">
        <f aca="false">I99*(1+$U$9)</f>
        <v>1196.48363894128</v>
      </c>
      <c r="N99" s="355" t="n">
        <f aca="false">J99*(1+$U$9)</f>
        <v>1191.37527946198</v>
      </c>
      <c r="O99" s="355" t="n">
        <f aca="false">K99*(1+$U$9)</f>
        <v>1170.17098549725</v>
      </c>
      <c r="P99" s="356" t="n">
        <f aca="false">L99*(1+$U$9)</f>
        <v>1349.29722138275</v>
      </c>
      <c r="Q99" s="173" t="n">
        <f aca="false">SUMIF(H$97:P$97,"=1",H99:P99)</f>
        <v>4907.32712528325</v>
      </c>
      <c r="R99" s="357" t="n">
        <f aca="false">Q99/M9</f>
        <v>1</v>
      </c>
      <c r="U99" s="171"/>
      <c r="W99" s="180"/>
    </row>
    <row r="100" customFormat="false" ht="12.75" hidden="false" customHeight="false" outlineLevel="0" collapsed="false">
      <c r="A100" s="226" t="s">
        <v>171</v>
      </c>
      <c r="C100" s="172"/>
      <c r="D100" s="179" t="n">
        <f aca="false">D99/C99-1</f>
        <v>0.139409055518165</v>
      </c>
      <c r="E100" s="179" t="n">
        <f aca="false">E99/D99-1</f>
        <v>0.0514819147334407</v>
      </c>
      <c r="F100" s="179" t="n">
        <f aca="false">F99/E99-1</f>
        <v>0.0215451721631088</v>
      </c>
      <c r="G100" s="179" t="n">
        <f aca="false">G99/F99-1</f>
        <v>0.0743999482435143</v>
      </c>
      <c r="H100" s="179" t="n">
        <f aca="false">H99/G99-1</f>
        <v>0.0407960498584934</v>
      </c>
      <c r="I100" s="179" t="n">
        <f aca="false">I99/H99-1</f>
        <v>0.00276741203583186</v>
      </c>
      <c r="J100" s="179" t="n">
        <f aca="false">J99/I99-1</f>
        <v>-0.00426947708521652</v>
      </c>
      <c r="K100" s="179" t="n">
        <f aca="false">K99/J99-1</f>
        <v>-0.0177981651376147</v>
      </c>
      <c r="L100" s="179" t="n">
        <f aca="false">L99/K99-1</f>
        <v>0.15307697601935</v>
      </c>
      <c r="M100" s="358" t="n">
        <f aca="false">M99/L99-1</f>
        <v>0.0202288950350269</v>
      </c>
      <c r="N100" s="359" t="n">
        <f aca="false">N99/M99-1</f>
        <v>-0.0042694770852163</v>
      </c>
      <c r="O100" s="359" t="n">
        <f aca="false">O99/N99-1</f>
        <v>-0.0177981651376148</v>
      </c>
      <c r="P100" s="360" t="n">
        <f aca="false">P99/O99-1</f>
        <v>0.15307697601935</v>
      </c>
      <c r="Q100" s="173"/>
      <c r="R100" s="357"/>
      <c r="U100" s="171"/>
      <c r="W100" s="180"/>
    </row>
    <row r="101" customFormat="false" ht="12.75" hidden="false" customHeight="false" outlineLevel="0" collapsed="false">
      <c r="A101" s="226" t="s">
        <v>172</v>
      </c>
      <c r="B101" s="156" t="s">
        <v>105</v>
      </c>
      <c r="C101" s="172" t="n">
        <f aca="false">'Data Sheet'!B50</f>
        <v>80.35</v>
      </c>
      <c r="D101" s="173" t="n">
        <f aca="false">'Data Sheet'!C50</f>
        <v>72.16</v>
      </c>
      <c r="E101" s="173" t="n">
        <f aca="false">'Data Sheet'!D50</f>
        <v>87.67</v>
      </c>
      <c r="F101" s="173" t="n">
        <f aca="false">'Data Sheet'!E50</f>
        <v>63.49</v>
      </c>
      <c r="G101" s="173" t="n">
        <f aca="false">'Data Sheet'!F50</f>
        <v>80.73</v>
      </c>
      <c r="H101" s="173" t="n">
        <f aca="false">'Data Sheet'!G50</f>
        <v>92.19</v>
      </c>
      <c r="I101" s="173" t="n">
        <f aca="false">'Data Sheet'!H50</f>
        <v>100.63</v>
      </c>
      <c r="J101" s="173" t="n">
        <f aca="false">'Data Sheet'!I50</f>
        <v>102.01</v>
      </c>
      <c r="K101" s="173" t="n">
        <f aca="false">'Data Sheet'!J50</f>
        <v>119.78</v>
      </c>
      <c r="L101" s="173" t="n">
        <f aca="false">'Data Sheet'!K50</f>
        <v>112.51</v>
      </c>
      <c r="M101" s="361" t="n">
        <f aca="false">M99*$U$27</f>
        <v>110.778348581269</v>
      </c>
      <c r="N101" s="362" t="n">
        <f aca="false">N99*$U$27</f>
        <v>110.305382960463</v>
      </c>
      <c r="O101" s="362" t="n">
        <f aca="false">O99*$U$27</f>
        <v>108.342149538965</v>
      </c>
      <c r="P101" s="363" t="n">
        <f aca="false">P99*$U$27</f>
        <v>124.926838165826</v>
      </c>
      <c r="Q101" s="173" t="n">
        <f aca="false">SUMIF(H$97:P$97,"=1",H101:P101)</f>
        <v>454.352719246523</v>
      </c>
      <c r="R101" s="357" t="n">
        <f aca="false">Q101/M13</f>
        <v>1</v>
      </c>
      <c r="U101" s="171"/>
      <c r="W101" s="180"/>
    </row>
    <row r="102" customFormat="false" ht="12.75" hidden="false" customHeight="false" outlineLevel="0" collapsed="false">
      <c r="A102" s="226" t="s">
        <v>171</v>
      </c>
      <c r="C102" s="172"/>
      <c r="D102" s="179" t="n">
        <f aca="false">D101/C101-1</f>
        <v>-0.101929060360921</v>
      </c>
      <c r="E102" s="179" t="n">
        <f aca="false">E101/D101-1</f>
        <v>0.214939024390244</v>
      </c>
      <c r="F102" s="179" t="n">
        <f aca="false">F101/E101-1</f>
        <v>-0.275807003535987</v>
      </c>
      <c r="G102" s="179" t="n">
        <f aca="false">G101/F101-1</f>
        <v>0.271538825011813</v>
      </c>
      <c r="H102" s="179" t="n">
        <f aca="false">H101/G101-1</f>
        <v>0.141954663693794</v>
      </c>
      <c r="I102" s="179" t="n">
        <f aca="false">I101/H101-1</f>
        <v>0.091550059659399</v>
      </c>
      <c r="J102" s="179" t="n">
        <f aca="false">J101/I101-1</f>
        <v>0.0137136042929544</v>
      </c>
      <c r="K102" s="179" t="n">
        <f aca="false">K101/J101-1</f>
        <v>0.17419860797961</v>
      </c>
      <c r="L102" s="179" t="n">
        <f aca="false">L101/K101-1</f>
        <v>-0.060694606779095</v>
      </c>
      <c r="M102" s="358" t="n">
        <f aca="false">M101/L101-1</f>
        <v>-0.0153910889585914</v>
      </c>
      <c r="N102" s="359" t="n">
        <f aca="false">N101/M101-1</f>
        <v>-0.0042694770852163</v>
      </c>
      <c r="O102" s="359" t="n">
        <f aca="false">O101/N101-1</f>
        <v>-0.0177981651376148</v>
      </c>
      <c r="P102" s="360" t="n">
        <f aca="false">P101/O101-1</f>
        <v>0.15307697601935</v>
      </c>
      <c r="Q102" s="173"/>
      <c r="R102" s="357"/>
      <c r="U102" s="171"/>
      <c r="W102" s="180"/>
    </row>
    <row r="103" customFormat="false" ht="12.75" hidden="false" customHeight="false" outlineLevel="0" collapsed="false">
      <c r="A103" s="226" t="s">
        <v>173</v>
      </c>
      <c r="B103" s="156" t="s">
        <v>118</v>
      </c>
      <c r="C103" s="222" t="n">
        <f aca="false">C101/C99</f>
        <v>0.10603481267403</v>
      </c>
      <c r="D103" s="224" t="n">
        <f aca="false">D101/D99</f>
        <v>0.0835755898124877</v>
      </c>
      <c r="E103" s="224" t="n">
        <f aca="false">E101/E99</f>
        <v>0.0965677527372062</v>
      </c>
      <c r="F103" s="224" t="n">
        <f aca="false">F101/F99</f>
        <v>0.0684587349852278</v>
      </c>
      <c r="G103" s="224" t="n">
        <f aca="false">G101/G99</f>
        <v>0.0810200517853917</v>
      </c>
      <c r="H103" s="224" t="n">
        <f aca="false">H101/H99</f>
        <v>0.0888946744192774</v>
      </c>
      <c r="I103" s="224" t="n">
        <f aca="false">I101/I99</f>
        <v>0.0967651979921919</v>
      </c>
      <c r="J103" s="224" t="n">
        <f aca="false">J101/J99</f>
        <v>0.098512795750845</v>
      </c>
      <c r="K103" s="224" t="n">
        <f aca="false">K101/K99</f>
        <v>0.117769671704013</v>
      </c>
      <c r="L103" s="224" t="n">
        <f aca="false">L101/L99</f>
        <v>0.0959360824039019</v>
      </c>
      <c r="M103" s="364" t="n">
        <f aca="false">M101/M99</f>
        <v>0.0925865970714755</v>
      </c>
      <c r="N103" s="365" t="n">
        <f aca="false">N101/N99</f>
        <v>0.0925865970714755</v>
      </c>
      <c r="O103" s="365" t="n">
        <f aca="false">O101/O99</f>
        <v>0.0925865970714755</v>
      </c>
      <c r="P103" s="366" t="n">
        <f aca="false">P101/P99</f>
        <v>0.0925865970714755</v>
      </c>
      <c r="Q103" s="224" t="n">
        <f aca="false">Q101/Q99</f>
        <v>0.0925865970714755</v>
      </c>
      <c r="R103" s="357" t="n">
        <f aca="false">Q103/M27</f>
        <v>1</v>
      </c>
      <c r="U103" s="171"/>
      <c r="W103" s="180"/>
    </row>
    <row r="104" customFormat="false" ht="12.75" hidden="false" customHeight="false" outlineLevel="0" collapsed="false">
      <c r="A104" s="226" t="s">
        <v>79</v>
      </c>
      <c r="B104" s="156" t="s">
        <v>118</v>
      </c>
      <c r="C104" s="316" t="n">
        <f aca="false">'Data Sheet'!B48/'Data Sheet'!B47</f>
        <v>0.166734444896299</v>
      </c>
      <c r="D104" s="179" t="n">
        <f aca="false">'Data Sheet'!C48/'Data Sheet'!C47</f>
        <v>0.0387704237053448</v>
      </c>
      <c r="E104" s="179" t="n">
        <f aca="false">'Data Sheet'!D48/'Data Sheet'!D47</f>
        <v>0.0940580868638423</v>
      </c>
      <c r="F104" s="179" t="n">
        <f aca="false">'Data Sheet'!E48/'Data Sheet'!E47</f>
        <v>0.151085930122757</v>
      </c>
      <c r="G104" s="179" t="n">
        <f aca="false">'Data Sheet'!F48/'Data Sheet'!F47</f>
        <v>0.124004039950623</v>
      </c>
      <c r="H104" s="179" t="n">
        <f aca="false">'Data Sheet'!G48/'Data Sheet'!G47</f>
        <v>0.171510866719036</v>
      </c>
      <c r="I104" s="179" t="n">
        <f aca="false">'Data Sheet'!H48/'Data Sheet'!H47</f>
        <v>0.197274217200035</v>
      </c>
      <c r="J104" s="179" t="n">
        <f aca="false">'Data Sheet'!I48/'Data Sheet'!I47</f>
        <v>0.137580877066858</v>
      </c>
      <c r="K104" s="179" t="n">
        <f aca="false">'Data Sheet'!J48/'Data Sheet'!J47</f>
        <v>0.152923798766183</v>
      </c>
      <c r="L104" s="179" t="n">
        <f aca="false">'Data Sheet'!K48/'Data Sheet'!K47</f>
        <v>0.133459178857952</v>
      </c>
      <c r="M104" s="367" t="n">
        <f aca="false">$U$30</f>
        <v>0.137114026271128</v>
      </c>
      <c r="N104" s="368" t="n">
        <f aca="false">$U$30</f>
        <v>0.137114026271128</v>
      </c>
      <c r="O104" s="368" t="n">
        <f aca="false">$U$30</f>
        <v>0.137114026271128</v>
      </c>
      <c r="P104" s="369" t="n">
        <f aca="false">$U$30</f>
        <v>0.137114026271128</v>
      </c>
      <c r="Q104" s="254"/>
      <c r="R104" s="370"/>
      <c r="U104" s="171"/>
      <c r="W104" s="180"/>
    </row>
    <row r="105" customFormat="false" ht="12.75" hidden="false" customHeight="false" outlineLevel="0" collapsed="false">
      <c r="A105" s="226" t="s">
        <v>174</v>
      </c>
      <c r="B105" s="156" t="s">
        <v>105</v>
      </c>
      <c r="C105" s="172" t="n">
        <f aca="false">'Data Sheet'!B49</f>
        <v>60.27</v>
      </c>
      <c r="D105" s="173" t="n">
        <f aca="false">'Data Sheet'!C49</f>
        <v>68.98</v>
      </c>
      <c r="E105" s="173" t="n">
        <f aca="false">'Data Sheet'!D49</f>
        <v>67.33</v>
      </c>
      <c r="F105" s="173" t="n">
        <f aca="false">'Data Sheet'!E49</f>
        <v>72</v>
      </c>
      <c r="G105" s="173" t="n">
        <f aca="false">'Data Sheet'!F49</f>
        <v>77.93</v>
      </c>
      <c r="H105" s="173" t="n">
        <f aca="false">'Data Sheet'!G49</f>
        <v>95.13</v>
      </c>
      <c r="I105" s="173" t="n">
        <f aca="false">'Data Sheet'!H49</f>
        <v>93.26</v>
      </c>
      <c r="J105" s="173" t="n">
        <f aca="false">'Data Sheet'!I49</f>
        <v>95.99</v>
      </c>
      <c r="K105" s="173" t="n">
        <f aca="false">'Data Sheet'!J49</f>
        <v>97.67</v>
      </c>
      <c r="L105" s="173" t="n">
        <f aca="false">'Data Sheet'!K49</f>
        <v>91.88</v>
      </c>
      <c r="M105" s="354" t="n">
        <f aca="false">(M101+M114-M115-M116)*(1-M104)</f>
        <v>98.5590520047357</v>
      </c>
      <c r="N105" s="355" t="n">
        <f aca="false">(N101+N114-N115-N116)*(1-N104)</f>
        <v>100.235866936062</v>
      </c>
      <c r="O105" s="355" t="n">
        <f aca="false">(O101+O114-O115-O116)*(1-O104)</f>
        <v>96.6917740500965</v>
      </c>
      <c r="P105" s="356" t="n">
        <f aca="false">(P101+P114-P115-P116)*(1-P104)</f>
        <v>108.383005182614</v>
      </c>
      <c r="Q105" s="173" t="n">
        <f aca="false">SUMIF(H$97:P$97,"=1",H105:P105)</f>
        <v>403.869698173508</v>
      </c>
      <c r="R105" s="357" t="n">
        <f aca="false">Q105/M20</f>
        <v>1.02521265268087</v>
      </c>
      <c r="U105" s="171"/>
      <c r="W105" s="180"/>
    </row>
    <row r="106" customFormat="false" ht="12.75" hidden="false" customHeight="false" outlineLevel="0" collapsed="false">
      <c r="A106" s="226" t="s">
        <v>171</v>
      </c>
      <c r="C106" s="172"/>
      <c r="D106" s="179" t="n">
        <f aca="false">D105/C105-1</f>
        <v>0.144516343122615</v>
      </c>
      <c r="E106" s="179" t="n">
        <f aca="false">E105/D105-1</f>
        <v>-0.023919976804871</v>
      </c>
      <c r="F106" s="179" t="n">
        <f aca="false">F105/E105-1</f>
        <v>0.0693598693004605</v>
      </c>
      <c r="G106" s="179" t="n">
        <f aca="false">G105/F105-1</f>
        <v>0.0823611111111111</v>
      </c>
      <c r="H106" s="179" t="n">
        <f aca="false">H105/G105-1</f>
        <v>0.220710894392403</v>
      </c>
      <c r="I106" s="179" t="n">
        <f aca="false">I105/H105-1</f>
        <v>-0.0196573110480395</v>
      </c>
      <c r="J106" s="179" t="n">
        <f aca="false">J105/I105-1</f>
        <v>0.0292730002144541</v>
      </c>
      <c r="K106" s="179" t="n">
        <f aca="false">K105/J105-1</f>
        <v>0.0175018231065738</v>
      </c>
      <c r="L106" s="179" t="n">
        <f aca="false">L105/K105-1</f>
        <v>-0.0592812531995496</v>
      </c>
      <c r="M106" s="358" t="n">
        <f aca="false">M105/L105-1</f>
        <v>0.0726932085844114</v>
      </c>
      <c r="N106" s="359" t="n">
        <f aca="false">N105/M105-1</f>
        <v>0.0170133021495102</v>
      </c>
      <c r="O106" s="359" t="n">
        <f aca="false">O105/N105-1</f>
        <v>-0.0353575321319447</v>
      </c>
      <c r="P106" s="360" t="n">
        <f aca="false">P105/O105-1</f>
        <v>0.120912365579931</v>
      </c>
      <c r="Q106" s="173"/>
      <c r="R106" s="357"/>
      <c r="U106" s="171"/>
      <c r="W106" s="180"/>
    </row>
    <row r="107" customFormat="false" ht="12.75" hidden="false" customHeight="false" outlineLevel="0" collapsed="false">
      <c r="A107" s="226" t="s">
        <v>175</v>
      </c>
      <c r="C107" s="222" t="n">
        <f aca="false">C105/C99</f>
        <v>0.0795360069678135</v>
      </c>
      <c r="D107" s="224" t="n">
        <f aca="false">D105/D99</f>
        <v>0.0798925191971369</v>
      </c>
      <c r="E107" s="224" t="n">
        <f aca="false">E105/E99</f>
        <v>0.0741634172669795</v>
      </c>
      <c r="F107" s="224" t="n">
        <f aca="false">F105/F99</f>
        <v>0.0776347286019279</v>
      </c>
      <c r="G107" s="224" t="n">
        <f aca="false">G105/G99</f>
        <v>0.0782099917705385</v>
      </c>
      <c r="H107" s="224" t="n">
        <f aca="false">H105/H99</f>
        <v>0.0917295843096416</v>
      </c>
      <c r="I107" s="224" t="n">
        <f aca="false">I105/I99</f>
        <v>0.0896782506683078</v>
      </c>
      <c r="J107" s="224" t="n">
        <f aca="false">J105/J99</f>
        <v>0.0926991791405118</v>
      </c>
      <c r="K107" s="224" t="n">
        <f aca="false">K105/K99</f>
        <v>0.0960307550119461</v>
      </c>
      <c r="L107" s="224" t="n">
        <f aca="false">L105/L99</f>
        <v>0.0783451004468092</v>
      </c>
      <c r="M107" s="364" t="n">
        <f aca="false">M105/M99</f>
        <v>0.0823739237186284</v>
      </c>
      <c r="N107" s="365" t="n">
        <f aca="false">N105/N99</f>
        <v>0.0841345868627789</v>
      </c>
      <c r="O107" s="365" t="n">
        <f aca="false">O105/O99</f>
        <v>0.082630466186964</v>
      </c>
      <c r="P107" s="366" t="n">
        <f aca="false">P105/P99</f>
        <v>0.0803255231427394</v>
      </c>
      <c r="Q107" s="173"/>
      <c r="R107" s="357"/>
      <c r="U107" s="171"/>
      <c r="W107" s="180"/>
    </row>
    <row r="108" customFormat="false" ht="12.75" hidden="false" customHeight="false" outlineLevel="0" collapsed="false">
      <c r="A108" s="226"/>
      <c r="C108" s="171"/>
      <c r="M108" s="371"/>
      <c r="N108" s="372"/>
      <c r="O108" s="372"/>
      <c r="P108" s="373"/>
      <c r="U108" s="171"/>
      <c r="W108" s="180"/>
    </row>
    <row r="109" customFormat="false" ht="12.75" hidden="false" customHeight="false" outlineLevel="0" collapsed="false">
      <c r="A109" s="277" t="s">
        <v>176</v>
      </c>
      <c r="C109" s="171"/>
      <c r="M109" s="371"/>
      <c r="N109" s="372"/>
      <c r="O109" s="372"/>
      <c r="P109" s="373"/>
      <c r="Q109" s="156" t="s">
        <v>177</v>
      </c>
      <c r="U109" s="171"/>
      <c r="W109" s="180"/>
    </row>
    <row r="110" customFormat="false" ht="12.75" hidden="false" customHeight="false" outlineLevel="0" collapsed="false">
      <c r="A110" s="226" t="s">
        <v>178</v>
      </c>
      <c r="B110" s="156" t="s">
        <v>118</v>
      </c>
      <c r="C110" s="171"/>
      <c r="G110" s="179" t="n">
        <f aca="false">G99/C99-1</f>
        <v>0.314937250089077</v>
      </c>
      <c r="H110" s="179" t="n">
        <f aca="false">H99/D99-1</f>
        <v>0.201132717943966</v>
      </c>
      <c r="I110" s="179" t="n">
        <f aca="false">I99/E99-1</f>
        <v>0.145484986671954</v>
      </c>
      <c r="J110" s="179" t="n">
        <f aca="false">J99/F99-1</f>
        <v>0.11653835371245</v>
      </c>
      <c r="K110" s="179" t="n">
        <f aca="false">K99/G99-1</f>
        <v>0.0207241926095423</v>
      </c>
      <c r="L110" s="179" t="n">
        <f aca="false">L99/H99-1</f>
        <v>0.130839769735891</v>
      </c>
      <c r="M110" s="358" t="n">
        <f aca="false">M99/I99-1</f>
        <v>0.150531414255898</v>
      </c>
      <c r="N110" s="359" t="n">
        <f aca="false">N99/J99-1</f>
        <v>0.150531414255898</v>
      </c>
      <c r="O110" s="359" t="n">
        <f aca="false">O99/K99-1</f>
        <v>0.150531414255898</v>
      </c>
      <c r="P110" s="360" t="n">
        <f aca="false">P99/L99-1</f>
        <v>0.150531414255898</v>
      </c>
      <c r="Q110" s="179" t="n">
        <f aca="false">((L99/D99)^(1/2))-1</f>
        <v>0.165456411103392</v>
      </c>
      <c r="U110" s="171"/>
      <c r="W110" s="180"/>
    </row>
    <row r="111" customFormat="false" ht="12.75" hidden="false" customHeight="false" outlineLevel="0" collapsed="false">
      <c r="A111" s="226" t="s">
        <v>179</v>
      </c>
      <c r="B111" s="156" t="s">
        <v>118</v>
      </c>
      <c r="C111" s="171"/>
      <c r="G111" s="179" t="n">
        <f aca="false">G101/C101-1</f>
        <v>0.00472930927193538</v>
      </c>
      <c r="H111" s="179" t="n">
        <f aca="false">H101/D101-1</f>
        <v>0.277577605321508</v>
      </c>
      <c r="I111" s="179" t="n">
        <f aca="false">I101/E101-1</f>
        <v>0.147827078818296</v>
      </c>
      <c r="J111" s="179" t="n">
        <f aca="false">J101/F101-1</f>
        <v>0.606709718065837</v>
      </c>
      <c r="K111" s="179" t="n">
        <f aca="false">K101/G101-1</f>
        <v>0.483711135885049</v>
      </c>
      <c r="L111" s="179" t="n">
        <f aca="false">L101/H101-1</f>
        <v>0.22041436164443</v>
      </c>
      <c r="M111" s="358" t="n">
        <f aca="false">M101/I101-1</f>
        <v>0.100848142514845</v>
      </c>
      <c r="N111" s="359" t="n">
        <f aca="false">N101/J101-1</f>
        <v>0.081319311444594</v>
      </c>
      <c r="O111" s="359" t="n">
        <f aca="false">O101/K101-1</f>
        <v>-0.09549048640036</v>
      </c>
      <c r="P111" s="360" t="n">
        <f aca="false">P101/L101-1</f>
        <v>0.110362084844243</v>
      </c>
      <c r="Q111" s="179" t="n">
        <f aca="false">((L101/D101)^(1/2))-1</f>
        <v>0.248668914344258</v>
      </c>
      <c r="U111" s="171"/>
      <c r="W111" s="180"/>
    </row>
    <row r="112" customFormat="false" ht="12.75" hidden="false" customHeight="false" outlineLevel="0" collapsed="false">
      <c r="A112" s="226" t="s">
        <v>180</v>
      </c>
      <c r="B112" s="156" t="s">
        <v>118</v>
      </c>
      <c r="C112" s="171"/>
      <c r="G112" s="179" t="n">
        <f aca="false">G105/C105-1</f>
        <v>0.293014766882363</v>
      </c>
      <c r="H112" s="179" t="n">
        <f aca="false">H105/D105-1</f>
        <v>0.379095389968107</v>
      </c>
      <c r="I112" s="179" t="n">
        <f aca="false">I105/E105-1</f>
        <v>0.385118075152235</v>
      </c>
      <c r="J112" s="179" t="n">
        <f aca="false">J105/F105-1</f>
        <v>0.333194444444444</v>
      </c>
      <c r="K112" s="179" t="n">
        <f aca="false">K105/G105-1</f>
        <v>0.253304247401514</v>
      </c>
      <c r="L112" s="179" t="n">
        <f aca="false">L105/H105-1</f>
        <v>-0.0341637758856302</v>
      </c>
      <c r="M112" s="358" t="n">
        <f aca="false">M105/I105-1</f>
        <v>0.0568202016377408</v>
      </c>
      <c r="N112" s="359" t="n">
        <f aca="false">N105/J105-1</f>
        <v>0.0442323881244044</v>
      </c>
      <c r="O112" s="359" t="n">
        <f aca="false">O105/K105-1</f>
        <v>-0.0100156235272196</v>
      </c>
      <c r="P112" s="360" t="n">
        <f aca="false">P105/L105-1</f>
        <v>0.179614771251783</v>
      </c>
      <c r="Q112" s="179" t="n">
        <f aca="false">((L105/D105)^(1/2))-1</f>
        <v>0.154114502179195</v>
      </c>
      <c r="U112" s="171"/>
      <c r="W112" s="180"/>
    </row>
    <row r="113" customFormat="false" ht="12.75" hidden="false" customHeight="false" outlineLevel="0" collapsed="false">
      <c r="A113" s="171"/>
      <c r="C113" s="171"/>
      <c r="M113" s="371"/>
      <c r="N113" s="372"/>
      <c r="O113" s="372"/>
      <c r="P113" s="373"/>
      <c r="U113" s="171"/>
      <c r="W113" s="180"/>
    </row>
    <row r="114" customFormat="false" ht="12.75" hidden="false" customHeight="false" outlineLevel="0" collapsed="false">
      <c r="A114" s="226" t="s">
        <v>110</v>
      </c>
      <c r="B114" s="156" t="s">
        <v>105</v>
      </c>
      <c r="C114" s="172" t="n">
        <f aca="false">'Data Sheet'!B44</f>
        <v>15.44</v>
      </c>
      <c r="D114" s="173" t="n">
        <f aca="false">'Data Sheet'!C44</f>
        <v>24.89</v>
      </c>
      <c r="E114" s="173" t="n">
        <f aca="false">'Data Sheet'!D44</f>
        <v>6.87</v>
      </c>
      <c r="F114" s="173" t="n">
        <f aca="false">'Data Sheet'!E44</f>
        <v>40.36</v>
      </c>
      <c r="G114" s="173" t="n">
        <f aca="false">'Data Sheet'!F44</f>
        <v>28.86</v>
      </c>
      <c r="H114" s="173" t="n">
        <f aca="false">'Data Sheet'!G44</f>
        <v>35.75</v>
      </c>
      <c r="I114" s="173" t="n">
        <f aca="false">'Data Sheet'!H44</f>
        <v>30.06</v>
      </c>
      <c r="J114" s="173" t="n">
        <f aca="false">'Data Sheet'!I44</f>
        <v>26.32</v>
      </c>
      <c r="K114" s="173" t="n">
        <f aca="false">'Data Sheet'!J44</f>
        <v>11.69</v>
      </c>
      <c r="L114" s="173" t="n">
        <f aca="false">'Data Sheet'!K44</f>
        <v>8.86</v>
      </c>
      <c r="M114" s="354" t="n">
        <f aca="false">AVERAGE(E114:L114)</f>
        <v>23.59625</v>
      </c>
      <c r="N114" s="355" t="n">
        <f aca="false">AVERAGE(F114:M114)</f>
        <v>25.68703125</v>
      </c>
      <c r="O114" s="355" t="n">
        <f aca="false">AVERAGE(G114:N114)</f>
        <v>23.85291015625</v>
      </c>
      <c r="P114" s="356" t="n">
        <f aca="false">AVERAGE(H114:O114)</f>
        <v>23.2270239257813</v>
      </c>
      <c r="U114" s="171"/>
      <c r="W114" s="180"/>
    </row>
    <row r="115" customFormat="false" ht="12.75" hidden="false" customHeight="false" outlineLevel="0" collapsed="false">
      <c r="A115" s="226" t="s">
        <v>111</v>
      </c>
      <c r="B115" s="156" t="s">
        <v>105</v>
      </c>
      <c r="C115" s="172" t="n">
        <f aca="false">'Data Sheet'!B45</f>
        <v>9.02</v>
      </c>
      <c r="D115" s="173" t="n">
        <f aca="false">'Data Sheet'!C45</f>
        <v>12.48</v>
      </c>
      <c r="E115" s="173" t="n">
        <f aca="false">'Data Sheet'!D45</f>
        <v>6.52</v>
      </c>
      <c r="F115" s="173" t="n">
        <f aca="false">'Data Sheet'!E45</f>
        <v>7.18</v>
      </c>
      <c r="G115" s="173" t="n">
        <f aca="false">'Data Sheet'!F45</f>
        <v>7.64</v>
      </c>
      <c r="H115" s="173" t="n">
        <f aca="false">'Data Sheet'!G45</f>
        <v>7.75</v>
      </c>
      <c r="I115" s="173" t="n">
        <f aca="false">'Data Sheet'!H45</f>
        <v>8.71</v>
      </c>
      <c r="J115" s="173" t="n">
        <f aca="false">'Data Sheet'!I45</f>
        <v>9.23</v>
      </c>
      <c r="K115" s="173" t="n">
        <f aca="false">'Data Sheet'!J45</f>
        <v>9.84</v>
      </c>
      <c r="L115" s="173" t="n">
        <f aca="false">'Data Sheet'!K45</f>
        <v>11.05</v>
      </c>
      <c r="M115" s="354" t="n">
        <f aca="false">I115*(I115/E115)</f>
        <v>11.6355981595092</v>
      </c>
      <c r="N115" s="355" t="n">
        <f aca="false">J115*(J115/F115)</f>
        <v>11.8653064066852</v>
      </c>
      <c r="O115" s="355" t="n">
        <f aca="false">K115*(K115/G115)</f>
        <v>12.6735078534031</v>
      </c>
      <c r="P115" s="356" t="n">
        <f aca="false">L115*(L115/H115)</f>
        <v>15.7551612903226</v>
      </c>
      <c r="U115" s="171"/>
      <c r="W115" s="180"/>
    </row>
    <row r="116" customFormat="false" ht="13.5" hidden="false" customHeight="true" outlineLevel="0" collapsed="false">
      <c r="A116" s="235" t="s">
        <v>112</v>
      </c>
      <c r="B116" s="192" t="s">
        <v>105</v>
      </c>
      <c r="C116" s="193" t="n">
        <f aca="false">'Data Sheet'!B46</f>
        <v>13</v>
      </c>
      <c r="D116" s="194" t="n">
        <f aca="false">'Data Sheet'!C46</f>
        <v>12.35</v>
      </c>
      <c r="E116" s="194" t="n">
        <f aca="false">'Data Sheet'!D46</f>
        <v>12.96</v>
      </c>
      <c r="F116" s="194" t="n">
        <f aca="false">'Data Sheet'!E46</f>
        <v>11.95</v>
      </c>
      <c r="G116" s="194" t="n">
        <f aca="false">'Data Sheet'!F46</f>
        <v>12.84</v>
      </c>
      <c r="H116" s="194" t="n">
        <f aca="false">'Data Sheet'!G46</f>
        <v>5.62</v>
      </c>
      <c r="I116" s="194" t="n">
        <f aca="false">'Data Sheet'!H46</f>
        <v>6.05</v>
      </c>
      <c r="J116" s="194" t="n">
        <f aca="false">'Data Sheet'!I46</f>
        <v>7.82</v>
      </c>
      <c r="K116" s="194" t="n">
        <f aca="false">'Data Sheet'!J46</f>
        <v>6.54</v>
      </c>
      <c r="L116" s="194" t="n">
        <f aca="false">'Data Sheet'!K46</f>
        <v>4.37</v>
      </c>
      <c r="M116" s="374" t="n">
        <f aca="false">AVERAGE(E116:L116)</f>
        <v>8.51875</v>
      </c>
      <c r="N116" s="375" t="n">
        <f aca="false">AVERAGE(F116:M116)</f>
        <v>7.96359375</v>
      </c>
      <c r="O116" s="375" t="n">
        <f aca="false">AVERAGE(G116:N116)</f>
        <v>7.46529296875</v>
      </c>
      <c r="P116" s="376" t="n">
        <f aca="false">AVERAGE(H116:O116)</f>
        <v>6.79345458984375</v>
      </c>
      <c r="Q116" s="192"/>
      <c r="R116" s="192"/>
      <c r="S116" s="192"/>
      <c r="T116" s="192"/>
      <c r="U116" s="191"/>
      <c r="V116" s="192"/>
      <c r="W116" s="311"/>
    </row>
    <row r="117" customFormat="false" ht="12.75" hidden="false" customHeight="false" outlineLevel="0" collapsed="false">
      <c r="A117" s="332"/>
      <c r="C117" s="173"/>
      <c r="D117" s="173"/>
      <c r="E117" s="173"/>
      <c r="F117" s="173"/>
      <c r="G117" s="173"/>
      <c r="H117" s="173"/>
      <c r="I117" s="173"/>
      <c r="J117" s="173"/>
      <c r="K117" s="173"/>
      <c r="L117" s="173"/>
      <c r="M117" s="377"/>
      <c r="N117" s="377"/>
      <c r="O117" s="377"/>
      <c r="P117" s="377"/>
      <c r="Z117" s="378" t="str">
        <f aca="true">"Key Data -"&amp;" as of "&amp;TEXT(TODAY(),"dd-mmm-yy")</f>
        <v>Key Data - as of 11-May-26</v>
      </c>
      <c r="AA117" s="378"/>
      <c r="AB117" s="378"/>
      <c r="AC117" s="378"/>
      <c r="AD117" s="378"/>
      <c r="AE117" s="378"/>
    </row>
    <row r="118" customFormat="false" ht="12.75" hidden="false" customHeight="false" outlineLevel="0" collapsed="false">
      <c r="A118" s="332"/>
      <c r="C118" s="173"/>
      <c r="D118" s="173"/>
      <c r="E118" s="173"/>
      <c r="F118" s="173"/>
      <c r="G118" s="173"/>
      <c r="H118" s="173"/>
      <c r="I118" s="173"/>
      <c r="J118" s="173"/>
      <c r="K118" s="173"/>
      <c r="L118" s="173"/>
      <c r="M118" s="377"/>
      <c r="N118" s="377"/>
      <c r="O118" s="377"/>
      <c r="P118" s="377"/>
      <c r="Z118" s="379" t="str">
        <f aca="false">CONCATENATE('Data Sheet'!$B$1,"           Mcap ",TEXT(ROUND($P$6,0),"0,000")," Cr        CMP ",TEXT($P$4,"##,##0.0"))</f>
        <v>GRAVITA INDIA LTD           Mcap 13,262 Cr        CMP 1,797.0</v>
      </c>
      <c r="AA118" s="379"/>
      <c r="AB118" s="379"/>
      <c r="AC118" s="379"/>
      <c r="AD118" s="379"/>
      <c r="AE118" s="379"/>
    </row>
    <row r="119" customFormat="false" ht="12.75" hidden="false" customHeight="false" outlineLevel="0" collapsed="false">
      <c r="A119" s="332"/>
      <c r="C119" s="173"/>
      <c r="D119" s="173"/>
      <c r="E119" s="173"/>
      <c r="F119" s="173"/>
      <c r="G119" s="173"/>
      <c r="H119" s="173"/>
      <c r="I119" s="173"/>
      <c r="J119" s="173"/>
      <c r="K119" s="173"/>
      <c r="L119" s="173"/>
      <c r="M119" s="377"/>
      <c r="N119" s="377"/>
      <c r="O119" s="377"/>
      <c r="P119" s="377"/>
      <c r="Z119" s="380" t="s">
        <v>181</v>
      </c>
      <c r="AA119" s="380"/>
      <c r="AB119" s="380" t="s">
        <v>182</v>
      </c>
      <c r="AC119" s="380"/>
      <c r="AD119" s="380" t="s">
        <v>183</v>
      </c>
      <c r="AE119" s="380"/>
    </row>
    <row r="120" customFormat="false" ht="12.75" hidden="false" customHeight="false" outlineLevel="0" collapsed="false">
      <c r="A120" s="332"/>
      <c r="C120" s="173"/>
      <c r="D120" s="173"/>
      <c r="E120" s="173"/>
      <c r="F120" s="173"/>
      <c r="G120" s="173"/>
      <c r="H120" s="173"/>
      <c r="I120" s="173"/>
      <c r="J120" s="173"/>
      <c r="K120" s="173"/>
      <c r="L120" s="173"/>
      <c r="M120" s="377"/>
      <c r="N120" s="377"/>
      <c r="O120" s="377"/>
      <c r="P120" s="377"/>
      <c r="Z120" s="380" t="s">
        <v>184</v>
      </c>
      <c r="AA120" s="380"/>
      <c r="AB120" s="381" t="s">
        <v>185</v>
      </c>
      <c r="AC120" s="381"/>
      <c r="AD120" s="380" t="s">
        <v>186</v>
      </c>
      <c r="AE120" s="380"/>
    </row>
    <row r="121" customFormat="false" ht="12.75" hidden="false" customHeight="false" outlineLevel="0" collapsed="false">
      <c r="Z121" s="378" t="s">
        <v>187</v>
      </c>
      <c r="AA121" s="378"/>
      <c r="AB121" s="378"/>
      <c r="AC121" s="378"/>
      <c r="AD121" s="378"/>
      <c r="AE121" s="378"/>
    </row>
    <row r="122" customFormat="false" ht="15" hidden="false" customHeight="true" outlineLevel="0" collapsed="false">
      <c r="Z122" s="382" t="s">
        <v>0</v>
      </c>
      <c r="AA122" s="383" t="s">
        <v>45</v>
      </c>
      <c r="AB122" s="383" t="s">
        <v>46</v>
      </c>
      <c r="AC122" s="383" t="s">
        <v>188</v>
      </c>
      <c r="AD122" s="383" t="s">
        <v>189</v>
      </c>
      <c r="AE122" s="383" t="s">
        <v>190</v>
      </c>
    </row>
    <row r="123" customFormat="false" ht="12.75" hidden="false" customHeight="false" outlineLevel="0" collapsed="false">
      <c r="Z123" s="156" t="str">
        <f aca="false">A9</f>
        <v>Revenue</v>
      </c>
      <c r="AA123" s="227" t="n">
        <f aca="false">K9</f>
        <v>3868.77</v>
      </c>
      <c r="AB123" s="227" t="n">
        <f aca="false">L9</f>
        <v>4265.27</v>
      </c>
      <c r="AC123" s="227" t="n">
        <f aca="false">M9</f>
        <v>4907.32712528325</v>
      </c>
      <c r="AD123" s="227" t="n">
        <f aca="false">N9</f>
        <v>5646.03401766847</v>
      </c>
      <c r="AE123" s="227" t="n">
        <f aca="false">O9</f>
        <v>6495.93950328501</v>
      </c>
    </row>
    <row r="124" customFormat="false" ht="12.75" hidden="false" customHeight="false" outlineLevel="0" collapsed="false">
      <c r="Z124" s="384" t="str">
        <f aca="false">A10</f>
        <v>Growth (YoY)</v>
      </c>
      <c r="AA124" s="385" t="n">
        <f aca="false">K10</f>
        <v>0.22400379656727</v>
      </c>
      <c r="AB124" s="385" t="n">
        <f aca="false">L10</f>
        <v>0.102487353861822</v>
      </c>
      <c r="AC124" s="385" t="n">
        <f aca="false">M10</f>
        <v>0.150531414255898</v>
      </c>
      <c r="AD124" s="385" t="n">
        <f aca="false">N10</f>
        <v>0.150531414255898</v>
      </c>
      <c r="AE124" s="385" t="n">
        <f aca="false">O10</f>
        <v>0.150531414255898</v>
      </c>
    </row>
    <row r="125" customFormat="false" ht="12.75" hidden="false" customHeight="false" outlineLevel="0" collapsed="false">
      <c r="Z125" s="156" t="str">
        <f aca="false">A13</f>
        <v>EBITDA</v>
      </c>
      <c r="AA125" s="227" t="n">
        <f aca="false">K13</f>
        <v>328.25</v>
      </c>
      <c r="AB125" s="227" t="n">
        <f aca="false">L13</f>
        <v>434.93</v>
      </c>
      <c r="AC125" s="227" t="n">
        <f aca="false">M13</f>
        <v>454.352719246523</v>
      </c>
      <c r="AD125" s="227" t="n">
        <f aca="false">N13</f>
        <v>522.747076645715</v>
      </c>
      <c r="AE125" s="227" t="n">
        <f aca="false">O13</f>
        <v>601.43693339133</v>
      </c>
    </row>
    <row r="126" customFormat="false" ht="12.75" hidden="false" customHeight="false" outlineLevel="0" collapsed="false">
      <c r="A126" s="386"/>
      <c r="Z126" s="384" t="str">
        <f aca="false">A14</f>
        <v>Growth (YoY)</v>
      </c>
      <c r="AA126" s="385" t="n">
        <f aca="false">K14</f>
        <v>0.141937728300575</v>
      </c>
      <c r="AB126" s="385" t="n">
        <f aca="false">L14</f>
        <v>0.324996191926886</v>
      </c>
      <c r="AC126" s="385" t="n">
        <f aca="false">M14</f>
        <v>0.0446571155048452</v>
      </c>
      <c r="AD126" s="385" t="n">
        <f aca="false">N14</f>
        <v>0.150531414255898</v>
      </c>
      <c r="AE126" s="385" t="n">
        <f aca="false">O14</f>
        <v>0.150531414255898</v>
      </c>
    </row>
    <row r="127" customFormat="false" ht="12.75" hidden="false" customHeight="false" outlineLevel="0" collapsed="false">
      <c r="A127" s="386"/>
      <c r="Z127" s="387" t="str">
        <f aca="false">A20</f>
        <v>PAT</v>
      </c>
      <c r="AA127" s="227" t="n">
        <f aca="false">K20</f>
        <v>312.39</v>
      </c>
      <c r="AB127" s="227" t="n">
        <f aca="false">L20</f>
        <v>378.8</v>
      </c>
      <c r="AC127" s="227" t="n">
        <f aca="false">M20</f>
        <v>393.937489083279</v>
      </c>
      <c r="AD127" s="227" t="n">
        <f aca="false">N20</f>
        <v>428.195750281815</v>
      </c>
      <c r="AE127" s="227" t="n">
        <f aca="false">O20</f>
        <v>449.251144828294</v>
      </c>
    </row>
    <row r="128" customFormat="false" ht="12.75" hidden="false" customHeight="false" outlineLevel="0" collapsed="false">
      <c r="A128" s="278"/>
      <c r="Z128" s="388" t="str">
        <f aca="false">A21</f>
        <v>Growth (YoY)</v>
      </c>
      <c r="AA128" s="385" t="n">
        <f aca="false">K21</f>
        <v>0.306032860905556</v>
      </c>
      <c r="AB128" s="385" t="n">
        <f aca="false">L21</f>
        <v>0.212586830564359</v>
      </c>
      <c r="AC128" s="385" t="n">
        <f aca="false">M21</f>
        <v>0.0399616924056987</v>
      </c>
      <c r="AD128" s="385" t="n">
        <f aca="false">N21</f>
        <v>0.0869636989316709</v>
      </c>
      <c r="AE128" s="385" t="n">
        <f aca="false">O21</f>
        <v>0.0491723575785639</v>
      </c>
    </row>
    <row r="129" customFormat="false" ht="12.75" hidden="false" customHeight="false" outlineLevel="0" collapsed="false">
      <c r="A129" s="389"/>
      <c r="B129" s="390"/>
      <c r="Z129" s="387" t="str">
        <f aca="false">A22</f>
        <v>EPS</v>
      </c>
      <c r="AA129" s="242" t="n">
        <f aca="false">K22</f>
        <v>42.3292682926829</v>
      </c>
      <c r="AB129" s="242" t="n">
        <f aca="false">L22</f>
        <v>51.3279132791328</v>
      </c>
      <c r="AC129" s="242" t="n">
        <f aca="false">M22</f>
        <v>53.3790635614199</v>
      </c>
      <c r="AD129" s="242" t="n">
        <f aca="false">N22</f>
        <v>58.0211043742297</v>
      </c>
      <c r="AE129" s="242" t="n">
        <f aca="false">O22</f>
        <v>60.8741388656225</v>
      </c>
    </row>
    <row r="130" customFormat="false" ht="12.75" hidden="false" customHeight="false" outlineLevel="0" collapsed="false">
      <c r="A130" s="389"/>
      <c r="B130" s="390"/>
      <c r="Z130" s="384" t="str">
        <f aca="false">A91</f>
        <v>Price/Earnings</v>
      </c>
      <c r="AA130" s="391" t="n">
        <f aca="false">K91</f>
        <v>43.2785652549698</v>
      </c>
      <c r="AB130" s="391" t="n">
        <f aca="false">L91</f>
        <v>25.6799841605069</v>
      </c>
      <c r="AC130" s="391" t="n">
        <f aca="false">M91</f>
        <v>33.6648843217773</v>
      </c>
      <c r="AD130" s="391" t="n">
        <f aca="false">N91</f>
        <v>30.9714890707621</v>
      </c>
      <c r="AE130" s="391" t="n">
        <f aca="false">O91</f>
        <v>29.5199247740787</v>
      </c>
    </row>
    <row r="131" customFormat="false" ht="12.75" hidden="false" customHeight="false" outlineLevel="0" collapsed="false">
      <c r="A131" s="389"/>
      <c r="B131" s="390"/>
      <c r="Z131" s="156" t="str">
        <f aca="false">A92</f>
        <v>Price/Book</v>
      </c>
      <c r="AA131" s="182" t="n">
        <f aca="false">K92</f>
        <v>6.53158398191226</v>
      </c>
      <c r="AB131" s="182" t="n">
        <f aca="false">L92</f>
        <v>3.96780019823546</v>
      </c>
      <c r="AC131" s="182" t="n">
        <f aca="false">M92</f>
        <v>4.7259884579145</v>
      </c>
      <c r="AD131" s="182" t="n">
        <f aca="false">N92</f>
        <v>4.15535266142984</v>
      </c>
      <c r="AE131" s="182" t="n">
        <f aca="false">O92</f>
        <v>3.68813428081007</v>
      </c>
    </row>
    <row r="132" customFormat="false" ht="12.75" hidden="false" customHeight="false" outlineLevel="0" collapsed="false">
      <c r="A132" s="389"/>
      <c r="B132" s="390"/>
      <c r="Z132" s="384" t="str">
        <f aca="false">A80</f>
        <v>ROCE</v>
      </c>
      <c r="AA132" s="392" t="n">
        <f aca="false">K80</f>
        <v>0.219142708208028</v>
      </c>
      <c r="AB132" s="392" t="n">
        <f aca="false">L80</f>
        <v>0.170664521168455</v>
      </c>
      <c r="AC132" s="392" t="n">
        <f aca="false">M80</f>
        <v>0.147725021778804</v>
      </c>
      <c r="AD132" s="392" t="n">
        <f aca="false">N80</f>
        <v>0.145991132086616</v>
      </c>
      <c r="AE132" s="392" t="n">
        <f aca="false">O80</f>
        <v>0.134422532313244</v>
      </c>
    </row>
    <row r="133" customFormat="false" ht="12.75" hidden="false" customHeight="false" outlineLevel="0" collapsed="false">
      <c r="A133" s="389" t="s">
        <v>191</v>
      </c>
      <c r="B133" s="390"/>
      <c r="Z133" s="393" t="str">
        <f aca="false">A79</f>
        <v>ROE</v>
      </c>
      <c r="AA133" s="394" t="n">
        <f aca="false">K79</f>
        <v>0.150919605200226</v>
      </c>
      <c r="AB133" s="394" t="n">
        <f aca="false">L79</f>
        <v>0.154509448815686</v>
      </c>
      <c r="AC133" s="394" t="n">
        <f aca="false">M79</f>
        <v>0.140383326814443</v>
      </c>
      <c r="AD133" s="394" t="n">
        <f aca="false">N79</f>
        <v>0.134167028648055</v>
      </c>
      <c r="AE133" s="394" t="n">
        <f aca="false">O79</f>
        <v>0.124937116508122</v>
      </c>
    </row>
    <row r="134" customFormat="false" ht="12.75" hidden="false" customHeight="false" outlineLevel="0" collapsed="false">
      <c r="A134" s="389"/>
      <c r="B134" s="390"/>
    </row>
    <row r="135" customFormat="false" ht="12.75" hidden="false" customHeight="false" outlineLevel="0" collapsed="false">
      <c r="A135" s="389" t="s">
        <v>192</v>
      </c>
      <c r="B135" s="389" t="s">
        <v>105</v>
      </c>
    </row>
    <row r="136" customFormat="false" ht="12.75" hidden="false" customHeight="false" outlineLevel="0" collapsed="false">
      <c r="A136" s="389" t="s">
        <v>193</v>
      </c>
      <c r="B136" s="390"/>
    </row>
    <row r="137" customFormat="false" ht="12.75" hidden="false" customHeight="false" outlineLevel="0" collapsed="false">
      <c r="A137" s="389" t="s">
        <v>194</v>
      </c>
      <c r="B137" s="389" t="s">
        <v>105</v>
      </c>
    </row>
    <row r="138" customFormat="false" ht="12.75" hidden="false" customHeight="false" outlineLevel="0" collapsed="false">
      <c r="A138" s="389" t="s">
        <v>195</v>
      </c>
      <c r="B138" s="389" t="s">
        <v>105</v>
      </c>
    </row>
    <row r="139" customFormat="false" ht="12.75" hidden="false" customHeight="false" outlineLevel="0" collapsed="false">
      <c r="A139" s="389" t="s">
        <v>196</v>
      </c>
      <c r="B139" s="389" t="s">
        <v>197</v>
      </c>
    </row>
    <row r="140" customFormat="false" ht="12.75" hidden="false" customHeight="false" outlineLevel="0" collapsed="false">
      <c r="A140" s="389" t="s">
        <v>198</v>
      </c>
      <c r="B140" s="389" t="s">
        <v>197</v>
      </c>
    </row>
    <row r="141" customFormat="false" ht="12.75" hidden="false" customHeight="false" outlineLevel="0" collapsed="false">
      <c r="A141" s="390"/>
      <c r="B141" s="390"/>
    </row>
  </sheetData>
  <mergeCells count="12">
    <mergeCell ref="B1:W1"/>
    <mergeCell ref="A2:T2"/>
    <mergeCell ref="U2:W2"/>
    <mergeCell ref="Z117:AE117"/>
    <mergeCell ref="Z118:AE118"/>
    <mergeCell ref="Z119:AA119"/>
    <mergeCell ref="AB119:AC119"/>
    <mergeCell ref="AD119:AE119"/>
    <mergeCell ref="Z120:AA120"/>
    <mergeCell ref="AB120:AC120"/>
    <mergeCell ref="AD120:AE120"/>
    <mergeCell ref="Z121:AE121"/>
  </mergeCells>
  <conditionalFormatting sqref="D21:O21">
    <cfRule type="cellIs" priority="2" operator="greaterThanOrEqual" aboveAverage="0" equalAverage="0" bottom="0" percent="0" rank="0" text="" dxfId="0">
      <formula>C21</formula>
    </cfRule>
    <cfRule type="cellIs" priority="3" operator="lessThan" aboveAverage="0" equalAverage="0" bottom="0" percent="0" rank="0" text="" dxfId="1">
      <formula>C21</formula>
    </cfRule>
    <cfRule type="cellIs" priority="4" operator="greaterThanOrEqual" aboveAverage="0" equalAverage="0" bottom="0" percent="0" rank="0" text="" dxfId="0">
      <formula>C21</formula>
    </cfRule>
    <cfRule type="cellIs" priority="5" operator="lessThan" aboveAverage="0" equalAverage="0" bottom="0" percent="0" rank="0" text="" dxfId="1">
      <formula>C21</formula>
    </cfRule>
  </conditionalFormatting>
  <conditionalFormatting sqref="D14:O14">
    <cfRule type="cellIs" priority="6" operator="greaterThanOrEqual" aboveAverage="0" equalAverage="0" bottom="0" percent="0" rank="0" text="" dxfId="0">
      <formula>C14</formula>
    </cfRule>
    <cfRule type="cellIs" priority="7" operator="lessThan" aboveAverage="0" equalAverage="0" bottom="0" percent="0" rank="0" text="" dxfId="1">
      <formula>C14</formula>
    </cfRule>
    <cfRule type="cellIs" priority="8" operator="greaterThanOrEqual" aboveAverage="0" equalAverage="0" bottom="0" percent="0" rank="0" text="" dxfId="0">
      <formula>C14</formula>
    </cfRule>
    <cfRule type="cellIs" priority="9" operator="lessThan" aboveAverage="0" equalAverage="0" bottom="0" percent="0" rank="0" text="" dxfId="1">
      <formula>C14</formula>
    </cfRule>
  </conditionalFormatting>
  <conditionalFormatting sqref="D12:F12 H12:O12">
    <cfRule type="cellIs" priority="10" operator="greaterThanOrEqual" aboveAverage="0" equalAverage="0" bottom="0" percent="0" rank="0" text="" dxfId="0">
      <formula>C12</formula>
    </cfRule>
    <cfRule type="cellIs" priority="11" operator="lessThan" aboveAverage="0" equalAverage="0" bottom="0" percent="0" rank="0" text="" dxfId="1">
      <formula>C12</formula>
    </cfRule>
    <cfRule type="cellIs" priority="12" operator="greaterThanOrEqual" aboveAverage="0" equalAverage="0" bottom="0" percent="0" rank="0" text="" dxfId="0">
      <formula>C12</formula>
    </cfRule>
    <cfRule type="cellIs" priority="13" operator="lessThan" aboveAverage="0" equalAverage="0" bottom="0" percent="0" rank="0" text="" dxfId="1">
      <formula>C12</formula>
    </cfRule>
  </conditionalFormatting>
  <conditionalFormatting sqref="D65:L65">
    <cfRule type="cellIs" priority="14" operator="greaterThanOrEqual" aboveAverage="0" equalAverage="0" bottom="0" percent="0" rank="0" text="" dxfId="1">
      <formula>C65</formula>
    </cfRule>
    <cfRule type="cellIs" priority="15" operator="lessThan" aboveAverage="0" equalAverage="0" bottom="0" percent="0" rank="0" text="" dxfId="0">
      <formula>C65</formula>
    </cfRule>
  </conditionalFormatting>
  <conditionalFormatting sqref="D64:L64">
    <cfRule type="cellIs" priority="16" operator="greaterThanOrEqual" aboveAverage="0" equalAverage="0" bottom="0" percent="0" rank="0" text="" dxfId="0">
      <formula>C64</formula>
    </cfRule>
    <cfRule type="cellIs" priority="17" operator="lessThan" aboveAverage="0" equalAverage="0" bottom="0" percent="0" rank="0" text="" dxfId="1">
      <formula>C64</formula>
    </cfRule>
    <cfRule type="cellIs" priority="18" operator="greaterThanOrEqual" aboveAverage="0" equalAverage="0" bottom="0" percent="0" rank="0" text="" dxfId="0">
      <formula>C64</formula>
    </cfRule>
    <cfRule type="cellIs" priority="19" operator="lessThan" aboveAverage="0" equalAverage="0" bottom="0" percent="0" rank="0" text="" dxfId="1">
      <formula>C64</formula>
    </cfRule>
  </conditionalFormatting>
  <conditionalFormatting sqref="D22:L22">
    <cfRule type="cellIs" priority="20" operator="greaterThanOrEqual" aboveAverage="0" equalAverage="0" bottom="0" percent="0" rank="0" text="" dxfId="0">
      <formula>C22</formula>
    </cfRule>
    <cfRule type="cellIs" priority="21" operator="lessThan" aboveAverage="0" equalAverage="0" bottom="0" percent="0" rank="0" text="" dxfId="1">
      <formula>C22</formula>
    </cfRule>
    <cfRule type="cellIs" priority="22" operator="greaterThanOrEqual" aboveAverage="0" equalAverage="0" bottom="0" percent="0" rank="0" text="" dxfId="0">
      <formula>C22</formula>
    </cfRule>
    <cfRule type="cellIs" priority="23" operator="lessThan" aboveAverage="0" equalAverage="0" bottom="0" percent="0" rank="0" text="" dxfId="1">
      <formula>C22</formula>
    </cfRule>
  </conditionalFormatting>
  <conditionalFormatting sqref="D20:L20">
    <cfRule type="cellIs" priority="24" operator="greaterThanOrEqual" aboveAverage="0" equalAverage="0" bottom="0" percent="0" rank="0" text="" dxfId="0">
      <formula>C20</formula>
    </cfRule>
    <cfRule type="cellIs" priority="25" operator="lessThan" aboveAverage="0" equalAverage="0" bottom="0" percent="0" rank="0" text="" dxfId="1">
      <formula>C20</formula>
    </cfRule>
    <cfRule type="cellIs" priority="26" operator="greaterThanOrEqual" aboveAverage="0" equalAverage="0" bottom="0" percent="0" rank="0" text="" dxfId="0">
      <formula>C20</formula>
    </cfRule>
    <cfRule type="cellIs" priority="27" operator="lessThan" aboveAverage="0" equalAverage="0" bottom="0" percent="0" rank="0" text="" dxfId="1">
      <formula>C20</formula>
    </cfRule>
  </conditionalFormatting>
  <conditionalFormatting sqref="D11:L11 D13:L13">
    <cfRule type="cellIs" priority="28" operator="greaterThanOrEqual" aboveAverage="0" equalAverage="0" bottom="0" percent="0" rank="0" text="" dxfId="0">
      <formula>C11</formula>
    </cfRule>
    <cfRule type="cellIs" priority="29" operator="lessThan" aboveAverage="0" equalAverage="0" bottom="0" percent="0" rank="0" text="" dxfId="1">
      <formula>C11</formula>
    </cfRule>
    <cfRule type="cellIs" priority="30" operator="greaterThanOrEqual" aboveAverage="0" equalAverage="0" bottom="0" percent="0" rank="0" text="" dxfId="0">
      <formula>C11</formula>
    </cfRule>
    <cfRule type="cellIs" priority="31" operator="lessThan" aboveAverage="0" equalAverage="0" bottom="0" percent="0" rank="0" text="" dxfId="1">
      <formula>C11</formula>
    </cfRule>
  </conditionalFormatting>
  <conditionalFormatting sqref="D9:D10 E10:O10">
    <cfRule type="cellIs" priority="32" operator="greaterThanOrEqual" aboveAverage="0" equalAverage="0" bottom="0" percent="0" rank="0" text="" dxfId="0">
      <formula>C9</formula>
    </cfRule>
    <cfRule type="cellIs" priority="33" operator="lessThan" aboveAverage="0" equalAverage="0" bottom="0" percent="0" rank="0" text="" dxfId="1">
      <formula>C9</formula>
    </cfRule>
    <cfRule type="cellIs" priority="34" operator="greaterThanOrEqual" aboveAverage="0" equalAverage="0" bottom="0" percent="0" rank="0" text="" dxfId="0">
      <formula>C9</formula>
    </cfRule>
    <cfRule type="cellIs" priority="35" operator="lessThan" aboveAverage="0" equalAverage="0" bottom="0" percent="0" rank="0" text="" dxfId="1">
      <formula>C9</formula>
    </cfRule>
  </conditionalFormatting>
  <conditionalFormatting sqref="E9:L9">
    <cfRule type="cellIs" priority="36" operator="greaterThanOrEqual" aboveAverage="0" equalAverage="0" bottom="0" percent="0" rank="0" text="" dxfId="0">
      <formula>D9</formula>
    </cfRule>
    <cfRule type="cellIs" priority="37" operator="lessThan" aboveAverage="0" equalAverage="0" bottom="0" percent="0" rank="0" text="" dxfId="1">
      <formula>D9</formula>
    </cfRule>
    <cfRule type="cellIs" priority="38" operator="greaterThanOrEqual" aboveAverage="0" equalAverage="0" bottom="0" percent="0" rank="0" text="" dxfId="0">
      <formula>D9</formula>
    </cfRule>
    <cfRule type="cellIs" priority="39" operator="lessThan" aboveAverage="0" equalAverage="0" bottom="0" percent="0" rank="0" text="" dxfId="1">
      <formula>D9</formula>
    </cfRule>
  </conditionalFormatting>
  <conditionalFormatting sqref="E9">
    <cfRule type="cellIs" priority="40" operator="greaterThanOrEqual" aboveAverage="0" equalAverage="0" bottom="0" percent="0" rank="0" text="" dxfId="0">
      <formula>D9</formula>
    </cfRule>
    <cfRule type="cellIs" priority="41" operator="lessThan" aboveAverage="0" equalAverage="0" bottom="0" percent="0" rank="0" text="" dxfId="1">
      <formula>D9</formula>
    </cfRule>
    <cfRule type="cellIs" priority="42" operator="greaterThanOrEqual" aboveAverage="0" equalAverage="0" bottom="0" percent="0" rank="0" text="" dxfId="0">
      <formula>D9</formula>
    </cfRule>
    <cfRule type="cellIs" priority="43" operator="lessThan" aboveAverage="0" equalAverage="0" bottom="0" percent="0" rank="0" text="" dxfId="1">
      <formula>D9</formula>
    </cfRule>
  </conditionalFormatting>
  <conditionalFormatting sqref="D76:L76">
    <cfRule type="cellIs" priority="44" operator="greaterThanOrEqual" aboveAverage="0" equalAverage="0" bottom="0" percent="0" rank="0" text="" dxfId="1">
      <formula>C76</formula>
    </cfRule>
    <cfRule type="cellIs" priority="45" operator="lessThan" aboveAverage="0" equalAverage="0" bottom="0" percent="0" rank="0" text="" dxfId="0">
      <formula>C76</formula>
    </cfRule>
  </conditionalFormatting>
  <conditionalFormatting sqref="D68:L71">
    <cfRule type="cellIs" priority="46" operator="greaterThanOrEqual" aboveAverage="0" equalAverage="0" bottom="0" percent="0" rank="0" text="" dxfId="1">
      <formula>C68</formula>
    </cfRule>
    <cfRule type="cellIs" priority="47" operator="lessThan" aboveAverage="0" equalAverage="0" bottom="0" percent="0" rank="0" text="" dxfId="0">
      <formula>C68</formula>
    </cfRule>
  </conditionalFormatting>
  <conditionalFormatting sqref="D73:L74">
    <cfRule type="cellIs" priority="48" operator="greaterThanOrEqual" aboveAverage="0" equalAverage="0" bottom="0" percent="0" rank="0" text="" dxfId="0">
      <formula>C73</formula>
    </cfRule>
    <cfRule type="cellIs" priority="49" operator="lessThan" aboveAverage="0" equalAverage="0" bottom="0" percent="0" rank="0" text="" dxfId="1">
      <formula>C73</formula>
    </cfRule>
  </conditionalFormatting>
  <conditionalFormatting sqref="D72:L74">
    <cfRule type="cellIs" priority="50" operator="greaterThanOrEqual" aboveAverage="0" equalAverage="0" bottom="0" percent="0" rank="0" text="" dxfId="0">
      <formula>C72</formula>
    </cfRule>
    <cfRule type="cellIs" priority="51" operator="lessThan" aboveAverage="0" equalAverage="0" bottom="0" percent="0" rank="0" text="" dxfId="1">
      <formula>C72</formula>
    </cfRule>
  </conditionalFormatting>
  <conditionalFormatting sqref="D72:L72">
    <cfRule type="cellIs" priority="52" operator="greaterThanOrEqual" aboveAverage="0" equalAverage="0" bottom="0" percent="0" rank="0" text="" dxfId="0">
      <formula>C72</formula>
    </cfRule>
    <cfRule type="cellIs" priority="53" operator="lessThan" aboveAverage="0" equalAverage="0" bottom="0" percent="0" rank="0" text="" dxfId="1">
      <formula>C72</formula>
    </cfRule>
  </conditionalFormatting>
  <conditionalFormatting sqref="E58:L61">
    <cfRule type="cellIs" priority="54" operator="greaterThanOrEqual" aboveAverage="0" equalAverage="0" bottom="0" percent="0" rank="0" text="" dxfId="0">
      <formula>D58</formula>
    </cfRule>
    <cfRule type="cellIs" priority="55" operator="lessThan" aboveAverage="0" equalAverage="0" bottom="0" percent="0" rank="0" text="" dxfId="1">
      <formula>D58</formula>
    </cfRule>
    <cfRule type="cellIs" priority="56" operator="greaterThanOrEqual" aboveAverage="0" equalAverage="0" bottom="0" percent="0" rank="0" text="" dxfId="0">
      <formula>D58</formula>
    </cfRule>
    <cfRule type="cellIs" priority="57" operator="lessThan" aboveAverage="0" equalAverage="0" bottom="0" percent="0" rank="0" text="" dxfId="1">
      <formula>D58</formula>
    </cfRule>
  </conditionalFormatting>
  <conditionalFormatting sqref="E35:L38">
    <cfRule type="cellIs" priority="58" operator="greaterThanOrEqual" aboveAverage="0" equalAverage="0" bottom="0" percent="0" rank="0" text="" dxfId="0">
      <formula>D35</formula>
    </cfRule>
    <cfRule type="cellIs" priority="59" operator="lessThan" aboveAverage="0" equalAverage="0" bottom="0" percent="0" rank="0" text="" dxfId="1">
      <formula>D35</formula>
    </cfRule>
    <cfRule type="cellIs" priority="60" operator="greaterThanOrEqual" aboveAverage="0" equalAverage="0" bottom="0" percent="0" rank="0" text="" dxfId="0">
      <formula>D35</formula>
    </cfRule>
    <cfRule type="cellIs" priority="61" operator="lessThan" aboveAverage="0" equalAverage="0" bottom="0" percent="0" rank="0" text="" dxfId="1">
      <formula>D35</formula>
    </cfRule>
  </conditionalFormatting>
  <conditionalFormatting sqref="E26:L26">
    <cfRule type="cellIs" priority="62" operator="greaterThanOrEqual" aboveAverage="0" equalAverage="0" bottom="0" percent="0" rank="0" text="" dxfId="0">
      <formula>D26</formula>
    </cfRule>
    <cfRule type="cellIs" priority="63" operator="lessThan" aboveAverage="0" equalAverage="0" bottom="0" percent="0" rank="0" text="" dxfId="1">
      <formula>D26</formula>
    </cfRule>
  </conditionalFormatting>
  <conditionalFormatting sqref="D26:L32">
    <cfRule type="cellIs" priority="64" operator="greaterThanOrEqual" aboveAverage="0" equalAverage="0" bottom="0" percent="0" rank="0" text="" dxfId="0">
      <formula>C26</formula>
    </cfRule>
    <cfRule type="cellIs" priority="65" operator="lessThan" aboveAverage="0" equalAverage="0" bottom="0" percent="0" rank="0" text="" dxfId="1">
      <formula>C26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1:X1"/>
  <sheetViews>
    <sheetView showFormulas="false" showGridLines="true" showRowColHeaders="true" showZeros="true" rightToLeft="false" tabSelected="false" showOutlineSymbols="true" defaultGridColor="true" view="normal" topLeftCell="A1" colorId="64" zoomScale="64" zoomScaleNormal="64" zoomScalePageLayoutView="100" workbookViewId="0">
      <selection pane="topLeft" activeCell="C8" activeCellId="0" sqref="C8"/>
    </sheetView>
  </sheetViews>
  <sheetFormatPr defaultColWidth="10.859375" defaultRowHeight="15" zeroHeight="false" outlineLevelRow="0" outlineLevelCol="0"/>
  <sheetData>
    <row r="1" customFormat="false" ht="34.5" hidden="false" customHeight="true" outlineLevel="0" collapsed="false">
      <c r="C1" s="395" t="str">
        <f aca="false">Financial!A2</f>
        <v>GRAVITA INDIA LTD           Mcap 13,262 Cr        CMP 1,797.0</v>
      </c>
      <c r="D1" s="395"/>
      <c r="E1" s="395"/>
      <c r="F1" s="395"/>
      <c r="G1" s="395"/>
      <c r="H1" s="395"/>
      <c r="I1" s="395"/>
      <c r="J1" s="395"/>
      <c r="K1" s="395"/>
      <c r="L1" s="395"/>
      <c r="M1" s="395"/>
      <c r="N1" s="395"/>
      <c r="O1" s="395"/>
      <c r="P1" s="395"/>
      <c r="Q1" s="395"/>
      <c r="R1" s="395"/>
      <c r="S1" s="395"/>
      <c r="T1" s="395"/>
      <c r="U1" s="395"/>
      <c r="V1" s="395"/>
      <c r="W1" s="395"/>
      <c r="X1" s="395"/>
    </row>
  </sheetData>
  <mergeCells count="1">
    <mergeCell ref="C1:X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9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C8" activeCellId="0" sqref="C8"/>
    </sheetView>
  </sheetViews>
  <sheetFormatPr defaultColWidth="8.859375" defaultRowHeight="12.75" zeroHeight="false" outlineLevelRow="0" outlineLevelCol="0"/>
  <cols>
    <col collapsed="false" customWidth="true" hidden="false" outlineLevel="0" max="1" min="1" style="156" width="24.14"/>
    <col collapsed="false" customWidth="true" hidden="false" outlineLevel="0" max="3" min="2" style="156" width="7.16"/>
    <col collapsed="false" customWidth="true" hidden="false" outlineLevel="0" max="10" min="4" style="156" width="9"/>
    <col collapsed="false" customWidth="true" hidden="false" outlineLevel="0" max="17" min="11" style="156" width="10.14"/>
    <col collapsed="false" customWidth="true" hidden="false" outlineLevel="0" max="18" min="18" style="156" width="9.14"/>
    <col collapsed="false" customWidth="true" hidden="false" outlineLevel="0" max="19" min="19" style="156" width="7"/>
    <col collapsed="false" customWidth="true" hidden="false" outlineLevel="0" max="20" min="20" style="156" width="6.85"/>
    <col collapsed="false" customWidth="true" hidden="false" outlineLevel="0" max="21" min="21" style="156" width="7.71"/>
    <col collapsed="false" customWidth="true" hidden="false" outlineLevel="0" max="24" min="22" style="156" width="7"/>
    <col collapsed="false" customWidth="false" hidden="false" outlineLevel="0" max="16384" min="25" style="156" width="8.86"/>
  </cols>
  <sheetData>
    <row r="1" customFormat="false" ht="26.25" hidden="false" customHeight="true" outlineLevel="0" collapsed="false">
      <c r="A1" s="161"/>
      <c r="B1" s="162"/>
      <c r="C1" s="162"/>
      <c r="D1" s="161" t="n">
        <f aca="false">'Data Sheet'!B16</f>
        <v>42825</v>
      </c>
      <c r="E1" s="162" t="n">
        <f aca="false">'Data Sheet'!C16</f>
        <v>43190</v>
      </c>
      <c r="F1" s="162" t="n">
        <f aca="false">'Data Sheet'!D16</f>
        <v>43555</v>
      </c>
      <c r="G1" s="162" t="n">
        <f aca="false">'Data Sheet'!E16</f>
        <v>43921</v>
      </c>
      <c r="H1" s="162" t="n">
        <f aca="false">'Data Sheet'!F16</f>
        <v>44286</v>
      </c>
      <c r="I1" s="162" t="n">
        <f aca="false">'Data Sheet'!G16</f>
        <v>44651</v>
      </c>
      <c r="J1" s="162" t="n">
        <f aca="false">'Data Sheet'!H16</f>
        <v>45016</v>
      </c>
      <c r="K1" s="162" t="n">
        <f aca="false">'Data Sheet'!I16</f>
        <v>45382</v>
      </c>
      <c r="L1" s="162" t="n">
        <f aca="false">'Data Sheet'!J16</f>
        <v>45747</v>
      </c>
      <c r="M1" s="163" t="n">
        <f aca="false">'Data Sheet'!K16</f>
        <v>46112</v>
      </c>
      <c r="N1" s="164" t="n">
        <f aca="false">M1+365</f>
        <v>46477</v>
      </c>
      <c r="O1" s="165" t="n">
        <f aca="false">N1+365</f>
        <v>46842</v>
      </c>
      <c r="P1" s="166" t="n">
        <f aca="false">O1+365</f>
        <v>47207</v>
      </c>
      <c r="Q1" s="167" t="s">
        <v>98</v>
      </c>
      <c r="R1" s="168" t="s">
        <v>99</v>
      </c>
      <c r="S1" s="169" t="s">
        <v>100</v>
      </c>
      <c r="T1" s="169" t="s">
        <v>101</v>
      </c>
      <c r="U1" s="169" t="s">
        <v>102</v>
      </c>
      <c r="V1" s="168" t="n">
        <f aca="false">N1</f>
        <v>46477</v>
      </c>
      <c r="W1" s="169" t="n">
        <f aca="false">O1</f>
        <v>46842</v>
      </c>
      <c r="X1" s="170" t="n">
        <f aca="false">P1</f>
        <v>47207</v>
      </c>
    </row>
    <row r="2" customFormat="false" ht="12.75" hidden="false" customHeight="false" outlineLevel="0" collapsed="false">
      <c r="A2" s="206" t="s">
        <v>107</v>
      </c>
      <c r="B2" s="207" t="s">
        <v>105</v>
      </c>
      <c r="C2" s="207"/>
      <c r="D2" s="208" t="n">
        <f aca="false">'Data Sheet'!B17</f>
        <v>654.84</v>
      </c>
      <c r="E2" s="209" t="n">
        <f aca="false">'Data Sheet'!C17</f>
        <v>1017.4</v>
      </c>
      <c r="F2" s="209" t="n">
        <f aca="false">'Data Sheet'!D17</f>
        <v>1241.73</v>
      </c>
      <c r="G2" s="209" t="n">
        <f aca="false">'Data Sheet'!E17</f>
        <v>1347.8</v>
      </c>
      <c r="H2" s="209" t="n">
        <f aca="false">'Data Sheet'!F17</f>
        <v>1409.75</v>
      </c>
      <c r="I2" s="209" t="n">
        <f aca="false">'Data Sheet'!G17</f>
        <v>2215.87</v>
      </c>
      <c r="J2" s="209" t="n">
        <f aca="false">'Data Sheet'!H17</f>
        <v>2800.6</v>
      </c>
      <c r="K2" s="209" t="n">
        <f aca="false">'Data Sheet'!I17</f>
        <v>3160.75</v>
      </c>
      <c r="L2" s="209" t="n">
        <f aca="false">'Data Sheet'!J17</f>
        <v>3868.77</v>
      </c>
      <c r="M2" s="209" t="n">
        <f aca="false">'Data Sheet'!K17</f>
        <v>4265.27</v>
      </c>
      <c r="N2" s="210" t="n">
        <f aca="false">M2*(1+$V2)</f>
        <v>4907.32712528325</v>
      </c>
      <c r="O2" s="211" t="n">
        <f aca="false">N2*(1+$W2)</f>
        <v>5646.03401766847</v>
      </c>
      <c r="P2" s="212" t="n">
        <f aca="false">O2*(1+$X2)</f>
        <v>6495.93950328501</v>
      </c>
      <c r="Q2" s="213" t="n">
        <f aca="false">SUM(J53:M53)</f>
        <v>4265.27</v>
      </c>
      <c r="R2" s="214" t="n">
        <f aca="false">((P2/M2)^(1/3))-1</f>
        <v>0.150531414255898</v>
      </c>
      <c r="S2" s="215" t="n">
        <f aca="false">((M2/J2)^(1/3))-1</f>
        <v>0.150531414255898</v>
      </c>
      <c r="T2" s="215" t="n">
        <f aca="false">((M2/H2)^(1/5))-1</f>
        <v>0.247845694708874</v>
      </c>
      <c r="U2" s="215" t="n">
        <f aca="false">IF(D2&gt;0,((M2/D2)^(1/9))-1,"-")</f>
        <v>0.231468992001523</v>
      </c>
      <c r="V2" s="216" t="n">
        <f aca="false">S2</f>
        <v>0.150531414255898</v>
      </c>
      <c r="W2" s="217" t="n">
        <f aca="false">V2</f>
        <v>0.150531414255898</v>
      </c>
      <c r="X2" s="218" t="n">
        <f aca="false">W2</f>
        <v>0.150531414255898</v>
      </c>
    </row>
    <row r="3" customFormat="false" ht="12.75" hidden="false" customHeight="false" outlineLevel="0" collapsed="false">
      <c r="A3" s="226" t="s">
        <v>199</v>
      </c>
      <c r="B3" s="156" t="s">
        <v>105</v>
      </c>
      <c r="D3" s="172" t="n">
        <f aca="false">'Data Sheet'!B28+'Data Sheet'!B27</f>
        <v>54.11</v>
      </c>
      <c r="E3" s="173" t="n">
        <f aca="false">'Data Sheet'!C28+'Data Sheet'!C27</f>
        <v>84.51</v>
      </c>
      <c r="F3" s="173" t="n">
        <f aca="false">'Data Sheet'!D28+'Data Sheet'!D27</f>
        <v>55.75</v>
      </c>
      <c r="G3" s="173" t="n">
        <f aca="false">'Data Sheet'!E28+'Data Sheet'!E27</f>
        <v>78.36</v>
      </c>
      <c r="H3" s="173" t="n">
        <f aca="false">'Data Sheet'!F28+'Data Sheet'!F27</f>
        <v>101.87</v>
      </c>
      <c r="I3" s="173" t="n">
        <f aca="false">'Data Sheet'!G28+'Data Sheet'!G27</f>
        <v>202.63</v>
      </c>
      <c r="J3" s="173" t="n">
        <f aca="false">'Data Sheet'!H28+'Data Sheet'!H27</f>
        <v>271.09</v>
      </c>
      <c r="K3" s="173" t="n">
        <f aca="false">'Data Sheet'!I28+'Data Sheet'!I27</f>
        <v>325.91</v>
      </c>
      <c r="L3" s="173" t="n">
        <f aca="false">'Data Sheet'!J28+'Data Sheet'!J27</f>
        <v>409.89</v>
      </c>
      <c r="M3" s="174" t="n">
        <f aca="false">'Data Sheet'!K28+'Data Sheet'!K27</f>
        <v>473.03</v>
      </c>
      <c r="N3" s="175" t="n">
        <f aca="false">Financial!M18+Financial!M17</f>
        <v>483.792815812243</v>
      </c>
      <c r="O3" s="176" t="n">
        <f aca="false">Financial!N18+Financial!N17</f>
        <v>526.220572086365</v>
      </c>
      <c r="P3" s="177" t="n">
        <f aca="false">Financial!O18+Financial!O17</f>
        <v>553.620084087028</v>
      </c>
      <c r="Q3" s="225" t="n">
        <f aca="false">SUM('Data Sheet'!H47:K47)+SUM('Data Sheet'!H46:K46)</f>
        <v>473.03</v>
      </c>
      <c r="R3" s="223"/>
      <c r="S3" s="224"/>
      <c r="T3" s="224"/>
      <c r="V3" s="171"/>
      <c r="X3" s="180"/>
    </row>
    <row r="4" customFormat="false" ht="12.75" hidden="false" customHeight="false" outlineLevel="0" collapsed="false">
      <c r="A4" s="226" t="s">
        <v>131</v>
      </c>
      <c r="D4" s="172" t="n">
        <f aca="false">Financial!C43</f>
        <v>315.77</v>
      </c>
      <c r="E4" s="173" t="n">
        <f aca="false">Financial!D43</f>
        <v>422.2</v>
      </c>
      <c r="F4" s="173" t="n">
        <f aca="false">Financial!E43</f>
        <v>449.6</v>
      </c>
      <c r="G4" s="173" t="n">
        <f aca="false">Financial!F43</f>
        <v>504.48</v>
      </c>
      <c r="H4" s="173" t="n">
        <f aca="false">Financial!G43</f>
        <v>530.02</v>
      </c>
      <c r="I4" s="173" t="n">
        <f aca="false">Financial!H43</f>
        <v>778.37</v>
      </c>
      <c r="J4" s="173" t="n">
        <f aca="false">Financial!I43</f>
        <v>936.65</v>
      </c>
      <c r="K4" s="173" t="n">
        <f aca="false">Financial!J43</f>
        <v>1384.99</v>
      </c>
      <c r="L4" s="173" t="n">
        <f aca="false">Financial!K43</f>
        <v>2355.86</v>
      </c>
      <c r="M4" s="174" t="n">
        <f aca="false">Financial!L43</f>
        <v>3187.53</v>
      </c>
      <c r="N4" s="188" t="n">
        <f aca="false">Financial!M43</f>
        <v>3362.38023168235</v>
      </c>
      <c r="O4" s="189" t="n">
        <f aca="false">Financial!N43</f>
        <v>3846.55862049617</v>
      </c>
      <c r="P4" s="190" t="n">
        <f aca="false">Financial!O43</f>
        <v>4390.45454329295</v>
      </c>
      <c r="Q4" s="253"/>
      <c r="R4" s="222"/>
      <c r="V4" s="171"/>
      <c r="X4" s="180"/>
    </row>
    <row r="5" customFormat="false" ht="13.5" hidden="false" customHeight="true" outlineLevel="0" collapsed="false">
      <c r="A5" s="171" t="s">
        <v>200</v>
      </c>
      <c r="V5" s="171"/>
      <c r="X5" s="180"/>
    </row>
    <row r="6" customFormat="false" ht="12.75" hidden="false" customHeight="false" outlineLevel="0" collapsed="false">
      <c r="A6" s="206" t="s">
        <v>107</v>
      </c>
      <c r="D6" s="224" t="n">
        <f aca="false">D2/D20-1</f>
        <v>-0.991995501717415</v>
      </c>
      <c r="E6" s="224" t="n">
        <f aca="false">E2/E20-1</f>
        <v>-0.989250810890765</v>
      </c>
      <c r="F6" s="224" t="n">
        <f aca="false">F2/F20-1</f>
        <v>-0.988570863170296</v>
      </c>
      <c r="G6" s="224" t="n">
        <f aca="false">G2/G20-1</f>
        <v>-0.988574674058627</v>
      </c>
      <c r="H6" s="224" t="n">
        <f aca="false">H2/H20-1</f>
        <v>-0.988548300623863</v>
      </c>
      <c r="I6" s="224" t="n">
        <f aca="false">I2/I20-1</f>
        <v>-0.984870786478496</v>
      </c>
      <c r="J6" s="224" t="n">
        <f aca="false">J2/J20-1</f>
        <v>-0.982155986976661</v>
      </c>
      <c r="K6" s="224" t="n">
        <f aca="false">K2/K20-1</f>
        <v>-0.980747912314149</v>
      </c>
      <c r="L6" s="224" t="n">
        <f aca="false">L2/L20-1</f>
        <v>-0.979824306142245</v>
      </c>
      <c r="M6" s="224" t="n">
        <f aca="false">M2/M20-1</f>
        <v>-0.981081753586034</v>
      </c>
      <c r="N6" s="224" t="e">
        <f aca="false">N2/N20-1</f>
        <v>#DIV/0!</v>
      </c>
      <c r="O6" s="224" t="e">
        <f aca="false">O2/O20-1</f>
        <v>#DIV/0!</v>
      </c>
      <c r="P6" s="224" t="e">
        <f aca="false">P2/P20-1</f>
        <v>#DIV/0!</v>
      </c>
    </row>
    <row r="7" customFormat="false" ht="12.75" hidden="false" customHeight="false" outlineLevel="0" collapsed="false">
      <c r="A7" s="226" t="s">
        <v>199</v>
      </c>
      <c r="D7" s="224" t="n">
        <f aca="false">D3/D32-1</f>
        <v>-0.997869936621659</v>
      </c>
      <c r="E7" s="224" t="n">
        <f aca="false">E3/E32-1</f>
        <v>-0.996725433973962</v>
      </c>
      <c r="F7" s="224" t="n">
        <f aca="false">F3/F32-1</f>
        <v>-0.998249057788945</v>
      </c>
      <c r="G7" s="224" t="n">
        <f aca="false">G3/G32-1</f>
        <v>-0.997729551183612</v>
      </c>
      <c r="H7" s="224" t="n">
        <f aca="false">H3/H32-1</f>
        <v>-0.997011908952247</v>
      </c>
      <c r="I7" s="224" t="n">
        <f aca="false">I3/I32-1</f>
        <v>-0.995124750378943</v>
      </c>
      <c r="J7" s="224" t="n">
        <f aca="false">J3/J32-1</f>
        <v>-0.993583364893013</v>
      </c>
      <c r="K7" s="224" t="n">
        <f aca="false">K3/K32-1</f>
        <v>-0.992552330895795</v>
      </c>
      <c r="L7" s="224" t="n">
        <f aca="false">L3/L32-1</f>
        <v>-0.992069766092054</v>
      </c>
      <c r="M7" s="224" t="n">
        <f aca="false">M3/M32-1</f>
        <v>-0.991687665840758</v>
      </c>
    </row>
    <row r="8" customFormat="false" ht="12.75" hidden="false" customHeight="false" outlineLevel="0" collapsed="false">
      <c r="A8" s="226" t="s">
        <v>131</v>
      </c>
    </row>
    <row r="10" customFormat="false" ht="13.5" hidden="false" customHeight="true" outlineLevel="0" collapsed="false">
      <c r="A10" s="156" t="s">
        <v>201</v>
      </c>
      <c r="D10" s="396" t="n">
        <f aca="false">D1</f>
        <v>42825</v>
      </c>
      <c r="E10" s="396" t="n">
        <f aca="false">E1</f>
        <v>43190</v>
      </c>
      <c r="F10" s="396" t="n">
        <f aca="false">F1</f>
        <v>43555</v>
      </c>
      <c r="G10" s="396" t="n">
        <f aca="false">G1</f>
        <v>43921</v>
      </c>
      <c r="H10" s="396" t="n">
        <f aca="false">H1</f>
        <v>44286</v>
      </c>
      <c r="I10" s="396" t="n">
        <f aca="false">I1</f>
        <v>44651</v>
      </c>
      <c r="J10" s="396" t="n">
        <f aca="false">J1</f>
        <v>45016</v>
      </c>
      <c r="K10" s="396" t="n">
        <f aca="false">K1</f>
        <v>45382</v>
      </c>
      <c r="L10" s="396" t="n">
        <f aca="false">L1</f>
        <v>45747</v>
      </c>
      <c r="M10" s="396" t="n">
        <f aca="false">M1</f>
        <v>46112</v>
      </c>
      <c r="N10" s="396" t="n">
        <f aca="false">N1</f>
        <v>46477</v>
      </c>
      <c r="O10" s="396" t="n">
        <f aca="false">O1</f>
        <v>46842</v>
      </c>
      <c r="P10" s="396" t="n">
        <f aca="false">P1</f>
        <v>47207</v>
      </c>
    </row>
    <row r="11" customFormat="false" ht="13.5" hidden="false" customHeight="true" outlineLevel="0" collapsed="false">
      <c r="A11" s="397" t="s">
        <v>202</v>
      </c>
      <c r="B11" s="398" t="n">
        <v>21062</v>
      </c>
      <c r="C11" s="398" t="n">
        <v>27146</v>
      </c>
      <c r="D11" s="398" t="n">
        <v>35112</v>
      </c>
      <c r="E11" s="398" t="n">
        <v>38566</v>
      </c>
      <c r="F11" s="398" t="n">
        <v>44163</v>
      </c>
      <c r="G11" s="398" t="n">
        <v>47505</v>
      </c>
      <c r="H11" s="398" t="n">
        <v>48418</v>
      </c>
      <c r="I11" s="398" t="n">
        <v>57938</v>
      </c>
      <c r="J11" s="398" t="n">
        <v>61095</v>
      </c>
      <c r="K11" s="398" t="n">
        <v>65634</v>
      </c>
      <c r="L11" s="398" t="n">
        <v>75126</v>
      </c>
      <c r="M11" s="398" t="n">
        <v>86127</v>
      </c>
      <c r="N11" s="210" t="n">
        <f aca="false">M11*(1+$V11)</f>
        <v>96571.8468479516</v>
      </c>
      <c r="O11" s="211" t="n">
        <f aca="false">N11*(1+$W11)</f>
        <v>108283.367627158</v>
      </c>
      <c r="P11" s="212" t="n">
        <f aca="false">O11*(1+$X11)</f>
        <v>121415.175202553</v>
      </c>
      <c r="R11" s="214" t="n">
        <f aca="false">((P11/M11)^(1/3))-1</f>
        <v>0.121272618899434</v>
      </c>
      <c r="S11" s="215" t="n">
        <f aca="false">((M11/J11)^(1/3))-1</f>
        <v>0.121272618899434</v>
      </c>
      <c r="T11" s="215" t="n">
        <f aca="false">((M11/H11)^(1/5))-1</f>
        <v>0.122086906801074</v>
      </c>
      <c r="U11" s="215" t="n">
        <f aca="false">IF(D11&gt;0,((M11/D11)^(1/9))-1,"-")</f>
        <v>0.104836961177195</v>
      </c>
      <c r="V11" s="216" t="n">
        <f aca="false">S11</f>
        <v>0.121272618899434</v>
      </c>
      <c r="W11" s="217" t="n">
        <f aca="false">V11</f>
        <v>0.121272618899434</v>
      </c>
      <c r="X11" s="218" t="n">
        <f aca="false">W11</f>
        <v>0.121272618899434</v>
      </c>
    </row>
    <row r="12" customFormat="false" ht="13.5" hidden="false" customHeight="true" outlineLevel="0" collapsed="false">
      <c r="A12" s="397" t="s">
        <v>203</v>
      </c>
      <c r="B12" s="398" t="n">
        <v>6205</v>
      </c>
      <c r="C12" s="398" t="n">
        <v>7540</v>
      </c>
      <c r="D12" s="398" t="n">
        <v>9614</v>
      </c>
      <c r="E12" s="398" t="n">
        <v>10934</v>
      </c>
      <c r="F12" s="398" t="n">
        <v>18040</v>
      </c>
      <c r="G12" s="398" t="n">
        <v>19521</v>
      </c>
      <c r="H12" s="398" t="n">
        <v>21131</v>
      </c>
      <c r="I12" s="398" t="n">
        <v>23925</v>
      </c>
      <c r="J12" s="398" t="n">
        <v>25978</v>
      </c>
      <c r="K12" s="398" t="n">
        <v>27077</v>
      </c>
      <c r="L12" s="398" t="n">
        <v>31874</v>
      </c>
      <c r="M12" s="398" t="n">
        <v>37653</v>
      </c>
      <c r="N12" s="210" t="n">
        <f aca="false">M12*(1+$V12)</f>
        <v>42611.8976198746</v>
      </c>
      <c r="O12" s="211" t="n">
        <f aca="false">N12*(1+$W12)</f>
        <v>48223.8817296542</v>
      </c>
      <c r="P12" s="212" t="n">
        <f aca="false">O12*(1+$X12)</f>
        <v>54574.9637770421</v>
      </c>
      <c r="R12" s="214" t="n">
        <f aca="false">((P12/M12)^(1/3))-1</f>
        <v>0.131699934132063</v>
      </c>
      <c r="S12" s="215" t="n">
        <f aca="false">((M12/J12)^(1/3))-1</f>
        <v>0.131699934132063</v>
      </c>
      <c r="T12" s="215" t="n">
        <f aca="false">((M12/H12)^(1/5))-1</f>
        <v>0.122473009271019</v>
      </c>
      <c r="U12" s="215" t="n">
        <f aca="false">IF(D12&gt;0,((M12/D12)^(1/9))-1,"-")</f>
        <v>0.163797109086988</v>
      </c>
      <c r="V12" s="216" t="n">
        <f aca="false">S12</f>
        <v>0.131699934132063</v>
      </c>
      <c r="W12" s="217" t="n">
        <f aca="false">V12</f>
        <v>0.131699934132063</v>
      </c>
      <c r="X12" s="218" t="n">
        <f aca="false">W12</f>
        <v>0.131699934132063</v>
      </c>
    </row>
    <row r="13" customFormat="false" ht="13.5" hidden="false" customHeight="true" outlineLevel="0" collapsed="false">
      <c r="A13" s="397" t="s">
        <v>204</v>
      </c>
      <c r="B13" s="398" t="n">
        <v>5954</v>
      </c>
      <c r="C13" s="398" t="n">
        <v>8401</v>
      </c>
      <c r="D13" s="398" t="n">
        <v>11309</v>
      </c>
      <c r="E13" s="398" t="n">
        <v>12829</v>
      </c>
      <c r="F13" s="398" t="n">
        <v>19204</v>
      </c>
      <c r="G13" s="398" t="n">
        <v>20459</v>
      </c>
      <c r="H13" s="398" t="n">
        <v>21055</v>
      </c>
      <c r="I13" s="398" t="n">
        <v>25164</v>
      </c>
      <c r="J13" s="398" t="n">
        <v>26280</v>
      </c>
      <c r="K13" s="398" t="n">
        <v>25589</v>
      </c>
      <c r="L13" s="398" t="n">
        <v>30715</v>
      </c>
      <c r="M13" s="398" t="n">
        <v>37506</v>
      </c>
      <c r="N13" s="210" t="n">
        <f aca="false">M13*(1+$V13)</f>
        <v>42227.2253022427</v>
      </c>
      <c r="O13" s="211" t="n">
        <f aca="false">N13*(1+$W13)</f>
        <v>47542.7546719555</v>
      </c>
      <c r="P13" s="212" t="n">
        <f aca="false">O13*(1+$X13)</f>
        <v>53527.398630137</v>
      </c>
      <c r="R13" s="214" t="n">
        <f aca="false">((P13/M13)^(1/3))-1</f>
        <v>0.125879200721023</v>
      </c>
      <c r="S13" s="215" t="n">
        <f aca="false">((M13/J13)^(1/3))-1</f>
        <v>0.125879200721023</v>
      </c>
      <c r="T13" s="215" t="n">
        <f aca="false">((M13/H13)^(1/5))-1</f>
        <v>0.122403728514221</v>
      </c>
      <c r="U13" s="215" t="n">
        <f aca="false">IF(D13&gt;0,((M13/D13)^(1/9))-1,"-")</f>
        <v>0.142491425850543</v>
      </c>
      <c r="V13" s="216" t="n">
        <f aca="false">S13</f>
        <v>0.125879200721023</v>
      </c>
      <c r="W13" s="217" t="n">
        <f aca="false">V13</f>
        <v>0.125879200721023</v>
      </c>
      <c r="X13" s="218" t="n">
        <f aca="false">W13</f>
        <v>0.125879200721023</v>
      </c>
    </row>
    <row r="14" customFormat="false" ht="13.5" hidden="false" customHeight="true" outlineLevel="0" collapsed="false">
      <c r="A14" s="397" t="s">
        <v>205</v>
      </c>
      <c r="B14" s="399" t="n">
        <v>0</v>
      </c>
      <c r="C14" s="398" t="n">
        <v>0</v>
      </c>
      <c r="D14" s="398" t="n">
        <v>0</v>
      </c>
      <c r="E14" s="398" t="n">
        <v>0</v>
      </c>
      <c r="F14" s="398" t="n">
        <v>0</v>
      </c>
      <c r="G14" s="398" t="n">
        <v>0</v>
      </c>
      <c r="H14" s="398" t="n">
        <v>0</v>
      </c>
      <c r="I14" s="398" t="n">
        <v>0</v>
      </c>
      <c r="J14" s="398" t="n">
        <v>0</v>
      </c>
      <c r="K14" s="398" t="n">
        <v>16968</v>
      </c>
      <c r="L14" s="398" t="n">
        <v>20462</v>
      </c>
      <c r="M14" s="398" t="n">
        <v>24605</v>
      </c>
      <c r="N14" s="210" t="e">
        <f aca="false">M14*(1+$V14)</f>
        <v>#DIV/0!</v>
      </c>
      <c r="O14" s="211" t="e">
        <f aca="false">N14*(1+$W14)</f>
        <v>#DIV/0!</v>
      </c>
      <c r="P14" s="212" t="e">
        <f aca="false">O14*(1+$X14)</f>
        <v>#DIV/0!</v>
      </c>
      <c r="R14" s="214" t="e">
        <f aca="false">((P14/M14)^(1/3))-1</f>
        <v>#DIV/0!</v>
      </c>
      <c r="S14" s="215" t="e">
        <f aca="false">((M14/J14)^(1/3))-1</f>
        <v>#DIV/0!</v>
      </c>
      <c r="T14" s="215" t="e">
        <f aca="false">((M14/H14)^(1/5))-1</f>
        <v>#DIV/0!</v>
      </c>
      <c r="U14" s="215" t="str">
        <f aca="false">IF(D14&gt;0,((M14/D14)^(1/9))-1,"-")</f>
        <v>-</v>
      </c>
      <c r="V14" s="216" t="e">
        <f aca="false">S14</f>
        <v>#DIV/0!</v>
      </c>
      <c r="W14" s="217" t="e">
        <f aca="false">V14</f>
        <v>#DIV/0!</v>
      </c>
      <c r="X14" s="218" t="e">
        <f aca="false">W14</f>
        <v>#DIV/0!</v>
      </c>
    </row>
    <row r="15" customFormat="false" ht="13.5" hidden="false" customHeight="true" outlineLevel="0" collapsed="false">
      <c r="A15" s="397" t="s">
        <v>206</v>
      </c>
      <c r="B15" s="398" t="n">
        <v>3801</v>
      </c>
      <c r="C15" s="398" t="n">
        <v>5216</v>
      </c>
      <c r="D15" s="398" t="n">
        <v>6989</v>
      </c>
      <c r="E15" s="398" t="n">
        <v>9242</v>
      </c>
      <c r="F15" s="398" t="n">
        <v>10909</v>
      </c>
      <c r="G15" s="398" t="n">
        <v>12486</v>
      </c>
      <c r="H15" s="398" t="n">
        <v>13361</v>
      </c>
      <c r="I15" s="398" t="n">
        <v>15682</v>
      </c>
      <c r="J15" s="398" t="n">
        <v>16468</v>
      </c>
      <c r="K15" s="398" t="n">
        <v>15950</v>
      </c>
      <c r="L15" s="398" t="n">
        <v>18610</v>
      </c>
      <c r="M15" s="398" t="n">
        <v>21236</v>
      </c>
      <c r="N15" s="210" t="n">
        <f aca="false">M15*(1+$V15)</f>
        <v>23114.4378705111</v>
      </c>
      <c r="O15" s="211" t="n">
        <f aca="false">N15*(1+$W15)</f>
        <v>25159.0336254341</v>
      </c>
      <c r="P15" s="212" t="n">
        <f aca="false">O15*(1+$X15)</f>
        <v>27384.484819043</v>
      </c>
      <c r="R15" s="214" t="n">
        <f aca="false">((P15/M15)^(1/3))-1</f>
        <v>0.088455352727026</v>
      </c>
      <c r="S15" s="215" t="n">
        <f aca="false">((M15/J15)^(1/3))-1</f>
        <v>0.088455352727026</v>
      </c>
      <c r="T15" s="215" t="n">
        <f aca="false">((M15/H15)^(1/5))-1</f>
        <v>0.0971013527049751</v>
      </c>
      <c r="U15" s="215" t="n">
        <f aca="false">IF(D15&gt;0,((M15/D15)^(1/9))-1,"-")</f>
        <v>0.131432450888476</v>
      </c>
      <c r="V15" s="216" t="n">
        <f aca="false">S15</f>
        <v>0.088455352727026</v>
      </c>
      <c r="W15" s="217" t="n">
        <f aca="false">V15</f>
        <v>0.088455352727026</v>
      </c>
      <c r="X15" s="218" t="n">
        <f aca="false">W15</f>
        <v>0.088455352727026</v>
      </c>
    </row>
    <row r="16" customFormat="false" ht="13.5" hidden="false" customHeight="true" outlineLevel="0" collapsed="false">
      <c r="A16" s="397" t="s">
        <v>207</v>
      </c>
      <c r="B16" s="398" t="n">
        <v>11872</v>
      </c>
      <c r="C16" s="398" t="n">
        <v>14687</v>
      </c>
      <c r="D16" s="398" t="n">
        <v>18785</v>
      </c>
      <c r="E16" s="398" t="n">
        <v>23078</v>
      </c>
      <c r="F16" s="398" t="n">
        <v>16330</v>
      </c>
      <c r="G16" s="398" t="n">
        <v>17995</v>
      </c>
      <c r="H16" s="398" t="n">
        <v>19139</v>
      </c>
      <c r="I16" s="398" t="n">
        <v>23754</v>
      </c>
      <c r="J16" s="398" t="n">
        <v>27128</v>
      </c>
      <c r="K16" s="398" t="n">
        <v>12959</v>
      </c>
      <c r="L16" s="398" t="n">
        <v>14967</v>
      </c>
      <c r="M16" s="398" t="n">
        <v>18331</v>
      </c>
      <c r="N16" s="210" t="n">
        <f aca="false">M16*(1+$V16)</f>
        <v>16085.7859111345</v>
      </c>
      <c r="O16" s="211" t="n">
        <f aca="false">N16*(1+$W16)</f>
        <v>14115.5697113553</v>
      </c>
      <c r="P16" s="212" t="n">
        <f aca="false">O16*(1+$X16)</f>
        <v>12386.6691610145</v>
      </c>
      <c r="R16" s="214" t="n">
        <f aca="false">((P16/M16)^(1/3))-1</f>
        <v>-0.122481811623233</v>
      </c>
      <c r="S16" s="215" t="n">
        <f aca="false">((M16/J16)^(1/3))-1</f>
        <v>-0.122481811623233</v>
      </c>
      <c r="T16" s="215" t="n">
        <f aca="false">((M16/H16)^(1/5))-1</f>
        <v>-0.00858979950041661</v>
      </c>
      <c r="U16" s="215" t="n">
        <f aca="false">IF(D16&gt;0,((M16/D16)^(1/9))-1,"-")</f>
        <v>-0.00271464902377239</v>
      </c>
      <c r="V16" s="216" t="n">
        <f aca="false">S16</f>
        <v>-0.122481811623233</v>
      </c>
      <c r="W16" s="217" t="n">
        <f aca="false">V16</f>
        <v>-0.122481811623233</v>
      </c>
      <c r="X16" s="218" t="n">
        <f aca="false">W16</f>
        <v>-0.122481811623233</v>
      </c>
    </row>
    <row r="17" customFormat="false" ht="13.5" hidden="false" customHeight="true" outlineLevel="0" collapsed="false">
      <c r="A17" s="397"/>
      <c r="B17" s="399"/>
      <c r="C17" s="399"/>
      <c r="D17" s="399"/>
      <c r="E17" s="399"/>
      <c r="F17" s="399"/>
      <c r="G17" s="399"/>
      <c r="H17" s="399"/>
      <c r="I17" s="399"/>
      <c r="J17" s="399"/>
      <c r="K17" s="399"/>
      <c r="L17" s="399"/>
      <c r="M17" s="399"/>
      <c r="N17" s="210" t="e">
        <f aca="false">M17*(1+$V17)</f>
        <v>#DIV/0!</v>
      </c>
      <c r="O17" s="211" t="e">
        <f aca="false">N17*(1+$W17)</f>
        <v>#DIV/0!</v>
      </c>
      <c r="P17" s="212" t="e">
        <f aca="false">O17*(1+$X17)</f>
        <v>#DIV/0!</v>
      </c>
      <c r="R17" s="214" t="e">
        <f aca="false">((P17/M17)^(1/3))-1</f>
        <v>#DIV/0!</v>
      </c>
      <c r="S17" s="215" t="e">
        <f aca="false">((M17/J17)^(1/3))-1</f>
        <v>#DIV/0!</v>
      </c>
      <c r="T17" s="215" t="e">
        <f aca="false">((M17/H17)^(1/5))-1</f>
        <v>#DIV/0!</v>
      </c>
      <c r="U17" s="215" t="str">
        <f aca="false">IF(D17&gt;0,((M17/D17)^(1/9))-1,"-")</f>
        <v>-</v>
      </c>
      <c r="V17" s="216" t="e">
        <f aca="false">S17</f>
        <v>#DIV/0!</v>
      </c>
      <c r="W17" s="217" t="e">
        <f aca="false">V17</f>
        <v>#DIV/0!</v>
      </c>
      <c r="X17" s="218" t="e">
        <f aca="false">W17</f>
        <v>#DIV/0!</v>
      </c>
    </row>
    <row r="18" customFormat="false" ht="13.5" hidden="false" customHeight="true" outlineLevel="0" collapsed="false">
      <c r="A18" s="397"/>
      <c r="B18" s="399"/>
      <c r="C18" s="399"/>
      <c r="D18" s="399"/>
      <c r="E18" s="399"/>
      <c r="F18" s="399"/>
      <c r="G18" s="399"/>
      <c r="H18" s="399"/>
      <c r="I18" s="399"/>
      <c r="J18" s="399"/>
      <c r="K18" s="399"/>
      <c r="L18" s="399"/>
      <c r="M18" s="399"/>
      <c r="N18" s="210" t="e">
        <f aca="false">M18*(1+$V18)</f>
        <v>#DIV/0!</v>
      </c>
      <c r="O18" s="211" t="e">
        <f aca="false">N18*(1+$W18)</f>
        <v>#DIV/0!</v>
      </c>
      <c r="P18" s="212" t="e">
        <f aca="false">O18*(1+$X18)</f>
        <v>#DIV/0!</v>
      </c>
      <c r="R18" s="214" t="e">
        <f aca="false">((P18/M18)^(1/3))-1</f>
        <v>#DIV/0!</v>
      </c>
      <c r="S18" s="215" t="e">
        <f aca="false">((M18/J18)^(1/3))-1</f>
        <v>#DIV/0!</v>
      </c>
      <c r="T18" s="215" t="e">
        <f aca="false">((M18/H18)^(1/5))-1</f>
        <v>#DIV/0!</v>
      </c>
      <c r="U18" s="215" t="str">
        <f aca="false">IF(D18&gt;0,((M18/D18)^(1/9))-1,"-")</f>
        <v>-</v>
      </c>
      <c r="V18" s="216" t="e">
        <f aca="false">S18</f>
        <v>#DIV/0!</v>
      </c>
      <c r="W18" s="217" t="e">
        <f aca="false">V18</f>
        <v>#DIV/0!</v>
      </c>
      <c r="X18" s="218" t="e">
        <f aca="false">W18</f>
        <v>#DIV/0!</v>
      </c>
    </row>
    <row r="19" customFormat="false" ht="13.5" hidden="false" customHeight="true" outlineLevel="0" collapsed="false">
      <c r="A19" s="389" t="s">
        <v>191</v>
      </c>
      <c r="B19" s="390"/>
      <c r="C19" s="390"/>
      <c r="N19" s="210" t="e">
        <f aca="false">M19*(1+$V19)</f>
        <v>#DIV/0!</v>
      </c>
      <c r="O19" s="211" t="e">
        <f aca="false">N19*(1+$W19)</f>
        <v>#DIV/0!</v>
      </c>
      <c r="P19" s="212" t="e">
        <f aca="false">O19*(1+$X19)</f>
        <v>#DIV/0!</v>
      </c>
      <c r="R19" s="214" t="e">
        <f aca="false">((P19/M19)^(1/3))-1</f>
        <v>#DIV/0!</v>
      </c>
      <c r="S19" s="215" t="e">
        <f aca="false">((M19/J19)^(1/3))-1</f>
        <v>#DIV/0!</v>
      </c>
      <c r="T19" s="215" t="e">
        <f aca="false">((M19/H19)^(1/5))-1</f>
        <v>#DIV/0!</v>
      </c>
      <c r="U19" s="215" t="str">
        <f aca="false">IF(D19&gt;0,((M19/D19)^(1/9))-1,"-")</f>
        <v>-</v>
      </c>
      <c r="V19" s="216" t="e">
        <f aca="false">S19</f>
        <v>#DIV/0!</v>
      </c>
      <c r="W19" s="217" t="e">
        <f aca="false">V19</f>
        <v>#DIV/0!</v>
      </c>
      <c r="X19" s="218" t="e">
        <f aca="false">W19</f>
        <v>#DIV/0!</v>
      </c>
    </row>
    <row r="20" customFormat="false" ht="13.5" hidden="false" customHeight="true" outlineLevel="0" collapsed="false">
      <c r="A20" s="156" t="s">
        <v>208</v>
      </c>
      <c r="B20" s="390"/>
      <c r="C20" s="390"/>
      <c r="D20" s="400" t="n">
        <f aca="false">SUM(D11:D19)</f>
        <v>81809</v>
      </c>
      <c r="E20" s="400" t="n">
        <f aca="false">SUM(E11:E19)</f>
        <v>94649</v>
      </c>
      <c r="F20" s="400" t="n">
        <f aca="false">SUM(F11:F19)</f>
        <v>108646</v>
      </c>
      <c r="G20" s="400" t="n">
        <f aca="false">SUM(G11:G19)</f>
        <v>117966</v>
      </c>
      <c r="H20" s="400" t="n">
        <f aca="false">SUM(H11:H19)</f>
        <v>123104</v>
      </c>
      <c r="I20" s="400" t="n">
        <f aca="false">SUM(I11:I19)</f>
        <v>146463</v>
      </c>
      <c r="J20" s="400" t="n">
        <f aca="false">SUM(J11:J19)</f>
        <v>156949</v>
      </c>
      <c r="K20" s="400" t="n">
        <f aca="false">SUM(K11:K19)</f>
        <v>164177</v>
      </c>
      <c r="L20" s="400" t="n">
        <f aca="false">SUM(L11:L19)</f>
        <v>191754</v>
      </c>
      <c r="M20" s="400" t="n">
        <f aca="false">SUM(M11:M19)</f>
        <v>225458</v>
      </c>
      <c r="N20" s="400" t="e">
        <f aca="false">SUM(N11:N19)</f>
        <v>#DIV/0!</v>
      </c>
      <c r="O20" s="400" t="e">
        <f aca="false">SUM(O11:O19)</f>
        <v>#DIV/0!</v>
      </c>
      <c r="P20" s="400" t="e">
        <f aca="false">SUM(P11:P19)</f>
        <v>#DIV/0!</v>
      </c>
      <c r="R20" s="214" t="e">
        <f aca="false">((P20/M20)^(1/3))-1</f>
        <v>#DIV/0!</v>
      </c>
      <c r="S20" s="215" t="n">
        <f aca="false">((M20/J20)^(1/3))-1</f>
        <v>0.128328866617937</v>
      </c>
      <c r="T20" s="215" t="n">
        <f aca="false">((M20/H20)^(1/5))-1</f>
        <v>0.128648469781155</v>
      </c>
      <c r="U20" s="215" t="n">
        <f aca="false">IF(D20&gt;0,((M20/D20)^(1/9))-1,"-")</f>
        <v>0.119227274924875</v>
      </c>
      <c r="V20" s="216" t="n">
        <f aca="false">S20</f>
        <v>0.128328866617937</v>
      </c>
      <c r="W20" s="217" t="n">
        <f aca="false">V20</f>
        <v>0.128328866617937</v>
      </c>
      <c r="X20" s="218" t="n">
        <f aca="false">W20</f>
        <v>0.128328866617937</v>
      </c>
    </row>
    <row r="21" customFormat="false" ht="13.5" hidden="false" customHeight="true" outlineLevel="0" collapsed="false">
      <c r="A21" s="389" t="s">
        <v>192</v>
      </c>
      <c r="B21" s="389" t="s">
        <v>105</v>
      </c>
      <c r="C21" s="389"/>
      <c r="R21" s="214" t="e">
        <f aca="false">((P21/M21)^(1/3))-1</f>
        <v>#DIV/0!</v>
      </c>
      <c r="S21" s="215" t="e">
        <f aca="false">((M21/J21)^(1/3))-1</f>
        <v>#DIV/0!</v>
      </c>
      <c r="T21" s="215" t="e">
        <f aca="false">((M21/H21)^(1/5))-1</f>
        <v>#DIV/0!</v>
      </c>
      <c r="U21" s="215" t="str">
        <f aca="false">IF(D21&gt;0,((M21/D21)^(1/9))-1,"-")</f>
        <v>-</v>
      </c>
      <c r="V21" s="216" t="e">
        <f aca="false">S21</f>
        <v>#DIV/0!</v>
      </c>
      <c r="W21" s="217" t="e">
        <f aca="false">V21</f>
        <v>#DIV/0!</v>
      </c>
      <c r="X21" s="218" t="e">
        <f aca="false">W21</f>
        <v>#DIV/0!</v>
      </c>
    </row>
    <row r="22" customFormat="false" ht="13.5" hidden="false" customHeight="true" outlineLevel="0" collapsed="false">
      <c r="A22" s="156" t="s">
        <v>209</v>
      </c>
      <c r="B22" s="390"/>
      <c r="C22" s="390"/>
      <c r="R22" s="214" t="e">
        <f aca="false">((P22/M22)^(1/3))-1</f>
        <v>#DIV/0!</v>
      </c>
      <c r="S22" s="215" t="e">
        <f aca="false">((M22/J22)^(1/3))-1</f>
        <v>#DIV/0!</v>
      </c>
      <c r="T22" s="215" t="e">
        <f aca="false">((M22/H22)^(1/5))-1</f>
        <v>#DIV/0!</v>
      </c>
      <c r="U22" s="215" t="str">
        <f aca="false">IF(D22&gt;0,((M22/D22)^(1/9))-1,"-")</f>
        <v>-</v>
      </c>
      <c r="V22" s="216" t="e">
        <f aca="false">S22</f>
        <v>#DIV/0!</v>
      </c>
      <c r="W22" s="217" t="e">
        <f aca="false">V22</f>
        <v>#DIV/0!</v>
      </c>
      <c r="X22" s="218" t="e">
        <f aca="false">W22</f>
        <v>#DIV/0!</v>
      </c>
    </row>
    <row r="23" customFormat="false" ht="13.5" hidden="false" customHeight="true" outlineLevel="0" collapsed="false">
      <c r="A23" s="397" t="s">
        <v>202</v>
      </c>
      <c r="B23" s="398" t="n">
        <v>6493</v>
      </c>
      <c r="C23" s="398" t="n">
        <v>8014</v>
      </c>
      <c r="D23" s="398" t="n">
        <v>11523</v>
      </c>
      <c r="E23" s="398" t="n">
        <v>10594</v>
      </c>
      <c r="F23" s="398" t="n">
        <v>12851</v>
      </c>
      <c r="G23" s="398" t="n">
        <v>13098</v>
      </c>
      <c r="H23" s="398" t="n">
        <v>13045</v>
      </c>
      <c r="I23" s="398" t="n">
        <v>16089</v>
      </c>
      <c r="J23" s="398" t="n">
        <v>16950</v>
      </c>
      <c r="K23" s="398" t="n">
        <v>18681</v>
      </c>
      <c r="L23" s="398" t="n">
        <v>20174</v>
      </c>
      <c r="M23" s="398" t="n">
        <v>22345</v>
      </c>
      <c r="N23" s="210" t="n">
        <f aca="false">M23*(1+$V23)</f>
        <v>24501.0056889896</v>
      </c>
      <c r="O23" s="211" t="n">
        <f aca="false">N23*(1+$W23)</f>
        <v>26865.0382533855</v>
      </c>
      <c r="P23" s="212" t="n">
        <f aca="false">O23*(1+$X23)</f>
        <v>29457.1696165192</v>
      </c>
      <c r="R23" s="214" t="n">
        <f aca="false">((P23/M23)^(1/3))-1</f>
        <v>0.0964871644211041</v>
      </c>
      <c r="S23" s="215" t="n">
        <f aca="false">((M23/J23)^(1/3))-1</f>
        <v>0.0964871644211041</v>
      </c>
      <c r="T23" s="215" t="n">
        <f aca="false">((M23/H23)^(1/5))-1</f>
        <v>0.11364624003884</v>
      </c>
      <c r="U23" s="215" t="n">
        <f aca="false">IF(D23&gt;0,((M23/D23)^(1/9))-1,"-")</f>
        <v>0.0763591317238084</v>
      </c>
      <c r="V23" s="216" t="n">
        <f aca="false">S23</f>
        <v>0.0964871644211041</v>
      </c>
      <c r="W23" s="217" t="n">
        <f aca="false">V23</f>
        <v>0.0964871644211041</v>
      </c>
      <c r="X23" s="218" t="n">
        <f aca="false">W23</f>
        <v>0.0964871644211041</v>
      </c>
    </row>
    <row r="24" customFormat="false" ht="13.5" hidden="false" customHeight="true" outlineLevel="0" collapsed="false">
      <c r="A24" s="397" t="s">
        <v>203</v>
      </c>
      <c r="B24" s="398" t="n">
        <v>1890</v>
      </c>
      <c r="C24" s="398" t="n">
        <v>1949</v>
      </c>
      <c r="D24" s="398" t="n">
        <v>2749</v>
      </c>
      <c r="E24" s="398" t="n">
        <v>2771</v>
      </c>
      <c r="F24" s="398" t="n">
        <v>5190</v>
      </c>
      <c r="G24" s="398" t="n">
        <v>5552</v>
      </c>
      <c r="H24" s="398" t="n">
        <v>5797</v>
      </c>
      <c r="I24" s="398" t="n">
        <v>6644</v>
      </c>
      <c r="J24" s="398" t="n">
        <v>7703</v>
      </c>
      <c r="K24" s="398" t="n">
        <v>8010</v>
      </c>
      <c r="L24" s="398" t="n">
        <v>9518</v>
      </c>
      <c r="M24" s="398" t="n">
        <v>10667</v>
      </c>
      <c r="N24" s="210" t="n">
        <f aca="false">M24*(1+$V24)</f>
        <v>11889.6689041545</v>
      </c>
      <c r="O24" s="211" t="n">
        <f aca="false">N24*(1+$W24)</f>
        <v>13252.4821084108</v>
      </c>
      <c r="P24" s="212" t="n">
        <f aca="false">O24*(1+$X24)</f>
        <v>14771.503180579</v>
      </c>
      <c r="R24" s="214" t="n">
        <f aca="false">((P24/M24)^(1/3))-1</f>
        <v>0.114621627838614</v>
      </c>
      <c r="S24" s="215" t="n">
        <f aca="false">((M24/J24)^(1/3))-1</f>
        <v>0.114621627838614</v>
      </c>
      <c r="T24" s="215" t="n">
        <f aca="false">((M24/H24)^(1/5))-1</f>
        <v>0.129712148301503</v>
      </c>
      <c r="U24" s="215" t="n">
        <f aca="false">IF(D24&gt;0,((M24/D24)^(1/9))-1,"-")</f>
        <v>0.162598419884831</v>
      </c>
      <c r="V24" s="216" t="n">
        <f aca="false">S24</f>
        <v>0.114621627838614</v>
      </c>
      <c r="W24" s="217" t="n">
        <f aca="false">V24</f>
        <v>0.114621627838614</v>
      </c>
      <c r="X24" s="218" t="n">
        <f aca="false">W24</f>
        <v>0.114621627838614</v>
      </c>
    </row>
    <row r="25" customFormat="false" ht="13.5" hidden="false" customHeight="true" outlineLevel="0" collapsed="false">
      <c r="A25" s="397" t="s">
        <v>204</v>
      </c>
      <c r="B25" s="398" t="n">
        <v>1742</v>
      </c>
      <c r="C25" s="398" t="n">
        <v>2581</v>
      </c>
      <c r="D25" s="398" t="n">
        <v>3674</v>
      </c>
      <c r="E25" s="398" t="n">
        <v>3254</v>
      </c>
      <c r="F25" s="398" t="n">
        <v>5330</v>
      </c>
      <c r="G25" s="398" t="n">
        <v>5740</v>
      </c>
      <c r="H25" s="398" t="n">
        <v>5580</v>
      </c>
      <c r="I25" s="398" t="n">
        <v>6871</v>
      </c>
      <c r="J25" s="398" t="n">
        <v>6870</v>
      </c>
      <c r="K25" s="398" t="n">
        <v>7151</v>
      </c>
      <c r="L25" s="398" t="n">
        <v>8534</v>
      </c>
      <c r="M25" s="398" t="n">
        <v>9636</v>
      </c>
      <c r="N25" s="210" t="n">
        <f aca="false">M25*(1+$V25)</f>
        <v>10786.4071505337</v>
      </c>
      <c r="O25" s="211" t="n">
        <f aca="false">N25*(1+$W25)</f>
        <v>12074.1572454425</v>
      </c>
      <c r="P25" s="212" t="n">
        <f aca="false">O25*(1+$X25)</f>
        <v>13515.6471615721</v>
      </c>
      <c r="R25" s="214" t="n">
        <f aca="false">((P25/M25)^(1/3))-1</f>
        <v>0.11938637925837</v>
      </c>
      <c r="S25" s="215" t="n">
        <f aca="false">((M25/J25)^(1/3))-1</f>
        <v>0.11938637925837</v>
      </c>
      <c r="T25" s="215" t="n">
        <f aca="false">((M25/H25)^(1/5))-1</f>
        <v>0.115456191584941</v>
      </c>
      <c r="U25" s="215" t="n">
        <f aca="false">IF(D25&gt;0,((M25/D25)^(1/9))-1,"-")</f>
        <v>0.113085759622287</v>
      </c>
      <c r="V25" s="216" t="n">
        <f aca="false">S25</f>
        <v>0.11938637925837</v>
      </c>
      <c r="W25" s="217" t="n">
        <f aca="false">V25</f>
        <v>0.11938637925837</v>
      </c>
      <c r="X25" s="218" t="n">
        <f aca="false">W25</f>
        <v>0.11938637925837</v>
      </c>
    </row>
    <row r="26" customFormat="false" ht="13.5" hidden="false" customHeight="true" outlineLevel="0" collapsed="false">
      <c r="A26" s="397" t="s">
        <v>205</v>
      </c>
      <c r="B26" s="399" t="n">
        <v>0</v>
      </c>
      <c r="C26" s="398" t="n">
        <v>0</v>
      </c>
      <c r="D26" s="398" t="n">
        <v>0</v>
      </c>
      <c r="E26" s="398" t="n">
        <v>0</v>
      </c>
      <c r="F26" s="398" t="n">
        <v>0</v>
      </c>
      <c r="G26" s="398" t="n">
        <v>0</v>
      </c>
      <c r="H26" s="398" t="n">
        <v>0</v>
      </c>
      <c r="I26" s="398" t="n">
        <v>0</v>
      </c>
      <c r="J26" s="398" t="n">
        <v>0</v>
      </c>
      <c r="K26" s="398" t="n">
        <v>5253</v>
      </c>
      <c r="L26" s="398" t="n">
        <v>6139</v>
      </c>
      <c r="M26" s="398" t="n">
        <v>6894</v>
      </c>
      <c r="N26" s="210" t="e">
        <f aca="false">M26*(1+$V26)</f>
        <v>#DIV/0!</v>
      </c>
      <c r="O26" s="211" t="e">
        <f aca="false">N26*(1+$W26)</f>
        <v>#DIV/0!</v>
      </c>
      <c r="P26" s="212" t="e">
        <f aca="false">O26*(1+$X26)</f>
        <v>#DIV/0!</v>
      </c>
      <c r="R26" s="214" t="e">
        <f aca="false">((P26/M26)^(1/3))-1</f>
        <v>#DIV/0!</v>
      </c>
      <c r="S26" s="215" t="e">
        <f aca="false">((M26/J26)^(1/3))-1</f>
        <v>#DIV/0!</v>
      </c>
      <c r="T26" s="215" t="e">
        <f aca="false">((M26/H26)^(1/5))-1</f>
        <v>#DIV/0!</v>
      </c>
      <c r="U26" s="215" t="str">
        <f aca="false">IF(D26&gt;0,((M26/D26)^(1/9))-1,"-")</f>
        <v>-</v>
      </c>
      <c r="V26" s="216" t="e">
        <f aca="false">S26</f>
        <v>#DIV/0!</v>
      </c>
      <c r="W26" s="217" t="e">
        <f aca="false">V26</f>
        <v>#DIV/0!</v>
      </c>
      <c r="X26" s="218" t="e">
        <f aca="false">W26</f>
        <v>#DIV/0!</v>
      </c>
    </row>
    <row r="27" customFormat="false" ht="13.5" hidden="false" customHeight="true" outlineLevel="0" collapsed="false">
      <c r="A27" s="397" t="s">
        <v>206</v>
      </c>
      <c r="B27" s="399" t="n">
        <v>986</v>
      </c>
      <c r="C27" s="398" t="n">
        <v>1363</v>
      </c>
      <c r="D27" s="398" t="n">
        <v>2051</v>
      </c>
      <c r="E27" s="398" t="n">
        <v>2223</v>
      </c>
      <c r="F27" s="398" t="n">
        <v>2924</v>
      </c>
      <c r="G27" s="398" t="n">
        <v>3574</v>
      </c>
      <c r="H27" s="398" t="n">
        <v>3698</v>
      </c>
      <c r="I27" s="398" t="n">
        <v>4311</v>
      </c>
      <c r="J27" s="398" t="n">
        <v>4445</v>
      </c>
      <c r="K27" s="398" t="n">
        <v>4483</v>
      </c>
      <c r="L27" s="398" t="n">
        <v>5602</v>
      </c>
      <c r="M27" s="398" t="n">
        <v>5842</v>
      </c>
      <c r="N27" s="210" t="n">
        <f aca="false">M27*(1+$V27)</f>
        <v>6399.18719998933</v>
      </c>
      <c r="O27" s="211" t="n">
        <f aca="false">N27*(1+$W27)</f>
        <v>7009.5167443525</v>
      </c>
      <c r="P27" s="212" t="n">
        <f aca="false">O27*(1+$X27)</f>
        <v>7678.05714285714</v>
      </c>
      <c r="R27" s="214" t="n">
        <f aca="false">((P27/M27)^(1/3))-1</f>
        <v>0.0953761040721213</v>
      </c>
      <c r="S27" s="215" t="n">
        <f aca="false">((M27/J27)^(1/3))-1</f>
        <v>0.0953761040721213</v>
      </c>
      <c r="T27" s="215" t="n">
        <f aca="false">((M27/H27)^(1/5))-1</f>
        <v>0.095768796528888</v>
      </c>
      <c r="U27" s="215" t="n">
        <f aca="false">IF(D27&gt;0,((M27/D27)^(1/9))-1,"-")</f>
        <v>0.123338528588504</v>
      </c>
      <c r="V27" s="216" t="n">
        <f aca="false">S27</f>
        <v>0.0953761040721213</v>
      </c>
      <c r="W27" s="217" t="n">
        <f aca="false">V27</f>
        <v>0.0953761040721213</v>
      </c>
      <c r="X27" s="218" t="n">
        <f aca="false">W27</f>
        <v>0.0953761040721213</v>
      </c>
    </row>
    <row r="28" customFormat="false" ht="13.5" hidden="false" customHeight="true" outlineLevel="0" collapsed="false">
      <c r="A28" s="397" t="s">
        <v>207</v>
      </c>
      <c r="B28" s="398" t="n">
        <v>3203</v>
      </c>
      <c r="C28" s="398" t="n">
        <v>3992</v>
      </c>
      <c r="D28" s="398" t="n">
        <v>5029</v>
      </c>
      <c r="E28" s="398" t="n">
        <v>5480</v>
      </c>
      <c r="F28" s="398" t="n">
        <v>4294</v>
      </c>
      <c r="G28" s="398" t="n">
        <v>4271</v>
      </c>
      <c r="H28" s="398" t="n">
        <v>4339</v>
      </c>
      <c r="I28" s="398" t="n">
        <v>5554</v>
      </c>
      <c r="J28" s="398" t="n">
        <v>6141</v>
      </c>
      <c r="K28" s="398" t="n">
        <v>2968</v>
      </c>
      <c r="L28" s="398" t="n">
        <v>3090</v>
      </c>
      <c r="M28" s="398" t="n">
        <v>3875</v>
      </c>
      <c r="N28" s="210" t="n">
        <f aca="false">M28*(1+$V28)</f>
        <v>3323.65479270961</v>
      </c>
      <c r="O28" s="211" t="n">
        <f aca="false">N28*(1+$W28)</f>
        <v>2850.75643383266</v>
      </c>
      <c r="P28" s="212" t="n">
        <f aca="false">O28*(1+$X28)</f>
        <v>2445.14329913695</v>
      </c>
      <c r="R28" s="214" t="n">
        <f aca="false">((P28/M28)^(1/3))-1</f>
        <v>-0.142282634139456</v>
      </c>
      <c r="S28" s="215" t="n">
        <f aca="false">((M28/J28)^(1/3))-1</f>
        <v>-0.142282634139456</v>
      </c>
      <c r="T28" s="215" t="n">
        <f aca="false">((M28/H28)^(1/5))-1</f>
        <v>-0.0223657425726405</v>
      </c>
      <c r="U28" s="215" t="n">
        <f aca="false">IF(D28&gt;0,((M28/D28)^(1/9))-1,"-")</f>
        <v>-0.0285485093355333</v>
      </c>
      <c r="V28" s="216" t="n">
        <f aca="false">S28</f>
        <v>-0.142282634139456</v>
      </c>
      <c r="W28" s="217" t="n">
        <f aca="false">V28</f>
        <v>-0.142282634139456</v>
      </c>
      <c r="X28" s="218" t="n">
        <f aca="false">W28</f>
        <v>-0.142282634139456</v>
      </c>
    </row>
    <row r="29" customFormat="false" ht="13.5" hidden="false" customHeight="true" outlineLevel="0" collapsed="false">
      <c r="A29" s="397" t="s">
        <v>210</v>
      </c>
      <c r="B29" s="399" t="n">
        <v>-390</v>
      </c>
      <c r="C29" s="398" t="n">
        <v>192</v>
      </c>
      <c r="D29" s="399" t="n">
        <v>377</v>
      </c>
      <c r="E29" s="398" t="n">
        <v>1486</v>
      </c>
      <c r="F29" s="398" t="n">
        <v>1251</v>
      </c>
      <c r="G29" s="398" t="n">
        <v>2278</v>
      </c>
      <c r="H29" s="398" t="n">
        <v>1633</v>
      </c>
      <c r="I29" s="398" t="n">
        <v>2094</v>
      </c>
      <c r="J29" s="399" t="n">
        <v>139</v>
      </c>
      <c r="K29" s="398" t="n">
        <v>-2786</v>
      </c>
      <c r="L29" s="398" t="n">
        <v>-1370</v>
      </c>
      <c r="M29" s="398" t="n">
        <v>-2352</v>
      </c>
      <c r="N29" s="210" t="n">
        <f aca="false">M29*(1+$V29)</f>
        <v>6038.25555800795</v>
      </c>
      <c r="O29" s="211" t="n">
        <f aca="false">N29*(1+$W29)</f>
        <v>-15501.9260985603</v>
      </c>
      <c r="P29" s="212" t="n">
        <f aca="false">O29*(1+$X29)</f>
        <v>39797.8705035971</v>
      </c>
      <c r="R29" s="214" t="n">
        <f aca="false">((P29/M29)^(1/3))-1</f>
        <v>-3.56728552636392</v>
      </c>
      <c r="S29" s="215" t="n">
        <f aca="false">((M29/J29)^(1/3))-1</f>
        <v>-3.56728552636392</v>
      </c>
      <c r="T29" s="215" t="n">
        <f aca="false">((M29/H29)^(1/5))-1</f>
        <v>-2.07569766654438</v>
      </c>
      <c r="U29" s="215" t="n">
        <f aca="false">IF(D29&gt;0,((M29/D29)^(1/9))-1,"-")</f>
        <v>-2.22558657860044</v>
      </c>
      <c r="V29" s="216" t="n">
        <f aca="false">S29</f>
        <v>-3.56728552636392</v>
      </c>
      <c r="W29" s="217" t="n">
        <f aca="false">V29</f>
        <v>-3.56728552636392</v>
      </c>
      <c r="X29" s="218" t="n">
        <f aca="false">W29</f>
        <v>-3.56728552636392</v>
      </c>
    </row>
    <row r="30" customFormat="false" ht="13.5" hidden="false" customHeight="true" outlineLevel="0" collapsed="false">
      <c r="A30" s="397"/>
      <c r="B30" s="399"/>
      <c r="C30" s="399"/>
      <c r="D30" s="399"/>
      <c r="E30" s="399"/>
      <c r="F30" s="398"/>
      <c r="G30" s="398"/>
      <c r="H30" s="398"/>
      <c r="I30" s="398"/>
      <c r="J30" s="398"/>
      <c r="K30" s="398"/>
      <c r="L30" s="398"/>
      <c r="M30" s="398"/>
      <c r="N30" s="210" t="e">
        <f aca="false">M30*(1+$V30)</f>
        <v>#DIV/0!</v>
      </c>
      <c r="O30" s="211" t="e">
        <f aca="false">N30*(1+$W30)</f>
        <v>#DIV/0!</v>
      </c>
      <c r="P30" s="212" t="e">
        <f aca="false">O30*(1+$X30)</f>
        <v>#DIV/0!</v>
      </c>
      <c r="R30" s="214" t="e">
        <f aca="false">((P30/M30)^(1/3))-1</f>
        <v>#DIV/0!</v>
      </c>
      <c r="S30" s="215" t="e">
        <f aca="false">((M30/J30)^(1/3))-1</f>
        <v>#DIV/0!</v>
      </c>
      <c r="T30" s="215" t="e">
        <f aca="false">((M30/H30)^(1/5))-1</f>
        <v>#DIV/0!</v>
      </c>
      <c r="U30" s="215" t="str">
        <f aca="false">IF(D30&gt;0,((M30/D30)^(1/9))-1,"-")</f>
        <v>-</v>
      </c>
      <c r="V30" s="216" t="e">
        <f aca="false">S30</f>
        <v>#DIV/0!</v>
      </c>
      <c r="W30" s="217" t="e">
        <f aca="false">V30</f>
        <v>#DIV/0!</v>
      </c>
      <c r="X30" s="218" t="e">
        <f aca="false">W30</f>
        <v>#DIV/0!</v>
      </c>
    </row>
    <row r="31" customFormat="false" ht="13.5" hidden="false" customHeight="true" outlineLevel="0" collapsed="false">
      <c r="A31" s="389" t="s">
        <v>191</v>
      </c>
      <c r="N31" s="210" t="e">
        <f aca="false">M31*(1+$V31)</f>
        <v>#DIV/0!</v>
      </c>
      <c r="O31" s="211" t="e">
        <f aca="false">N31*(1+$W31)</f>
        <v>#DIV/0!</v>
      </c>
      <c r="P31" s="212" t="e">
        <f aca="false">O31*(1+$X31)</f>
        <v>#DIV/0!</v>
      </c>
      <c r="R31" s="214" t="e">
        <f aca="false">((P31/M31)^(1/3))-1</f>
        <v>#DIV/0!</v>
      </c>
      <c r="S31" s="215" t="e">
        <f aca="false">((M31/J31)^(1/3))-1</f>
        <v>#DIV/0!</v>
      </c>
      <c r="T31" s="215" t="e">
        <f aca="false">((M31/H31)^(1/5))-1</f>
        <v>#DIV/0!</v>
      </c>
      <c r="U31" s="215" t="str">
        <f aca="false">IF(D31&gt;0,((M31/D31)^(1/9))-1,"-")</f>
        <v>-</v>
      </c>
      <c r="V31" s="216" t="e">
        <f aca="false">S31</f>
        <v>#DIV/0!</v>
      </c>
      <c r="W31" s="217" t="e">
        <f aca="false">V31</f>
        <v>#DIV/0!</v>
      </c>
      <c r="X31" s="218" t="e">
        <f aca="false">W31</f>
        <v>#DIV/0!</v>
      </c>
    </row>
    <row r="32" customFormat="false" ht="13.5" hidden="false" customHeight="true" outlineLevel="0" collapsed="false">
      <c r="A32" s="156" t="s">
        <v>208</v>
      </c>
      <c r="B32" s="400" t="n">
        <f aca="false">SUM(B23:B31)</f>
        <v>13924</v>
      </c>
      <c r="C32" s="400" t="n">
        <f aca="false">SUM(C23:C31)</f>
        <v>18091</v>
      </c>
      <c r="D32" s="400" t="n">
        <f aca="false">SUM(D23:D31)</f>
        <v>25403</v>
      </c>
      <c r="E32" s="400" t="n">
        <f aca="false">SUM(E23:E31)</f>
        <v>25808</v>
      </c>
      <c r="F32" s="400" t="n">
        <f aca="false">SUM(F23:F31)</f>
        <v>31840</v>
      </c>
      <c r="G32" s="400" t="n">
        <f aca="false">SUM(G23:G31)</f>
        <v>34513</v>
      </c>
      <c r="H32" s="400" t="n">
        <f aca="false">SUM(H23:H31)</f>
        <v>34092</v>
      </c>
      <c r="I32" s="400" t="n">
        <f aca="false">SUM(I23:I31)</f>
        <v>41563</v>
      </c>
      <c r="J32" s="400" t="n">
        <f aca="false">SUM(J23:J31)</f>
        <v>42248</v>
      </c>
      <c r="K32" s="400" t="n">
        <f aca="false">SUM(K23:K31)</f>
        <v>43760</v>
      </c>
      <c r="L32" s="400" t="n">
        <f aca="false">SUM(L23:L31)</f>
        <v>51687</v>
      </c>
      <c r="M32" s="400" t="n">
        <f aca="false">SUM(M23:M31)</f>
        <v>56907</v>
      </c>
      <c r="N32" s="400" t="e">
        <f aca="false">SUM(N23:N31)</f>
        <v>#DIV/0!</v>
      </c>
      <c r="O32" s="400" t="e">
        <f aca="false">SUM(O23:O31)</f>
        <v>#DIV/0!</v>
      </c>
      <c r="P32" s="400" t="e">
        <f aca="false">SUM(P23:P31)</f>
        <v>#DIV/0!</v>
      </c>
      <c r="R32" s="214" t="e">
        <f aca="false">((P32/M32)^(1/3))-1</f>
        <v>#DIV/0!</v>
      </c>
      <c r="S32" s="215" t="n">
        <f aca="false">((M32/J32)^(1/3))-1</f>
        <v>0.104383337596158</v>
      </c>
      <c r="T32" s="215" t="n">
        <f aca="false">((M32/H32)^(1/5))-1</f>
        <v>0.107905305974076</v>
      </c>
      <c r="U32" s="215" t="n">
        <f aca="false">IF(D32&gt;0,((M32/D32)^(1/9))-1,"-")</f>
        <v>0.0937550617553733</v>
      </c>
      <c r="V32" s="216" t="n">
        <f aca="false">S32</f>
        <v>0.104383337596158</v>
      </c>
      <c r="W32" s="217" t="n">
        <f aca="false">V32</f>
        <v>0.104383337596158</v>
      </c>
      <c r="X32" s="218" t="n">
        <f aca="false">W32</f>
        <v>0.104383337596158</v>
      </c>
    </row>
    <row r="33" customFormat="false" ht="13.5" hidden="false" customHeight="true" outlineLevel="0" collapsed="false">
      <c r="R33" s="214" t="e">
        <f aca="false">((P33/M33)^(1/3))-1</f>
        <v>#DIV/0!</v>
      </c>
      <c r="S33" s="215" t="e">
        <f aca="false">((M33/J33)^(1/3))-1</f>
        <v>#DIV/0!</v>
      </c>
      <c r="T33" s="215" t="e">
        <f aca="false">((M33/H33)^(1/5))-1</f>
        <v>#DIV/0!</v>
      </c>
      <c r="U33" s="215" t="str">
        <f aca="false">IF(D33&gt;0,((M33/D33)^(1/9))-1,"-")</f>
        <v>-</v>
      </c>
      <c r="V33" s="216" t="e">
        <f aca="false">S33</f>
        <v>#DIV/0!</v>
      </c>
      <c r="W33" s="217" t="e">
        <f aca="false">V33</f>
        <v>#DIV/0!</v>
      </c>
      <c r="X33" s="218" t="e">
        <f aca="false">W33</f>
        <v>#DIV/0!</v>
      </c>
    </row>
    <row r="34" customFormat="false" ht="13.5" hidden="false" customHeight="true" outlineLevel="0" collapsed="false">
      <c r="A34" s="156" t="s">
        <v>211</v>
      </c>
      <c r="R34" s="214" t="e">
        <f aca="false">((P34/M34)^(1/3))-1</f>
        <v>#DIV/0!</v>
      </c>
      <c r="S34" s="215" t="e">
        <f aca="false">((M34/J34)^(1/3))-1</f>
        <v>#DIV/0!</v>
      </c>
      <c r="T34" s="215" t="e">
        <f aca="false">((M34/H34)^(1/5))-1</f>
        <v>#DIV/0!</v>
      </c>
      <c r="U34" s="215" t="str">
        <f aca="false">IF(D34&gt;0,((M34/D34)^(1/9))-1,"-")</f>
        <v>-</v>
      </c>
      <c r="V34" s="216" t="e">
        <f aca="false">S34</f>
        <v>#DIV/0!</v>
      </c>
      <c r="W34" s="217" t="e">
        <f aca="false">V34</f>
        <v>#DIV/0!</v>
      </c>
      <c r="X34" s="218" t="e">
        <f aca="false">W34</f>
        <v>#DIV/0!</v>
      </c>
    </row>
    <row r="35" customFormat="false" ht="13.5" hidden="false" customHeight="true" outlineLevel="0" collapsed="false">
      <c r="A35" s="397" t="s">
        <v>202</v>
      </c>
      <c r="B35" s="398" t="n">
        <v>8570</v>
      </c>
      <c r="C35" s="398" t="n">
        <v>10045</v>
      </c>
      <c r="D35" s="398" t="n">
        <v>8344</v>
      </c>
      <c r="E35" s="398" t="n">
        <v>7057</v>
      </c>
      <c r="F35" s="398" t="n">
        <v>9681</v>
      </c>
      <c r="G35" s="398" t="n">
        <v>8635</v>
      </c>
      <c r="H35" s="398" t="n">
        <v>9039</v>
      </c>
      <c r="I35" s="398" t="n">
        <v>10483</v>
      </c>
      <c r="J35" s="399" t="n">
        <v>0</v>
      </c>
      <c r="K35" s="399" t="n">
        <v>0</v>
      </c>
      <c r="L35" s="399" t="n">
        <v>0</v>
      </c>
      <c r="M35" s="399" t="n">
        <v>0</v>
      </c>
      <c r="R35" s="214" t="e">
        <f aca="false">((P35/M35)^(1/3))-1</f>
        <v>#DIV/0!</v>
      </c>
      <c r="S35" s="215" t="e">
        <f aca="false">((M35/J35)^(1/3))-1</f>
        <v>#DIV/0!</v>
      </c>
      <c r="T35" s="215" t="n">
        <f aca="false">((M35/H35)^(1/5))-1</f>
        <v>-1</v>
      </c>
      <c r="U35" s="215" t="n">
        <f aca="false">IF(D35&gt;0,((M35/D35)^(1/9))-1,"-")</f>
        <v>-1</v>
      </c>
      <c r="V35" s="216" t="e">
        <f aca="false">S35</f>
        <v>#DIV/0!</v>
      </c>
      <c r="W35" s="217" t="e">
        <f aca="false">V35</f>
        <v>#DIV/0!</v>
      </c>
      <c r="X35" s="218" t="e">
        <f aca="false">W35</f>
        <v>#DIV/0!</v>
      </c>
    </row>
    <row r="36" customFormat="false" ht="13.5" hidden="false" customHeight="true" outlineLevel="0" collapsed="false">
      <c r="A36" s="397" t="s">
        <v>203</v>
      </c>
      <c r="B36" s="398" t="n">
        <v>1901</v>
      </c>
      <c r="C36" s="398" t="n">
        <v>2336</v>
      </c>
      <c r="D36" s="398" t="n">
        <v>2977</v>
      </c>
      <c r="E36" s="398" t="n">
        <v>2697</v>
      </c>
      <c r="F36" s="398" t="n">
        <v>4639</v>
      </c>
      <c r="G36" s="398" t="n">
        <v>4671</v>
      </c>
      <c r="H36" s="398" t="n">
        <v>5605</v>
      </c>
      <c r="I36" s="398" t="n">
        <v>5590</v>
      </c>
      <c r="J36" s="399" t="n">
        <v>0</v>
      </c>
      <c r="K36" s="399" t="n">
        <v>0</v>
      </c>
      <c r="L36" s="399" t="n">
        <v>0</v>
      </c>
      <c r="M36" s="399" t="n">
        <v>0</v>
      </c>
      <c r="R36" s="214" t="e">
        <f aca="false">((P36/M36)^(1/3))-1</f>
        <v>#DIV/0!</v>
      </c>
      <c r="S36" s="215" t="e">
        <f aca="false">((M36/J36)^(1/3))-1</f>
        <v>#DIV/0!</v>
      </c>
      <c r="T36" s="215" t="n">
        <f aca="false">((M36/H36)^(1/5))-1</f>
        <v>-1</v>
      </c>
      <c r="U36" s="215" t="n">
        <f aca="false">IF(D36&gt;0,((M36/D36)^(1/9))-1,"-")</f>
        <v>-1</v>
      </c>
      <c r="V36" s="216" t="e">
        <f aca="false">S36</f>
        <v>#DIV/0!</v>
      </c>
      <c r="W36" s="217" t="e">
        <f aca="false">V36</f>
        <v>#DIV/0!</v>
      </c>
      <c r="X36" s="218" t="e">
        <f aca="false">W36</f>
        <v>#DIV/0!</v>
      </c>
    </row>
    <row r="37" customFormat="false" ht="13.5" hidden="false" customHeight="true" outlineLevel="0" collapsed="false">
      <c r="A37" s="397" t="s">
        <v>204</v>
      </c>
      <c r="B37" s="398" t="n">
        <v>1384</v>
      </c>
      <c r="C37" s="398" t="n">
        <v>2051</v>
      </c>
      <c r="D37" s="398" t="n">
        <v>2924</v>
      </c>
      <c r="E37" s="398" t="n">
        <v>2768</v>
      </c>
      <c r="F37" s="398" t="n">
        <v>4641</v>
      </c>
      <c r="G37" s="398" t="n">
        <v>4850</v>
      </c>
      <c r="H37" s="398" t="n">
        <v>5546</v>
      </c>
      <c r="I37" s="399" t="n">
        <v>0</v>
      </c>
      <c r="J37" s="399" t="n">
        <v>0</v>
      </c>
      <c r="K37" s="399" t="n">
        <v>0</v>
      </c>
      <c r="L37" s="399" t="n">
        <v>0</v>
      </c>
      <c r="M37" s="399" t="n">
        <v>0</v>
      </c>
      <c r="R37" s="214" t="e">
        <f aca="false">((P37/M37)^(1/3))-1</f>
        <v>#DIV/0!</v>
      </c>
      <c r="S37" s="215" t="e">
        <f aca="false">((M37/J37)^(1/3))-1</f>
        <v>#DIV/0!</v>
      </c>
      <c r="T37" s="215" t="n">
        <f aca="false">((M37/H37)^(1/5))-1</f>
        <v>-1</v>
      </c>
      <c r="U37" s="215" t="n">
        <f aca="false">IF(D37&gt;0,((M37/D37)^(1/9))-1,"-")</f>
        <v>-1</v>
      </c>
      <c r="V37" s="216" t="e">
        <f aca="false">S37</f>
        <v>#DIV/0!</v>
      </c>
      <c r="W37" s="217" t="e">
        <f aca="false">V37</f>
        <v>#DIV/0!</v>
      </c>
      <c r="X37" s="218" t="e">
        <f aca="false">W37</f>
        <v>#DIV/0!</v>
      </c>
    </row>
    <row r="38" customFormat="false" ht="13.5" hidden="false" customHeight="true" outlineLevel="0" collapsed="false">
      <c r="A38" s="397" t="s">
        <v>206</v>
      </c>
      <c r="B38" s="398" t="n">
        <v>991</v>
      </c>
      <c r="C38" s="398" t="n">
        <v>1493</v>
      </c>
      <c r="D38" s="398" t="n">
        <v>1994</v>
      </c>
      <c r="E38" s="398" t="n">
        <v>2148</v>
      </c>
      <c r="F38" s="398" t="n">
        <v>2676</v>
      </c>
      <c r="G38" s="398" t="n">
        <v>3100</v>
      </c>
      <c r="H38" s="398" t="n">
        <v>3381</v>
      </c>
      <c r="I38" s="398" t="n">
        <v>4043</v>
      </c>
      <c r="J38" s="399" t="n">
        <v>0</v>
      </c>
      <c r="K38" s="399" t="n">
        <v>0</v>
      </c>
      <c r="L38" s="399" t="n">
        <v>0</v>
      </c>
      <c r="M38" s="399" t="n">
        <v>0</v>
      </c>
      <c r="R38" s="214" t="e">
        <f aca="false">((P38/M38)^(1/3))-1</f>
        <v>#DIV/0!</v>
      </c>
      <c r="S38" s="215" t="e">
        <f aca="false">((M38/J38)^(1/3))-1</f>
        <v>#DIV/0!</v>
      </c>
      <c r="T38" s="215" t="n">
        <f aca="false">((M38/H38)^(1/5))-1</f>
        <v>-1</v>
      </c>
      <c r="U38" s="215" t="n">
        <f aca="false">IF(D38&gt;0,((M38/D38)^(1/9))-1,"-")</f>
        <v>-1</v>
      </c>
      <c r="V38" s="216" t="e">
        <f aca="false">S38</f>
        <v>#DIV/0!</v>
      </c>
      <c r="W38" s="217" t="e">
        <f aca="false">V38</f>
        <v>#DIV/0!</v>
      </c>
      <c r="X38" s="218" t="e">
        <f aca="false">W38</f>
        <v>#DIV/0!</v>
      </c>
    </row>
    <row r="39" customFormat="false" ht="13.5" hidden="false" customHeight="true" outlineLevel="0" collapsed="false">
      <c r="A39" s="397" t="s">
        <v>207</v>
      </c>
      <c r="B39" s="398" t="n">
        <v>5179</v>
      </c>
      <c r="C39" s="398" t="n">
        <v>6027</v>
      </c>
      <c r="D39" s="398" t="n">
        <v>7009</v>
      </c>
      <c r="E39" s="398" t="n">
        <v>7121</v>
      </c>
      <c r="F39" s="398" t="n">
        <v>5531</v>
      </c>
      <c r="G39" s="398" t="n">
        <v>5569</v>
      </c>
      <c r="H39" s="398" t="n">
        <v>6223</v>
      </c>
      <c r="I39" s="398" t="n">
        <v>6864</v>
      </c>
      <c r="J39" s="399" t="n">
        <v>0</v>
      </c>
      <c r="K39" s="399" t="n">
        <v>0</v>
      </c>
      <c r="L39" s="399" t="n">
        <v>0</v>
      </c>
      <c r="M39" s="399" t="n">
        <v>0</v>
      </c>
      <c r="R39" s="214" t="e">
        <f aca="false">((P39/M39)^(1/3))-1</f>
        <v>#DIV/0!</v>
      </c>
      <c r="S39" s="215" t="e">
        <f aca="false">((M39/J39)^(1/3))-1</f>
        <v>#DIV/0!</v>
      </c>
      <c r="T39" s="215" t="n">
        <f aca="false">((M39/H39)^(1/5))-1</f>
        <v>-1</v>
      </c>
      <c r="U39" s="215" t="n">
        <f aca="false">IF(D39&gt;0,((M39/D39)^(1/9))-1,"-")</f>
        <v>-1</v>
      </c>
      <c r="V39" s="216" t="e">
        <f aca="false">S39</f>
        <v>#DIV/0!</v>
      </c>
      <c r="W39" s="217" t="e">
        <f aca="false">V39</f>
        <v>#DIV/0!</v>
      </c>
      <c r="X39" s="218" t="e">
        <f aca="false">W39</f>
        <v>#DIV/0!</v>
      </c>
    </row>
    <row r="40" customFormat="false" ht="13.5" hidden="false" customHeight="true" outlineLevel="0" collapsed="false">
      <c r="A40" s="397" t="s">
        <v>212</v>
      </c>
      <c r="B40" s="156" t="n">
        <v>0</v>
      </c>
      <c r="C40" s="156" t="n">
        <v>0</v>
      </c>
      <c r="D40" s="156" t="n">
        <v>0</v>
      </c>
      <c r="E40" s="156" t="n">
        <v>0</v>
      </c>
      <c r="F40" s="156" t="n">
        <v>0</v>
      </c>
      <c r="G40" s="156" t="n">
        <v>0</v>
      </c>
      <c r="H40" s="156" t="n">
        <v>0</v>
      </c>
      <c r="I40" s="400" t="n">
        <v>6447</v>
      </c>
      <c r="J40" s="156" t="n">
        <v>0</v>
      </c>
      <c r="K40" s="156" t="n">
        <v>0</v>
      </c>
      <c r="L40" s="156" t="n">
        <v>0</v>
      </c>
      <c r="M40" s="156" t="n">
        <v>0</v>
      </c>
      <c r="R40" s="214" t="e">
        <f aca="false">((P40/M40)^(1/3))-1</f>
        <v>#DIV/0!</v>
      </c>
      <c r="S40" s="215" t="e">
        <f aca="false">((M40/J40)^(1/3))-1</f>
        <v>#DIV/0!</v>
      </c>
      <c r="T40" s="215" t="e">
        <f aca="false">((M40/H40)^(1/5))-1</f>
        <v>#DIV/0!</v>
      </c>
      <c r="U40" s="215" t="str">
        <f aca="false">IF(D40&gt;0,((M40/D40)^(1/9))-1,"-")</f>
        <v>-</v>
      </c>
      <c r="V40" s="216" t="e">
        <f aca="false">S40</f>
        <v>#DIV/0!</v>
      </c>
      <c r="W40" s="217" t="e">
        <f aca="false">V40</f>
        <v>#DIV/0!</v>
      </c>
      <c r="X40" s="218" t="e">
        <f aca="false">W40</f>
        <v>#DIV/0!</v>
      </c>
    </row>
    <row r="41" customFormat="false" ht="13.5" hidden="false" customHeight="true" outlineLevel="0" collapsed="false">
      <c r="A41" s="397" t="s">
        <v>210</v>
      </c>
      <c r="B41" s="400" t="n">
        <v>12112</v>
      </c>
      <c r="C41" s="400" t="n">
        <v>17389</v>
      </c>
      <c r="D41" s="400" t="n">
        <v>26655</v>
      </c>
      <c r="E41" s="400" t="n">
        <v>29971</v>
      </c>
      <c r="F41" s="400" t="n">
        <v>44259</v>
      </c>
      <c r="G41" s="400" t="n">
        <v>59755</v>
      </c>
      <c r="H41" s="400" t="n">
        <v>55736</v>
      </c>
      <c r="I41" s="400" t="n">
        <v>56472</v>
      </c>
      <c r="J41" s="156" t="n">
        <v>0</v>
      </c>
      <c r="K41" s="156" t="n">
        <v>0</v>
      </c>
      <c r="L41" s="156" t="n">
        <v>0</v>
      </c>
      <c r="M41" s="156" t="n">
        <v>0</v>
      </c>
      <c r="R41" s="214" t="e">
        <f aca="false">((P41/M41)^(1/3))-1</f>
        <v>#DIV/0!</v>
      </c>
      <c r="S41" s="215" t="e">
        <f aca="false">((M41/J41)^(1/3))-1</f>
        <v>#DIV/0!</v>
      </c>
      <c r="T41" s="215" t="n">
        <f aca="false">((M41/H41)^(1/5))-1</f>
        <v>-1</v>
      </c>
      <c r="U41" s="215" t="n">
        <f aca="false">IF(D41&gt;0,((M41/D41)^(1/9))-1,"-")</f>
        <v>-1</v>
      </c>
      <c r="V41" s="216" t="e">
        <f aca="false">S41</f>
        <v>#DIV/0!</v>
      </c>
      <c r="W41" s="217" t="e">
        <f aca="false">V41</f>
        <v>#DIV/0!</v>
      </c>
      <c r="X41" s="218" t="e">
        <f aca="false">W41</f>
        <v>#DIV/0!</v>
      </c>
    </row>
    <row r="42" customFormat="false" ht="13.5" hidden="false" customHeight="true" outlineLevel="0" collapsed="false">
      <c r="A42" s="389"/>
      <c r="R42" s="214" t="e">
        <f aca="false">((P42/M42)^(1/3))-1</f>
        <v>#DIV/0!</v>
      </c>
      <c r="S42" s="215" t="e">
        <f aca="false">((M42/J42)^(1/3))-1</f>
        <v>#DIV/0!</v>
      </c>
      <c r="T42" s="215" t="e">
        <f aca="false">((M42/H42)^(1/5))-1</f>
        <v>#DIV/0!</v>
      </c>
      <c r="U42" s="215" t="str">
        <f aca="false">IF(D42&gt;0,((M42/D42)^(1/9))-1,"-")</f>
        <v>-</v>
      </c>
      <c r="V42" s="216" t="e">
        <f aca="false">S42</f>
        <v>#DIV/0!</v>
      </c>
      <c r="W42" s="217" t="e">
        <f aca="false">V42</f>
        <v>#DIV/0!</v>
      </c>
      <c r="X42" s="218" t="e">
        <f aca="false">W42</f>
        <v>#DIV/0!</v>
      </c>
    </row>
    <row r="43" customFormat="false" ht="13.5" hidden="false" customHeight="true" outlineLevel="0" collapsed="false">
      <c r="A43" s="389" t="s">
        <v>191</v>
      </c>
      <c r="R43" s="214" t="e">
        <f aca="false">((P43/M43)^(1/3))-1</f>
        <v>#DIV/0!</v>
      </c>
      <c r="S43" s="215" t="e">
        <f aca="false">((M43/J43)^(1/3))-1</f>
        <v>#DIV/0!</v>
      </c>
      <c r="T43" s="215" t="e">
        <f aca="false">((M43/H43)^(1/5))-1</f>
        <v>#DIV/0!</v>
      </c>
      <c r="U43" s="215" t="str">
        <f aca="false">IF(D43&gt;0,((M43/D43)^(1/9))-1,"-")</f>
        <v>-</v>
      </c>
      <c r="V43" s="216" t="e">
        <f aca="false">S43</f>
        <v>#DIV/0!</v>
      </c>
      <c r="W43" s="217" t="e">
        <f aca="false">V43</f>
        <v>#DIV/0!</v>
      </c>
      <c r="X43" s="218" t="e">
        <f aca="false">W43</f>
        <v>#DIV/0!</v>
      </c>
    </row>
    <row r="44" customFormat="false" ht="12.75" hidden="false" customHeight="false" outlineLevel="0" collapsed="false">
      <c r="A44" s="156" t="s">
        <v>208</v>
      </c>
      <c r="B44" s="400" t="n">
        <f aca="false">SUM(B35:B43)</f>
        <v>30137</v>
      </c>
      <c r="C44" s="400" t="n">
        <f aca="false">SUM(C35:C43)</f>
        <v>39341</v>
      </c>
      <c r="D44" s="400" t="n">
        <f aca="false">SUM(D35:D43)</f>
        <v>49903</v>
      </c>
      <c r="E44" s="400" t="n">
        <f aca="false">SUM(E35:E43)</f>
        <v>51762</v>
      </c>
      <c r="F44" s="400" t="n">
        <f aca="false">SUM(F35:F43)</f>
        <v>71427</v>
      </c>
      <c r="G44" s="400" t="n">
        <f aca="false">SUM(G35:G43)</f>
        <v>86580</v>
      </c>
      <c r="H44" s="400" t="n">
        <f aca="false">SUM(H35:H43)</f>
        <v>85530</v>
      </c>
      <c r="I44" s="400" t="n">
        <f aca="false">SUM(I35:I43)</f>
        <v>89899</v>
      </c>
      <c r="J44" s="400" t="n">
        <f aca="false">SUM(J35:J43)</f>
        <v>0</v>
      </c>
      <c r="K44" s="400" t="n">
        <f aca="false">SUM(K35:K43)</f>
        <v>0</v>
      </c>
      <c r="L44" s="400" t="n">
        <f aca="false">SUM(L35:L43)</f>
        <v>0</v>
      </c>
      <c r="M44" s="400" t="n">
        <f aca="false">SUM(M35:M43)</f>
        <v>0</v>
      </c>
      <c r="R44" s="214" t="e">
        <f aca="false">((P44/M44)^(1/3))-1</f>
        <v>#DIV/0!</v>
      </c>
      <c r="S44" s="215" t="e">
        <f aca="false">((M44/J44)^(1/3))-1</f>
        <v>#DIV/0!</v>
      </c>
      <c r="T44" s="215" t="n">
        <f aca="false">((M44/H44)^(1/5))-1</f>
        <v>-1</v>
      </c>
      <c r="U44" s="215" t="n">
        <f aca="false">IF(D44&gt;0,((M44/D44)^(1/9))-1,"-")</f>
        <v>-1</v>
      </c>
      <c r="V44" s="216" t="e">
        <f aca="false">S44</f>
        <v>#DIV/0!</v>
      </c>
      <c r="W44" s="217" t="e">
        <f aca="false">V44</f>
        <v>#DIV/0!</v>
      </c>
      <c r="X44" s="218" t="e">
        <f aca="false">W44</f>
        <v>#DIV/0!</v>
      </c>
    </row>
    <row r="51" customFormat="false" ht="13.5" hidden="false" customHeight="true" outlineLevel="0" collapsed="false">
      <c r="I51" s="349" t="str">
        <f aca="false">IF(I52&gt;$M$1,IF(I52&lt;=$N$1,"1","0"),"0")</f>
        <v>0</v>
      </c>
      <c r="J51" s="349" t="str">
        <f aca="false">IF(J52&gt;$M$1,IF(J52&lt;=$N$1,"1","0"),"0")</f>
        <v>0</v>
      </c>
      <c r="K51" s="349" t="str">
        <f aca="false">IF(K52&gt;$M$1,IF(K52&lt;=$N$1,"1","0"),"0")</f>
        <v>0</v>
      </c>
      <c r="L51" s="349" t="str">
        <f aca="false">IF(L52&gt;$M$1,IF(L52&lt;=$N$1,"1","0"),"0")</f>
        <v>0</v>
      </c>
      <c r="M51" s="349" t="str">
        <f aca="false">IF(M52&gt;$M$1,IF(M52&lt;=$N$1,"1","0"),"0")</f>
        <v>0</v>
      </c>
      <c r="N51" s="349" t="str">
        <f aca="false">IF(N52&gt;$M$1,IF(N52&lt;=$N$1,"1","0"),"0")</f>
        <v>1</v>
      </c>
      <c r="O51" s="349" t="str">
        <f aca="false">IF(O52&gt;$M$1,IF(O52&lt;=$N$1,"1","0"),"0")</f>
        <v>1</v>
      </c>
      <c r="P51" s="349" t="str">
        <f aca="false">IF(P52&gt;$M$1,IF(P52&lt;=$N$1,"1","0"),"0")</f>
        <v>1</v>
      </c>
      <c r="Q51" s="349" t="str">
        <f aca="false">IF(Q52&gt;$M$1,IF(Q52&lt;=$N$1,"1","0"),"0")</f>
        <v>1</v>
      </c>
    </row>
    <row r="52" customFormat="false" ht="12.75" hidden="false" customHeight="false" outlineLevel="0" collapsed="false">
      <c r="A52" s="302" t="s">
        <v>168</v>
      </c>
      <c r="B52" s="207"/>
      <c r="C52" s="207"/>
      <c r="D52" s="350" t="n">
        <f aca="false">'Data Sheet'!B41</f>
        <v>45291</v>
      </c>
      <c r="E52" s="351" t="n">
        <f aca="false">'Data Sheet'!C41</f>
        <v>45382</v>
      </c>
      <c r="F52" s="351" t="n">
        <f aca="false">'Data Sheet'!D41</f>
        <v>45473</v>
      </c>
      <c r="G52" s="351" t="n">
        <f aca="false">'Data Sheet'!E41</f>
        <v>45565</v>
      </c>
      <c r="H52" s="351" t="n">
        <f aca="false">'Data Sheet'!F41</f>
        <v>45657</v>
      </c>
      <c r="I52" s="351" t="n">
        <f aca="false">'Data Sheet'!G41</f>
        <v>45747</v>
      </c>
      <c r="J52" s="351" t="n">
        <f aca="false">'Data Sheet'!H41</f>
        <v>45838</v>
      </c>
      <c r="K52" s="351" t="n">
        <f aca="false">'Data Sheet'!I41</f>
        <v>45930</v>
      </c>
      <c r="L52" s="351" t="n">
        <f aca="false">'Data Sheet'!J41</f>
        <v>46022</v>
      </c>
      <c r="M52" s="351" t="n">
        <f aca="false">'Data Sheet'!K41</f>
        <v>46112</v>
      </c>
      <c r="N52" s="350" t="n">
        <f aca="false">M52+90</f>
        <v>46202</v>
      </c>
      <c r="O52" s="351" t="n">
        <f aca="false">N52+90</f>
        <v>46292</v>
      </c>
      <c r="P52" s="351" t="n">
        <f aca="false">O52+90</f>
        <v>46382</v>
      </c>
      <c r="Q52" s="352" t="n">
        <f aca="false">P52+90</f>
        <v>46472</v>
      </c>
      <c r="R52" s="353"/>
      <c r="S52" s="207"/>
      <c r="T52" s="207"/>
      <c r="U52" s="207"/>
      <c r="V52" s="171"/>
      <c r="X52" s="180"/>
    </row>
    <row r="53" customFormat="false" ht="12.75" hidden="false" customHeight="false" outlineLevel="0" collapsed="false">
      <c r="A53" s="226" t="s">
        <v>170</v>
      </c>
      <c r="B53" s="156" t="s">
        <v>105</v>
      </c>
      <c r="D53" s="172" t="n">
        <f aca="false">'Data Sheet'!B42</f>
        <v>757.77</v>
      </c>
      <c r="E53" s="173" t="n">
        <f aca="false">'Data Sheet'!C42</f>
        <v>863.41</v>
      </c>
      <c r="F53" s="173" t="n">
        <f aca="false">'Data Sheet'!D42</f>
        <v>907.86</v>
      </c>
      <c r="G53" s="173" t="n">
        <f aca="false">'Data Sheet'!E42</f>
        <v>927.42</v>
      </c>
      <c r="H53" s="173" t="n">
        <f aca="false">'Data Sheet'!F42</f>
        <v>996.42</v>
      </c>
      <c r="I53" s="173" t="n">
        <f aca="false">'Data Sheet'!G42</f>
        <v>1037.07</v>
      </c>
      <c r="J53" s="173" t="n">
        <f aca="false">'Data Sheet'!H42</f>
        <v>1039.94</v>
      </c>
      <c r="K53" s="173" t="n">
        <f aca="false">'Data Sheet'!I42</f>
        <v>1035.5</v>
      </c>
      <c r="L53" s="173" t="n">
        <f aca="false">'Data Sheet'!J42</f>
        <v>1017.07</v>
      </c>
      <c r="M53" s="173" t="n">
        <f aca="false">'Data Sheet'!K42</f>
        <v>1172.76</v>
      </c>
      <c r="N53" s="354" t="n">
        <f aca="false">J53*(1+$V$2)</f>
        <v>1196.48363894128</v>
      </c>
      <c r="O53" s="355" t="n">
        <f aca="false">K53*(1+$V$2)</f>
        <v>1191.37527946198</v>
      </c>
      <c r="P53" s="355" t="n">
        <f aca="false">L53*(1+$V$2)</f>
        <v>1170.17098549725</v>
      </c>
      <c r="Q53" s="356" t="n">
        <f aca="false">M53*(1+$V$2)</f>
        <v>1349.29722138275</v>
      </c>
      <c r="R53" s="173"/>
      <c r="S53" s="357"/>
      <c r="V53" s="171"/>
      <c r="X53" s="180"/>
    </row>
    <row r="54" customFormat="false" ht="12.75" hidden="false" customHeight="false" outlineLevel="0" collapsed="false">
      <c r="A54" s="226" t="s">
        <v>199</v>
      </c>
      <c r="B54" s="156" t="s">
        <v>105</v>
      </c>
      <c r="D54" s="172" t="n">
        <f aca="false">'Data Sheet'!B47+'Data Sheet'!B46</f>
        <v>86.77</v>
      </c>
      <c r="E54" s="156" t="n">
        <f aca="false">'Data Sheet'!C47+'Data Sheet'!C46</f>
        <v>84.57</v>
      </c>
      <c r="F54" s="156" t="n">
        <f aca="false">'Data Sheet'!D47+'Data Sheet'!D46</f>
        <v>88.02</v>
      </c>
      <c r="G54" s="156" t="n">
        <f aca="false">'Data Sheet'!E47+'Data Sheet'!E46</f>
        <v>96.67</v>
      </c>
      <c r="H54" s="156" t="n">
        <f aca="false">'Data Sheet'!F47+'Data Sheet'!F46</f>
        <v>101.95</v>
      </c>
      <c r="I54" s="156" t="n">
        <f aca="false">'Data Sheet'!G47+'Data Sheet'!G46</f>
        <v>120.19</v>
      </c>
      <c r="J54" s="156" t="n">
        <f aca="false">'Data Sheet'!H47+'Data Sheet'!H46</f>
        <v>121.98</v>
      </c>
      <c r="K54" s="156" t="n">
        <f aca="false">'Data Sheet'!I47+'Data Sheet'!I46</f>
        <v>119.1</v>
      </c>
      <c r="L54" s="156" t="n">
        <f aca="false">'Data Sheet'!J47+'Data Sheet'!J46</f>
        <v>121.63</v>
      </c>
      <c r="M54" s="156" t="n">
        <f aca="false">'Data Sheet'!K47+'Data Sheet'!K46</f>
        <v>110.32</v>
      </c>
      <c r="N54" s="354" t="n">
        <f aca="false">Financial!M101+Financial!M114-Financial!M115</f>
        <v>122.73900042176</v>
      </c>
      <c r="O54" s="173" t="n">
        <f aca="false">Financial!N101+Financial!N114-Financial!N115</f>
        <v>124.127107803778</v>
      </c>
      <c r="P54" s="173" t="n">
        <f aca="false">Financial!O101+Financial!O114-Financial!O115</f>
        <v>119.521551841812</v>
      </c>
      <c r="Q54" s="173" t="n">
        <f aca="false">Financial!P101+Financial!P114-Financial!P115</f>
        <v>132.398700801285</v>
      </c>
    </row>
    <row r="59" customFormat="false" ht="13.5" hidden="false" customHeight="true" outlineLevel="0" collapsed="false">
      <c r="A59" s="156" t="s">
        <v>201</v>
      </c>
      <c r="D59" s="396" t="n">
        <f aca="false">D50</f>
        <v>0</v>
      </c>
      <c r="E59" s="396" t="n">
        <f aca="false">E50</f>
        <v>0</v>
      </c>
      <c r="F59" s="396" t="n">
        <f aca="false">F50</f>
        <v>0</v>
      </c>
      <c r="G59" s="396" t="n">
        <f aca="false">G50</f>
        <v>0</v>
      </c>
      <c r="H59" s="396" t="n">
        <f aca="false">H50</f>
        <v>0</v>
      </c>
      <c r="I59" s="396" t="n">
        <f aca="false">I50</f>
        <v>0</v>
      </c>
      <c r="J59" s="396" t="n">
        <f aca="false">J50</f>
        <v>0</v>
      </c>
      <c r="K59" s="396" t="n">
        <f aca="false">K50</f>
        <v>0</v>
      </c>
      <c r="L59" s="396" t="n">
        <f aca="false">L50</f>
        <v>0</v>
      </c>
      <c r="M59" s="396" t="n">
        <f aca="false">M50</f>
        <v>0</v>
      </c>
    </row>
    <row r="60" customFormat="false" ht="13.5" hidden="false" customHeight="true" outlineLevel="0" collapsed="false">
      <c r="A60" s="397" t="s">
        <v>202</v>
      </c>
      <c r="B60" s="398" t="n">
        <v>21062</v>
      </c>
      <c r="C60" s="398" t="n">
        <v>27146</v>
      </c>
      <c r="D60" s="398" t="n">
        <v>35112</v>
      </c>
      <c r="E60" s="398" t="n">
        <v>38566</v>
      </c>
      <c r="F60" s="398" t="n">
        <v>44163</v>
      </c>
      <c r="G60" s="398" t="n">
        <v>47505</v>
      </c>
      <c r="H60" s="398" t="n">
        <v>48418</v>
      </c>
      <c r="I60" s="398" t="n">
        <v>57938</v>
      </c>
      <c r="J60" s="398" t="n">
        <v>61095</v>
      </c>
      <c r="K60" s="398" t="n">
        <v>65634</v>
      </c>
      <c r="L60" s="398" t="n">
        <v>75126</v>
      </c>
      <c r="M60" s="398" t="n">
        <v>86127</v>
      </c>
      <c r="N60" s="210" t="n">
        <f aca="false">M60*(1+$V60)</f>
        <v>96571.8468479516</v>
      </c>
      <c r="O60" s="211" t="n">
        <f aca="false">N60*(1+$W60)</f>
        <v>108283.367627158</v>
      </c>
      <c r="P60" s="212" t="n">
        <f aca="false">O60*(1+$X60)</f>
        <v>121415.175202553</v>
      </c>
      <c r="R60" s="214" t="n">
        <f aca="false">((P60/M60)^(1/3))-1</f>
        <v>0.121272618899434</v>
      </c>
      <c r="S60" s="215" t="n">
        <f aca="false">((M60/J60)^(1/3))-1</f>
        <v>0.121272618899434</v>
      </c>
      <c r="T60" s="215" t="n">
        <f aca="false">((M60/H60)^(1/5))-1</f>
        <v>0.122086906801074</v>
      </c>
      <c r="U60" s="215" t="n">
        <f aca="false">IF(D60&gt;0,((M60/D60)^(1/9))-1,"-")</f>
        <v>0.104836961177195</v>
      </c>
      <c r="V60" s="216" t="n">
        <f aca="false">S60</f>
        <v>0.121272618899434</v>
      </c>
      <c r="W60" s="217" t="n">
        <f aca="false">V60</f>
        <v>0.121272618899434</v>
      </c>
      <c r="X60" s="218" t="n">
        <f aca="false">W60</f>
        <v>0.121272618899434</v>
      </c>
    </row>
    <row r="61" customFormat="false" ht="13.5" hidden="false" customHeight="true" outlineLevel="0" collapsed="false">
      <c r="A61" s="397" t="s">
        <v>203</v>
      </c>
      <c r="B61" s="398" t="n">
        <v>6205</v>
      </c>
      <c r="C61" s="398" t="n">
        <v>7540</v>
      </c>
      <c r="D61" s="398" t="n">
        <v>9614</v>
      </c>
      <c r="E61" s="398" t="n">
        <v>10934</v>
      </c>
      <c r="F61" s="398" t="n">
        <v>18040</v>
      </c>
      <c r="G61" s="398" t="n">
        <v>19521</v>
      </c>
      <c r="H61" s="398" t="n">
        <v>21131</v>
      </c>
      <c r="I61" s="398" t="n">
        <v>23925</v>
      </c>
      <c r="J61" s="398" t="n">
        <v>25978</v>
      </c>
      <c r="K61" s="398" t="n">
        <v>27077</v>
      </c>
      <c r="L61" s="398" t="n">
        <v>31874</v>
      </c>
      <c r="M61" s="398" t="n">
        <v>37653</v>
      </c>
      <c r="N61" s="210" t="n">
        <f aca="false">M61*(1+$V61)</f>
        <v>42611.8976198746</v>
      </c>
      <c r="O61" s="211" t="n">
        <f aca="false">N61*(1+$W61)</f>
        <v>48223.8817296542</v>
      </c>
      <c r="P61" s="212" t="n">
        <f aca="false">O61*(1+$X61)</f>
        <v>54574.9637770421</v>
      </c>
      <c r="R61" s="214" t="n">
        <f aca="false">((P61/M61)^(1/3))-1</f>
        <v>0.131699934132063</v>
      </c>
      <c r="S61" s="215" t="n">
        <f aca="false">((M61/J61)^(1/3))-1</f>
        <v>0.131699934132063</v>
      </c>
      <c r="T61" s="215" t="n">
        <f aca="false">((M61/H61)^(1/5))-1</f>
        <v>0.122473009271019</v>
      </c>
      <c r="U61" s="215" t="n">
        <f aca="false">IF(D61&gt;0,((M61/D61)^(1/9))-1,"-")</f>
        <v>0.163797109086988</v>
      </c>
      <c r="V61" s="216" t="n">
        <f aca="false">S61</f>
        <v>0.131699934132063</v>
      </c>
      <c r="W61" s="217" t="n">
        <f aca="false">V61</f>
        <v>0.131699934132063</v>
      </c>
      <c r="X61" s="218" t="n">
        <f aca="false">W61</f>
        <v>0.131699934132063</v>
      </c>
    </row>
    <row r="62" customFormat="false" ht="13.5" hidden="false" customHeight="true" outlineLevel="0" collapsed="false">
      <c r="A62" s="397" t="s">
        <v>204</v>
      </c>
      <c r="B62" s="398" t="n">
        <v>5954</v>
      </c>
      <c r="C62" s="398" t="n">
        <v>8401</v>
      </c>
      <c r="D62" s="398" t="n">
        <v>11309</v>
      </c>
      <c r="E62" s="398" t="n">
        <v>12829</v>
      </c>
      <c r="F62" s="398" t="n">
        <v>19204</v>
      </c>
      <c r="G62" s="398" t="n">
        <v>20459</v>
      </c>
      <c r="H62" s="398" t="n">
        <v>21055</v>
      </c>
      <c r="I62" s="398" t="n">
        <v>25164</v>
      </c>
      <c r="J62" s="398" t="n">
        <v>26280</v>
      </c>
      <c r="K62" s="398" t="n">
        <v>25589</v>
      </c>
      <c r="L62" s="398" t="n">
        <v>30715</v>
      </c>
      <c r="M62" s="398" t="n">
        <v>37506</v>
      </c>
      <c r="N62" s="210" t="n">
        <f aca="false">M62*(1+$V62)</f>
        <v>42227.2253022427</v>
      </c>
      <c r="O62" s="211" t="n">
        <f aca="false">N62*(1+$W62)</f>
        <v>47542.7546719555</v>
      </c>
      <c r="P62" s="212" t="n">
        <f aca="false">O62*(1+$X62)</f>
        <v>53527.398630137</v>
      </c>
      <c r="R62" s="214" t="n">
        <f aca="false">((P62/M62)^(1/3))-1</f>
        <v>0.125879200721023</v>
      </c>
      <c r="S62" s="215" t="n">
        <f aca="false">((M62/J62)^(1/3))-1</f>
        <v>0.125879200721023</v>
      </c>
      <c r="T62" s="215" t="n">
        <f aca="false">((M62/H62)^(1/5))-1</f>
        <v>0.122403728514221</v>
      </c>
      <c r="U62" s="215" t="n">
        <f aca="false">IF(D62&gt;0,((M62/D62)^(1/9))-1,"-")</f>
        <v>0.142491425850543</v>
      </c>
      <c r="V62" s="216" t="n">
        <f aca="false">S62</f>
        <v>0.125879200721023</v>
      </c>
      <c r="W62" s="217" t="n">
        <f aca="false">V62</f>
        <v>0.125879200721023</v>
      </c>
      <c r="X62" s="218" t="n">
        <f aca="false">W62</f>
        <v>0.125879200721023</v>
      </c>
    </row>
    <row r="63" customFormat="false" ht="13.5" hidden="false" customHeight="true" outlineLevel="0" collapsed="false">
      <c r="A63" s="397" t="s">
        <v>205</v>
      </c>
      <c r="B63" s="399" t="n">
        <v>0</v>
      </c>
      <c r="C63" s="398" t="n">
        <v>0</v>
      </c>
      <c r="D63" s="398" t="n">
        <v>0</v>
      </c>
      <c r="E63" s="398" t="n">
        <v>0</v>
      </c>
      <c r="F63" s="398" t="n">
        <v>0</v>
      </c>
      <c r="G63" s="398" t="n">
        <v>0</v>
      </c>
      <c r="H63" s="398" t="n">
        <v>0</v>
      </c>
      <c r="I63" s="398" t="n">
        <v>0</v>
      </c>
      <c r="J63" s="398" t="n">
        <v>0</v>
      </c>
      <c r="K63" s="398" t="n">
        <v>16968</v>
      </c>
      <c r="L63" s="398" t="n">
        <v>20462</v>
      </c>
      <c r="M63" s="398" t="n">
        <v>24605</v>
      </c>
      <c r="N63" s="210" t="e">
        <f aca="false">M63*(1+$V63)</f>
        <v>#DIV/0!</v>
      </c>
      <c r="O63" s="211" t="e">
        <f aca="false">N63*(1+$W63)</f>
        <v>#DIV/0!</v>
      </c>
      <c r="P63" s="212" t="e">
        <f aca="false">O63*(1+$X63)</f>
        <v>#DIV/0!</v>
      </c>
      <c r="R63" s="214" t="e">
        <f aca="false">((P63/M63)^(1/3))-1</f>
        <v>#DIV/0!</v>
      </c>
      <c r="S63" s="215" t="e">
        <f aca="false">((M63/J63)^(1/3))-1</f>
        <v>#DIV/0!</v>
      </c>
      <c r="T63" s="215" t="e">
        <f aca="false">((M63/H63)^(1/5))-1</f>
        <v>#DIV/0!</v>
      </c>
      <c r="U63" s="215" t="str">
        <f aca="false">IF(D63&gt;0,((M63/D63)^(1/9))-1,"-")</f>
        <v>-</v>
      </c>
      <c r="V63" s="216" t="e">
        <f aca="false">S63</f>
        <v>#DIV/0!</v>
      </c>
      <c r="W63" s="217" t="e">
        <f aca="false">V63</f>
        <v>#DIV/0!</v>
      </c>
      <c r="X63" s="218" t="e">
        <f aca="false">W63</f>
        <v>#DIV/0!</v>
      </c>
    </row>
    <row r="64" customFormat="false" ht="13.5" hidden="false" customHeight="true" outlineLevel="0" collapsed="false">
      <c r="A64" s="397" t="s">
        <v>206</v>
      </c>
      <c r="B64" s="398" t="n">
        <v>3801</v>
      </c>
      <c r="C64" s="398" t="n">
        <v>5216</v>
      </c>
      <c r="D64" s="398" t="n">
        <v>6989</v>
      </c>
      <c r="E64" s="398" t="n">
        <v>9242</v>
      </c>
      <c r="F64" s="398" t="n">
        <v>10909</v>
      </c>
      <c r="G64" s="398" t="n">
        <v>12486</v>
      </c>
      <c r="H64" s="398" t="n">
        <v>13361</v>
      </c>
      <c r="I64" s="398" t="n">
        <v>15682</v>
      </c>
      <c r="J64" s="398" t="n">
        <v>16468</v>
      </c>
      <c r="K64" s="398" t="n">
        <v>15950</v>
      </c>
      <c r="L64" s="398" t="n">
        <v>18610</v>
      </c>
      <c r="M64" s="398" t="n">
        <v>21236</v>
      </c>
      <c r="N64" s="210" t="n">
        <f aca="false">M64*(1+$V64)</f>
        <v>23114.4378705111</v>
      </c>
      <c r="O64" s="211" t="n">
        <f aca="false">N64*(1+$W64)</f>
        <v>25159.0336254341</v>
      </c>
      <c r="P64" s="212" t="n">
        <f aca="false">O64*(1+$X64)</f>
        <v>27384.484819043</v>
      </c>
      <c r="R64" s="214" t="n">
        <f aca="false">((P64/M64)^(1/3))-1</f>
        <v>0.088455352727026</v>
      </c>
      <c r="S64" s="215" t="n">
        <f aca="false">((M64/J64)^(1/3))-1</f>
        <v>0.088455352727026</v>
      </c>
      <c r="T64" s="215" t="n">
        <f aca="false">((M64/H64)^(1/5))-1</f>
        <v>0.0971013527049751</v>
      </c>
      <c r="U64" s="215" t="n">
        <f aca="false">IF(D64&gt;0,((M64/D64)^(1/9))-1,"-")</f>
        <v>0.131432450888476</v>
      </c>
      <c r="V64" s="216" t="n">
        <f aca="false">S64</f>
        <v>0.088455352727026</v>
      </c>
      <c r="W64" s="217" t="n">
        <f aca="false">V64</f>
        <v>0.088455352727026</v>
      </c>
      <c r="X64" s="218" t="n">
        <f aca="false">W64</f>
        <v>0.088455352727026</v>
      </c>
    </row>
    <row r="65" customFormat="false" ht="13.5" hidden="false" customHeight="true" outlineLevel="0" collapsed="false">
      <c r="A65" s="397" t="s">
        <v>207</v>
      </c>
      <c r="B65" s="398" t="n">
        <v>11872</v>
      </c>
      <c r="C65" s="398" t="n">
        <v>14687</v>
      </c>
      <c r="D65" s="398" t="n">
        <v>18785</v>
      </c>
      <c r="E65" s="398" t="n">
        <v>23078</v>
      </c>
      <c r="F65" s="398" t="n">
        <v>16330</v>
      </c>
      <c r="G65" s="398" t="n">
        <v>17995</v>
      </c>
      <c r="H65" s="398" t="n">
        <v>19139</v>
      </c>
      <c r="I65" s="398" t="n">
        <v>23754</v>
      </c>
      <c r="J65" s="398" t="n">
        <v>27128</v>
      </c>
      <c r="K65" s="398" t="n">
        <v>12959</v>
      </c>
      <c r="L65" s="398" t="n">
        <v>14967</v>
      </c>
      <c r="M65" s="398" t="n">
        <v>18331</v>
      </c>
      <c r="N65" s="210" t="n">
        <f aca="false">M65*(1+$V65)</f>
        <v>16085.7859111345</v>
      </c>
      <c r="O65" s="211" t="n">
        <f aca="false">N65*(1+$W65)</f>
        <v>14115.5697113553</v>
      </c>
      <c r="P65" s="212" t="n">
        <f aca="false">O65*(1+$X65)</f>
        <v>12386.6691610145</v>
      </c>
      <c r="R65" s="214" t="n">
        <f aca="false">((P65/M65)^(1/3))-1</f>
        <v>-0.122481811623233</v>
      </c>
      <c r="S65" s="215" t="n">
        <f aca="false">((M65/J65)^(1/3))-1</f>
        <v>-0.122481811623233</v>
      </c>
      <c r="T65" s="215" t="n">
        <f aca="false">((M65/H65)^(1/5))-1</f>
        <v>-0.00858979950041661</v>
      </c>
      <c r="U65" s="215" t="n">
        <f aca="false">IF(D65&gt;0,((M65/D65)^(1/9))-1,"-")</f>
        <v>-0.00271464902377239</v>
      </c>
      <c r="V65" s="216" t="n">
        <f aca="false">S65</f>
        <v>-0.122481811623233</v>
      </c>
      <c r="W65" s="217" t="n">
        <f aca="false">V65</f>
        <v>-0.122481811623233</v>
      </c>
      <c r="X65" s="218" t="n">
        <f aca="false">W65</f>
        <v>-0.122481811623233</v>
      </c>
    </row>
    <row r="66" customFormat="false" ht="13.5" hidden="false" customHeight="true" outlineLevel="0" collapsed="false">
      <c r="A66" s="397"/>
      <c r="B66" s="399"/>
      <c r="C66" s="399"/>
      <c r="D66" s="399"/>
      <c r="E66" s="399"/>
      <c r="F66" s="399"/>
      <c r="G66" s="399"/>
      <c r="H66" s="399"/>
      <c r="I66" s="399"/>
      <c r="J66" s="399"/>
      <c r="K66" s="399"/>
      <c r="L66" s="399"/>
      <c r="M66" s="399"/>
      <c r="N66" s="210" t="e">
        <f aca="false">M66*(1+$V66)</f>
        <v>#DIV/0!</v>
      </c>
      <c r="O66" s="211" t="e">
        <f aca="false">N66*(1+$W66)</f>
        <v>#DIV/0!</v>
      </c>
      <c r="P66" s="212" t="e">
        <f aca="false">O66*(1+$X66)</f>
        <v>#DIV/0!</v>
      </c>
      <c r="R66" s="214" t="e">
        <f aca="false">((P66/M66)^(1/3))-1</f>
        <v>#DIV/0!</v>
      </c>
      <c r="S66" s="215" t="e">
        <f aca="false">((M66/J66)^(1/3))-1</f>
        <v>#DIV/0!</v>
      </c>
      <c r="T66" s="215" t="e">
        <f aca="false">((M66/H66)^(1/5))-1</f>
        <v>#DIV/0!</v>
      </c>
      <c r="U66" s="215" t="str">
        <f aca="false">IF(D66&gt;0,((M66/D66)^(1/9))-1,"-")</f>
        <v>-</v>
      </c>
      <c r="V66" s="216" t="e">
        <f aca="false">S66</f>
        <v>#DIV/0!</v>
      </c>
      <c r="W66" s="217" t="e">
        <f aca="false">V66</f>
        <v>#DIV/0!</v>
      </c>
      <c r="X66" s="218" t="e">
        <f aca="false">W66</f>
        <v>#DIV/0!</v>
      </c>
    </row>
    <row r="67" customFormat="false" ht="13.5" hidden="false" customHeight="true" outlineLevel="0" collapsed="false">
      <c r="A67" s="397"/>
      <c r="B67" s="399"/>
      <c r="C67" s="399"/>
      <c r="D67" s="399"/>
      <c r="E67" s="399"/>
      <c r="F67" s="399"/>
      <c r="G67" s="399"/>
      <c r="H67" s="399"/>
      <c r="I67" s="399"/>
      <c r="J67" s="399"/>
      <c r="K67" s="399"/>
      <c r="L67" s="399"/>
      <c r="M67" s="399"/>
      <c r="N67" s="210" t="e">
        <f aca="false">M67*(1+$V67)</f>
        <v>#DIV/0!</v>
      </c>
      <c r="O67" s="211" t="e">
        <f aca="false">N67*(1+$W67)</f>
        <v>#DIV/0!</v>
      </c>
      <c r="P67" s="212" t="e">
        <f aca="false">O67*(1+$X67)</f>
        <v>#DIV/0!</v>
      </c>
      <c r="R67" s="214" t="e">
        <f aca="false">((P67/M67)^(1/3))-1</f>
        <v>#DIV/0!</v>
      </c>
      <c r="S67" s="215" t="e">
        <f aca="false">((M67/J67)^(1/3))-1</f>
        <v>#DIV/0!</v>
      </c>
      <c r="T67" s="215" t="e">
        <f aca="false">((M67/H67)^(1/5))-1</f>
        <v>#DIV/0!</v>
      </c>
      <c r="U67" s="215" t="str">
        <f aca="false">IF(D67&gt;0,((M67/D67)^(1/9))-1,"-")</f>
        <v>-</v>
      </c>
      <c r="V67" s="216" t="e">
        <f aca="false">S67</f>
        <v>#DIV/0!</v>
      </c>
      <c r="W67" s="217" t="e">
        <f aca="false">V67</f>
        <v>#DIV/0!</v>
      </c>
      <c r="X67" s="218" t="e">
        <f aca="false">W67</f>
        <v>#DIV/0!</v>
      </c>
    </row>
    <row r="68" customFormat="false" ht="13.5" hidden="false" customHeight="true" outlineLevel="0" collapsed="false">
      <c r="A68" s="389" t="s">
        <v>191</v>
      </c>
      <c r="B68" s="390"/>
      <c r="C68" s="390"/>
      <c r="N68" s="210" t="e">
        <f aca="false">M68*(1+$V68)</f>
        <v>#DIV/0!</v>
      </c>
      <c r="O68" s="211" t="e">
        <f aca="false">N68*(1+$W68)</f>
        <v>#DIV/0!</v>
      </c>
      <c r="P68" s="212" t="e">
        <f aca="false">O68*(1+$X68)</f>
        <v>#DIV/0!</v>
      </c>
      <c r="R68" s="214" t="e">
        <f aca="false">((P68/M68)^(1/3))-1</f>
        <v>#DIV/0!</v>
      </c>
      <c r="S68" s="215" t="e">
        <f aca="false">((M68/J68)^(1/3))-1</f>
        <v>#DIV/0!</v>
      </c>
      <c r="T68" s="215" t="e">
        <f aca="false">((M68/H68)^(1/5))-1</f>
        <v>#DIV/0!</v>
      </c>
      <c r="U68" s="215" t="str">
        <f aca="false">IF(D68&gt;0,((M68/D68)^(1/9))-1,"-")</f>
        <v>-</v>
      </c>
      <c r="V68" s="216" t="e">
        <f aca="false">S68</f>
        <v>#DIV/0!</v>
      </c>
      <c r="W68" s="217" t="e">
        <f aca="false">V68</f>
        <v>#DIV/0!</v>
      </c>
      <c r="X68" s="218" t="e">
        <f aca="false">W68</f>
        <v>#DIV/0!</v>
      </c>
    </row>
    <row r="69" customFormat="false" ht="13.5" hidden="false" customHeight="true" outlineLevel="0" collapsed="false">
      <c r="A69" s="156" t="s">
        <v>208</v>
      </c>
      <c r="B69" s="390"/>
      <c r="C69" s="390"/>
      <c r="D69" s="400" t="n">
        <f aca="false">SUM(D60:D68)</f>
        <v>81809</v>
      </c>
      <c r="E69" s="400" t="n">
        <f aca="false">SUM(E60:E68)</f>
        <v>94649</v>
      </c>
      <c r="F69" s="400" t="n">
        <f aca="false">SUM(F60:F68)</f>
        <v>108646</v>
      </c>
      <c r="G69" s="400" t="n">
        <f aca="false">SUM(G60:G68)</f>
        <v>117966</v>
      </c>
      <c r="H69" s="400" t="n">
        <f aca="false">SUM(H60:H68)</f>
        <v>123104</v>
      </c>
      <c r="I69" s="400" t="n">
        <f aca="false">SUM(I60:I68)</f>
        <v>146463</v>
      </c>
      <c r="J69" s="400" t="n">
        <f aca="false">SUM(J60:J68)</f>
        <v>156949</v>
      </c>
      <c r="K69" s="400" t="n">
        <f aca="false">SUM(K60:K68)</f>
        <v>164177</v>
      </c>
      <c r="L69" s="400" t="n">
        <f aca="false">SUM(L60:L68)</f>
        <v>191754</v>
      </c>
      <c r="M69" s="400" t="n">
        <f aca="false">SUM(M60:M68)</f>
        <v>225458</v>
      </c>
      <c r="N69" s="400" t="e">
        <f aca="false">SUM(N60:N68)</f>
        <v>#DIV/0!</v>
      </c>
      <c r="O69" s="400" t="e">
        <f aca="false">SUM(O60:O68)</f>
        <v>#DIV/0!</v>
      </c>
      <c r="P69" s="400" t="e">
        <f aca="false">SUM(P60:P68)</f>
        <v>#DIV/0!</v>
      </c>
      <c r="R69" s="214" t="e">
        <f aca="false">((P69/M69)^(1/3))-1</f>
        <v>#DIV/0!</v>
      </c>
      <c r="S69" s="215" t="n">
        <f aca="false">((M69/J69)^(1/3))-1</f>
        <v>0.128328866617937</v>
      </c>
      <c r="T69" s="215" t="n">
        <f aca="false">((M69/H69)^(1/5))-1</f>
        <v>0.128648469781155</v>
      </c>
      <c r="U69" s="215" t="n">
        <f aca="false">IF(D69&gt;0,((M69/D69)^(1/9))-1,"-")</f>
        <v>0.119227274924875</v>
      </c>
      <c r="V69" s="216" t="n">
        <f aca="false">S69</f>
        <v>0.128328866617937</v>
      </c>
      <c r="W69" s="217" t="n">
        <f aca="false">V69</f>
        <v>0.128328866617937</v>
      </c>
      <c r="X69" s="218" t="n">
        <f aca="false">W69</f>
        <v>0.128328866617937</v>
      </c>
    </row>
    <row r="70" customFormat="false" ht="13.5" hidden="false" customHeight="true" outlineLevel="0" collapsed="false">
      <c r="A70" s="389" t="s">
        <v>192</v>
      </c>
      <c r="B70" s="389" t="s">
        <v>105</v>
      </c>
      <c r="C70" s="389"/>
      <c r="R70" s="214" t="e">
        <f aca="false">((P70/M70)^(1/3))-1</f>
        <v>#DIV/0!</v>
      </c>
      <c r="S70" s="215" t="e">
        <f aca="false">((M70/J70)^(1/3))-1</f>
        <v>#DIV/0!</v>
      </c>
      <c r="T70" s="215" t="e">
        <f aca="false">((M70/H70)^(1/5))-1</f>
        <v>#DIV/0!</v>
      </c>
      <c r="U70" s="215" t="str">
        <f aca="false">IF(D70&gt;0,((M70/D70)^(1/9))-1,"-")</f>
        <v>-</v>
      </c>
      <c r="V70" s="216" t="e">
        <f aca="false">S70</f>
        <v>#DIV/0!</v>
      </c>
      <c r="W70" s="217" t="e">
        <f aca="false">V70</f>
        <v>#DIV/0!</v>
      </c>
      <c r="X70" s="218" t="e">
        <f aca="false">W70</f>
        <v>#DIV/0!</v>
      </c>
    </row>
    <row r="71" customFormat="false" ht="13.5" hidden="false" customHeight="true" outlineLevel="0" collapsed="false">
      <c r="A71" s="156" t="s">
        <v>209</v>
      </c>
      <c r="B71" s="390"/>
      <c r="C71" s="390"/>
      <c r="R71" s="214" t="e">
        <f aca="false">((P71/M71)^(1/3))-1</f>
        <v>#DIV/0!</v>
      </c>
      <c r="S71" s="215" t="e">
        <f aca="false">((M71/J71)^(1/3))-1</f>
        <v>#DIV/0!</v>
      </c>
      <c r="T71" s="215" t="e">
        <f aca="false">((M71/H71)^(1/5))-1</f>
        <v>#DIV/0!</v>
      </c>
      <c r="U71" s="215" t="str">
        <f aca="false">IF(D71&gt;0,((M71/D71)^(1/9))-1,"-")</f>
        <v>-</v>
      </c>
      <c r="V71" s="216" t="e">
        <f aca="false">S71</f>
        <v>#DIV/0!</v>
      </c>
      <c r="W71" s="217" t="e">
        <f aca="false">V71</f>
        <v>#DIV/0!</v>
      </c>
      <c r="X71" s="218" t="e">
        <f aca="false">W71</f>
        <v>#DIV/0!</v>
      </c>
    </row>
    <row r="72" customFormat="false" ht="13.5" hidden="false" customHeight="true" outlineLevel="0" collapsed="false">
      <c r="A72" s="397" t="s">
        <v>202</v>
      </c>
      <c r="B72" s="398" t="n">
        <v>6493</v>
      </c>
      <c r="C72" s="398" t="n">
        <v>8014</v>
      </c>
      <c r="D72" s="398" t="n">
        <v>11523</v>
      </c>
      <c r="E72" s="398" t="n">
        <v>10594</v>
      </c>
      <c r="F72" s="398" t="n">
        <v>12851</v>
      </c>
      <c r="G72" s="398" t="n">
        <v>13098</v>
      </c>
      <c r="H72" s="398" t="n">
        <v>13045</v>
      </c>
      <c r="I72" s="398" t="n">
        <v>16089</v>
      </c>
      <c r="J72" s="398" t="n">
        <v>16950</v>
      </c>
      <c r="K72" s="398" t="n">
        <v>18681</v>
      </c>
      <c r="L72" s="398" t="n">
        <v>20174</v>
      </c>
      <c r="M72" s="398" t="n">
        <v>22345</v>
      </c>
      <c r="N72" s="210" t="n">
        <f aca="false">M72*(1+$V72)</f>
        <v>24501.0056889896</v>
      </c>
      <c r="O72" s="211" t="n">
        <f aca="false">N72*(1+$W72)</f>
        <v>26865.0382533855</v>
      </c>
      <c r="P72" s="212" t="n">
        <f aca="false">O72*(1+$X72)</f>
        <v>29457.1696165192</v>
      </c>
      <c r="R72" s="214" t="n">
        <f aca="false">((P72/M72)^(1/3))-1</f>
        <v>0.0964871644211041</v>
      </c>
      <c r="S72" s="215" t="n">
        <f aca="false">((M72/J72)^(1/3))-1</f>
        <v>0.0964871644211041</v>
      </c>
      <c r="T72" s="215" t="n">
        <f aca="false">((M72/H72)^(1/5))-1</f>
        <v>0.11364624003884</v>
      </c>
      <c r="U72" s="215" t="n">
        <f aca="false">IF(D72&gt;0,((M72/D72)^(1/9))-1,"-")</f>
        <v>0.0763591317238084</v>
      </c>
      <c r="V72" s="216" t="n">
        <f aca="false">S72</f>
        <v>0.0964871644211041</v>
      </c>
      <c r="W72" s="217" t="n">
        <f aca="false">V72</f>
        <v>0.0964871644211041</v>
      </c>
      <c r="X72" s="218" t="n">
        <f aca="false">W72</f>
        <v>0.0964871644211041</v>
      </c>
    </row>
    <row r="73" customFormat="false" ht="13.5" hidden="false" customHeight="true" outlineLevel="0" collapsed="false">
      <c r="A73" s="397" t="s">
        <v>203</v>
      </c>
      <c r="B73" s="398" t="n">
        <v>1890</v>
      </c>
      <c r="C73" s="398" t="n">
        <v>1949</v>
      </c>
      <c r="D73" s="398" t="n">
        <v>2749</v>
      </c>
      <c r="E73" s="398" t="n">
        <v>2771</v>
      </c>
      <c r="F73" s="398" t="n">
        <v>5190</v>
      </c>
      <c r="G73" s="398" t="n">
        <v>5552</v>
      </c>
      <c r="H73" s="398" t="n">
        <v>5797</v>
      </c>
      <c r="I73" s="398" t="n">
        <v>6644</v>
      </c>
      <c r="J73" s="398" t="n">
        <v>7703</v>
      </c>
      <c r="K73" s="398" t="n">
        <v>8010</v>
      </c>
      <c r="L73" s="398" t="n">
        <v>9518</v>
      </c>
      <c r="M73" s="398" t="n">
        <v>10667</v>
      </c>
      <c r="N73" s="210" t="n">
        <f aca="false">M73*(1+$V73)</f>
        <v>11889.6689041545</v>
      </c>
      <c r="O73" s="211" t="n">
        <f aca="false">N73*(1+$W73)</f>
        <v>13252.4821084108</v>
      </c>
      <c r="P73" s="212" t="n">
        <f aca="false">O73*(1+$X73)</f>
        <v>14771.503180579</v>
      </c>
      <c r="R73" s="214" t="n">
        <f aca="false">((P73/M73)^(1/3))-1</f>
        <v>0.114621627838614</v>
      </c>
      <c r="S73" s="215" t="n">
        <f aca="false">((M73/J73)^(1/3))-1</f>
        <v>0.114621627838614</v>
      </c>
      <c r="T73" s="215" t="n">
        <f aca="false">((M73/H73)^(1/5))-1</f>
        <v>0.129712148301503</v>
      </c>
      <c r="U73" s="215" t="n">
        <f aca="false">IF(D73&gt;0,((M73/D73)^(1/9))-1,"-")</f>
        <v>0.162598419884831</v>
      </c>
      <c r="V73" s="216" t="n">
        <f aca="false">S73</f>
        <v>0.114621627838614</v>
      </c>
      <c r="W73" s="217" t="n">
        <f aca="false">V73</f>
        <v>0.114621627838614</v>
      </c>
      <c r="X73" s="218" t="n">
        <f aca="false">W73</f>
        <v>0.114621627838614</v>
      </c>
    </row>
    <row r="74" customFormat="false" ht="13.5" hidden="false" customHeight="true" outlineLevel="0" collapsed="false">
      <c r="A74" s="397" t="s">
        <v>204</v>
      </c>
      <c r="B74" s="398" t="n">
        <v>1742</v>
      </c>
      <c r="C74" s="398" t="n">
        <v>2581</v>
      </c>
      <c r="D74" s="398" t="n">
        <v>3674</v>
      </c>
      <c r="E74" s="398" t="n">
        <v>3254</v>
      </c>
      <c r="F74" s="398" t="n">
        <v>5330</v>
      </c>
      <c r="G74" s="398" t="n">
        <v>5740</v>
      </c>
      <c r="H74" s="398" t="n">
        <v>5580</v>
      </c>
      <c r="I74" s="398" t="n">
        <v>6871</v>
      </c>
      <c r="J74" s="398" t="n">
        <v>6870</v>
      </c>
      <c r="K74" s="398" t="n">
        <v>7151</v>
      </c>
      <c r="L74" s="398" t="n">
        <v>8534</v>
      </c>
      <c r="M74" s="398" t="n">
        <v>9636</v>
      </c>
      <c r="N74" s="210" t="n">
        <f aca="false">M74*(1+$V74)</f>
        <v>10786.4071505337</v>
      </c>
      <c r="O74" s="211" t="n">
        <f aca="false">N74*(1+$W74)</f>
        <v>12074.1572454425</v>
      </c>
      <c r="P74" s="212" t="n">
        <f aca="false">O74*(1+$X74)</f>
        <v>13515.6471615721</v>
      </c>
      <c r="R74" s="214" t="n">
        <f aca="false">((P74/M74)^(1/3))-1</f>
        <v>0.11938637925837</v>
      </c>
      <c r="S74" s="215" t="n">
        <f aca="false">((M74/J74)^(1/3))-1</f>
        <v>0.11938637925837</v>
      </c>
      <c r="T74" s="215" t="n">
        <f aca="false">((M74/H74)^(1/5))-1</f>
        <v>0.115456191584941</v>
      </c>
      <c r="U74" s="215" t="n">
        <f aca="false">IF(D74&gt;0,((M74/D74)^(1/9))-1,"-")</f>
        <v>0.113085759622287</v>
      </c>
      <c r="V74" s="216" t="n">
        <f aca="false">S74</f>
        <v>0.11938637925837</v>
      </c>
      <c r="W74" s="217" t="n">
        <f aca="false">V74</f>
        <v>0.11938637925837</v>
      </c>
      <c r="X74" s="218" t="n">
        <f aca="false">W74</f>
        <v>0.11938637925837</v>
      </c>
    </row>
    <row r="75" customFormat="false" ht="13.5" hidden="false" customHeight="true" outlineLevel="0" collapsed="false">
      <c r="A75" s="397" t="s">
        <v>205</v>
      </c>
      <c r="B75" s="399" t="n">
        <v>0</v>
      </c>
      <c r="C75" s="398" t="n">
        <v>0</v>
      </c>
      <c r="D75" s="398" t="n">
        <v>0</v>
      </c>
      <c r="E75" s="398" t="n">
        <v>0</v>
      </c>
      <c r="F75" s="398" t="n">
        <v>0</v>
      </c>
      <c r="G75" s="398" t="n">
        <v>0</v>
      </c>
      <c r="H75" s="398" t="n">
        <v>0</v>
      </c>
      <c r="I75" s="398" t="n">
        <v>0</v>
      </c>
      <c r="J75" s="398" t="n">
        <v>0</v>
      </c>
      <c r="K75" s="398" t="n">
        <v>5253</v>
      </c>
      <c r="L75" s="398" t="n">
        <v>6139</v>
      </c>
      <c r="M75" s="398" t="n">
        <v>6894</v>
      </c>
      <c r="N75" s="210" t="e">
        <f aca="false">M75*(1+$V75)</f>
        <v>#DIV/0!</v>
      </c>
      <c r="O75" s="211" t="e">
        <f aca="false">N75*(1+$W75)</f>
        <v>#DIV/0!</v>
      </c>
      <c r="P75" s="212" t="e">
        <f aca="false">O75*(1+$X75)</f>
        <v>#DIV/0!</v>
      </c>
      <c r="R75" s="214" t="e">
        <f aca="false">((P75/M75)^(1/3))-1</f>
        <v>#DIV/0!</v>
      </c>
      <c r="S75" s="215" t="e">
        <f aca="false">((M75/J75)^(1/3))-1</f>
        <v>#DIV/0!</v>
      </c>
      <c r="T75" s="215" t="e">
        <f aca="false">((M75/H75)^(1/5))-1</f>
        <v>#DIV/0!</v>
      </c>
      <c r="U75" s="215" t="str">
        <f aca="false">IF(D75&gt;0,((M75/D75)^(1/9))-1,"-")</f>
        <v>-</v>
      </c>
      <c r="V75" s="216" t="e">
        <f aca="false">S75</f>
        <v>#DIV/0!</v>
      </c>
      <c r="W75" s="217" t="e">
        <f aca="false">V75</f>
        <v>#DIV/0!</v>
      </c>
      <c r="X75" s="218" t="e">
        <f aca="false">W75</f>
        <v>#DIV/0!</v>
      </c>
    </row>
    <row r="76" customFormat="false" ht="13.5" hidden="false" customHeight="true" outlineLevel="0" collapsed="false">
      <c r="A76" s="397" t="s">
        <v>206</v>
      </c>
      <c r="B76" s="399" t="n">
        <v>986</v>
      </c>
      <c r="C76" s="398" t="n">
        <v>1363</v>
      </c>
      <c r="D76" s="398" t="n">
        <v>2051</v>
      </c>
      <c r="E76" s="398" t="n">
        <v>2223</v>
      </c>
      <c r="F76" s="398" t="n">
        <v>2924</v>
      </c>
      <c r="G76" s="398" t="n">
        <v>3574</v>
      </c>
      <c r="H76" s="398" t="n">
        <v>3698</v>
      </c>
      <c r="I76" s="398" t="n">
        <v>4311</v>
      </c>
      <c r="J76" s="398" t="n">
        <v>4445</v>
      </c>
      <c r="K76" s="398" t="n">
        <v>4483</v>
      </c>
      <c r="L76" s="398" t="n">
        <v>5602</v>
      </c>
      <c r="M76" s="398" t="n">
        <v>5842</v>
      </c>
      <c r="N76" s="210" t="n">
        <f aca="false">M76*(1+$V76)</f>
        <v>6399.18719998933</v>
      </c>
      <c r="O76" s="211" t="n">
        <f aca="false">N76*(1+$W76)</f>
        <v>7009.5167443525</v>
      </c>
      <c r="P76" s="212" t="n">
        <f aca="false">O76*(1+$X76)</f>
        <v>7678.05714285714</v>
      </c>
      <c r="R76" s="214" t="n">
        <f aca="false">((P76/M76)^(1/3))-1</f>
        <v>0.0953761040721213</v>
      </c>
      <c r="S76" s="215" t="n">
        <f aca="false">((M76/J76)^(1/3))-1</f>
        <v>0.0953761040721213</v>
      </c>
      <c r="T76" s="215" t="n">
        <f aca="false">((M76/H76)^(1/5))-1</f>
        <v>0.095768796528888</v>
      </c>
      <c r="U76" s="215" t="n">
        <f aca="false">IF(D76&gt;0,((M76/D76)^(1/9))-1,"-")</f>
        <v>0.123338528588504</v>
      </c>
      <c r="V76" s="216" t="n">
        <f aca="false">S76</f>
        <v>0.0953761040721213</v>
      </c>
      <c r="W76" s="217" t="n">
        <f aca="false">V76</f>
        <v>0.0953761040721213</v>
      </c>
      <c r="X76" s="218" t="n">
        <f aca="false">W76</f>
        <v>0.0953761040721213</v>
      </c>
    </row>
    <row r="77" customFormat="false" ht="13.5" hidden="false" customHeight="true" outlineLevel="0" collapsed="false">
      <c r="A77" s="397" t="s">
        <v>207</v>
      </c>
      <c r="B77" s="398" t="n">
        <v>3203</v>
      </c>
      <c r="C77" s="398" t="n">
        <v>3992</v>
      </c>
      <c r="D77" s="398" t="n">
        <v>5029</v>
      </c>
      <c r="E77" s="398" t="n">
        <v>5480</v>
      </c>
      <c r="F77" s="398" t="n">
        <v>4294</v>
      </c>
      <c r="G77" s="398" t="n">
        <v>4271</v>
      </c>
      <c r="H77" s="398" t="n">
        <v>4339</v>
      </c>
      <c r="I77" s="398" t="n">
        <v>5554</v>
      </c>
      <c r="J77" s="398" t="n">
        <v>6141</v>
      </c>
      <c r="K77" s="398" t="n">
        <v>2968</v>
      </c>
      <c r="L77" s="398" t="n">
        <v>3090</v>
      </c>
      <c r="M77" s="398" t="n">
        <v>3875</v>
      </c>
      <c r="N77" s="210" t="n">
        <f aca="false">M77*(1+$V77)</f>
        <v>3323.65479270961</v>
      </c>
      <c r="O77" s="211" t="n">
        <f aca="false">N77*(1+$W77)</f>
        <v>2850.75643383266</v>
      </c>
      <c r="P77" s="212" t="n">
        <f aca="false">O77*(1+$X77)</f>
        <v>2445.14329913695</v>
      </c>
      <c r="R77" s="214" t="n">
        <f aca="false">((P77/M77)^(1/3))-1</f>
        <v>-0.142282634139456</v>
      </c>
      <c r="S77" s="215" t="n">
        <f aca="false">((M77/J77)^(1/3))-1</f>
        <v>-0.142282634139456</v>
      </c>
      <c r="T77" s="215" t="n">
        <f aca="false">((M77/H77)^(1/5))-1</f>
        <v>-0.0223657425726405</v>
      </c>
      <c r="U77" s="215" t="n">
        <f aca="false">IF(D77&gt;0,((M77/D77)^(1/9))-1,"-")</f>
        <v>-0.0285485093355333</v>
      </c>
      <c r="V77" s="216" t="n">
        <f aca="false">S77</f>
        <v>-0.142282634139456</v>
      </c>
      <c r="W77" s="217" t="n">
        <f aca="false">V77</f>
        <v>-0.142282634139456</v>
      </c>
      <c r="X77" s="218" t="n">
        <f aca="false">W77</f>
        <v>-0.142282634139456</v>
      </c>
    </row>
    <row r="78" customFormat="false" ht="13.5" hidden="false" customHeight="true" outlineLevel="0" collapsed="false">
      <c r="A78" s="397" t="s">
        <v>210</v>
      </c>
      <c r="B78" s="399" t="n">
        <v>-390</v>
      </c>
      <c r="C78" s="398" t="n">
        <v>192</v>
      </c>
      <c r="D78" s="399" t="n">
        <v>377</v>
      </c>
      <c r="E78" s="398" t="n">
        <v>1486</v>
      </c>
      <c r="F78" s="398" t="n">
        <v>1251</v>
      </c>
      <c r="G78" s="398" t="n">
        <v>2278</v>
      </c>
      <c r="H78" s="398" t="n">
        <v>1633</v>
      </c>
      <c r="I78" s="398" t="n">
        <v>2094</v>
      </c>
      <c r="J78" s="399" t="n">
        <v>139</v>
      </c>
      <c r="K78" s="398" t="n">
        <v>-2786</v>
      </c>
      <c r="L78" s="398" t="n">
        <v>-1370</v>
      </c>
      <c r="M78" s="398" t="n">
        <v>-2352</v>
      </c>
      <c r="N78" s="210" t="n">
        <f aca="false">M78*(1+$V78)</f>
        <v>6038.25555800795</v>
      </c>
      <c r="O78" s="211" t="n">
        <f aca="false">N78*(1+$W78)</f>
        <v>-15501.9260985603</v>
      </c>
      <c r="P78" s="212" t="n">
        <f aca="false">O78*(1+$X78)</f>
        <v>39797.8705035971</v>
      </c>
      <c r="R78" s="214" t="n">
        <f aca="false">((P78/M78)^(1/3))-1</f>
        <v>-3.56728552636392</v>
      </c>
      <c r="S78" s="215" t="n">
        <f aca="false">((M78/J78)^(1/3))-1</f>
        <v>-3.56728552636392</v>
      </c>
      <c r="T78" s="215" t="n">
        <f aca="false">((M78/H78)^(1/5))-1</f>
        <v>-2.07569766654438</v>
      </c>
      <c r="U78" s="215" t="n">
        <f aca="false">IF(D78&gt;0,((M78/D78)^(1/9))-1,"-")</f>
        <v>-2.22558657860044</v>
      </c>
      <c r="V78" s="216" t="n">
        <f aca="false">S78</f>
        <v>-3.56728552636392</v>
      </c>
      <c r="W78" s="217" t="n">
        <f aca="false">V78</f>
        <v>-3.56728552636392</v>
      </c>
      <c r="X78" s="218" t="n">
        <f aca="false">W78</f>
        <v>-3.56728552636392</v>
      </c>
    </row>
    <row r="79" customFormat="false" ht="13.5" hidden="false" customHeight="true" outlineLevel="0" collapsed="false">
      <c r="A79" s="397"/>
      <c r="B79" s="399"/>
      <c r="C79" s="399"/>
      <c r="D79" s="399"/>
      <c r="E79" s="399"/>
      <c r="F79" s="398"/>
      <c r="G79" s="398"/>
      <c r="H79" s="398"/>
      <c r="I79" s="398"/>
      <c r="J79" s="398"/>
      <c r="K79" s="398"/>
      <c r="L79" s="398"/>
      <c r="M79" s="398"/>
      <c r="N79" s="210" t="e">
        <f aca="false">M79*(1+$V79)</f>
        <v>#DIV/0!</v>
      </c>
      <c r="O79" s="211" t="e">
        <f aca="false">N79*(1+$W79)</f>
        <v>#DIV/0!</v>
      </c>
      <c r="P79" s="212" t="e">
        <f aca="false">O79*(1+$X79)</f>
        <v>#DIV/0!</v>
      </c>
      <c r="R79" s="214" t="e">
        <f aca="false">((P79/M79)^(1/3))-1</f>
        <v>#DIV/0!</v>
      </c>
      <c r="S79" s="215" t="e">
        <f aca="false">((M79/J79)^(1/3))-1</f>
        <v>#DIV/0!</v>
      </c>
      <c r="T79" s="215" t="e">
        <f aca="false">((M79/H79)^(1/5))-1</f>
        <v>#DIV/0!</v>
      </c>
      <c r="U79" s="215" t="str">
        <f aca="false">IF(D79&gt;0,((M79/D79)^(1/9))-1,"-")</f>
        <v>-</v>
      </c>
      <c r="V79" s="216" t="e">
        <f aca="false">S79</f>
        <v>#DIV/0!</v>
      </c>
      <c r="W79" s="217" t="e">
        <f aca="false">V79</f>
        <v>#DIV/0!</v>
      </c>
      <c r="X79" s="218" t="e">
        <f aca="false">W79</f>
        <v>#DIV/0!</v>
      </c>
    </row>
    <row r="80" customFormat="false" ht="13.5" hidden="false" customHeight="true" outlineLevel="0" collapsed="false">
      <c r="A80" s="389" t="s">
        <v>191</v>
      </c>
      <c r="N80" s="210" t="e">
        <f aca="false">M80*(1+$V80)</f>
        <v>#DIV/0!</v>
      </c>
      <c r="O80" s="211" t="e">
        <f aca="false">N80*(1+$W80)</f>
        <v>#DIV/0!</v>
      </c>
      <c r="P80" s="212" t="e">
        <f aca="false">O80*(1+$X80)</f>
        <v>#DIV/0!</v>
      </c>
      <c r="R80" s="214" t="e">
        <f aca="false">((P80/M80)^(1/3))-1</f>
        <v>#DIV/0!</v>
      </c>
      <c r="S80" s="215" t="e">
        <f aca="false">((M80/J80)^(1/3))-1</f>
        <v>#DIV/0!</v>
      </c>
      <c r="T80" s="215" t="e">
        <f aca="false">((M80/H80)^(1/5))-1</f>
        <v>#DIV/0!</v>
      </c>
      <c r="U80" s="215" t="str">
        <f aca="false">IF(D80&gt;0,((M80/D80)^(1/9))-1,"-")</f>
        <v>-</v>
      </c>
      <c r="V80" s="216" t="e">
        <f aca="false">S80</f>
        <v>#DIV/0!</v>
      </c>
      <c r="W80" s="217" t="e">
        <f aca="false">V80</f>
        <v>#DIV/0!</v>
      </c>
      <c r="X80" s="218" t="e">
        <f aca="false">W80</f>
        <v>#DIV/0!</v>
      </c>
    </row>
    <row r="81" customFormat="false" ht="13.5" hidden="false" customHeight="true" outlineLevel="0" collapsed="false">
      <c r="A81" s="156" t="s">
        <v>208</v>
      </c>
      <c r="B81" s="400" t="n">
        <f aca="false">SUM(B72:B80)</f>
        <v>13924</v>
      </c>
      <c r="C81" s="400" t="n">
        <f aca="false">SUM(C72:C80)</f>
        <v>18091</v>
      </c>
      <c r="D81" s="400" t="n">
        <f aca="false">SUM(D72:D80)</f>
        <v>25403</v>
      </c>
      <c r="E81" s="400" t="n">
        <f aca="false">SUM(E72:E80)</f>
        <v>25808</v>
      </c>
      <c r="F81" s="400" t="n">
        <f aca="false">SUM(F72:F80)</f>
        <v>31840</v>
      </c>
      <c r="G81" s="400" t="n">
        <f aca="false">SUM(G72:G80)</f>
        <v>34513</v>
      </c>
      <c r="H81" s="400" t="n">
        <f aca="false">SUM(H72:H80)</f>
        <v>34092</v>
      </c>
      <c r="I81" s="400" t="n">
        <f aca="false">SUM(I72:I80)</f>
        <v>41563</v>
      </c>
      <c r="J81" s="400" t="n">
        <f aca="false">SUM(J72:J80)</f>
        <v>42248</v>
      </c>
      <c r="K81" s="400" t="n">
        <f aca="false">SUM(K72:K80)</f>
        <v>43760</v>
      </c>
      <c r="L81" s="400" t="n">
        <f aca="false">SUM(L72:L80)</f>
        <v>51687</v>
      </c>
      <c r="M81" s="400" t="n">
        <f aca="false">SUM(M72:M80)</f>
        <v>56907</v>
      </c>
      <c r="N81" s="400" t="e">
        <f aca="false">SUM(N72:N80)</f>
        <v>#DIV/0!</v>
      </c>
      <c r="O81" s="400" t="e">
        <f aca="false">SUM(O72:O80)</f>
        <v>#DIV/0!</v>
      </c>
      <c r="P81" s="400" t="e">
        <f aca="false">SUM(P72:P80)</f>
        <v>#DIV/0!</v>
      </c>
      <c r="R81" s="214" t="e">
        <f aca="false">((P81/M81)^(1/3))-1</f>
        <v>#DIV/0!</v>
      </c>
      <c r="S81" s="215" t="n">
        <f aca="false">((M81/J81)^(1/3))-1</f>
        <v>0.104383337596158</v>
      </c>
      <c r="T81" s="215" t="n">
        <f aca="false">((M81/H81)^(1/5))-1</f>
        <v>0.107905305974076</v>
      </c>
      <c r="U81" s="215" t="n">
        <f aca="false">IF(D81&gt;0,((M81/D81)^(1/9))-1,"-")</f>
        <v>0.0937550617553733</v>
      </c>
      <c r="V81" s="216" t="n">
        <f aca="false">S81</f>
        <v>0.104383337596158</v>
      </c>
      <c r="W81" s="217" t="n">
        <f aca="false">V81</f>
        <v>0.104383337596158</v>
      </c>
      <c r="X81" s="218" t="n">
        <f aca="false">W81</f>
        <v>0.104383337596158</v>
      </c>
    </row>
    <row r="82" customFormat="false" ht="13.5" hidden="false" customHeight="true" outlineLevel="0" collapsed="false">
      <c r="R82" s="214" t="e">
        <f aca="false">((P82/M82)^(1/3))-1</f>
        <v>#DIV/0!</v>
      </c>
      <c r="S82" s="215" t="e">
        <f aca="false">((M82/J82)^(1/3))-1</f>
        <v>#DIV/0!</v>
      </c>
      <c r="T82" s="215" t="e">
        <f aca="false">((M82/H82)^(1/5))-1</f>
        <v>#DIV/0!</v>
      </c>
      <c r="U82" s="215" t="str">
        <f aca="false">IF(D82&gt;0,((M82/D82)^(1/9))-1,"-")</f>
        <v>-</v>
      </c>
      <c r="V82" s="216" t="e">
        <f aca="false">S82</f>
        <v>#DIV/0!</v>
      </c>
      <c r="W82" s="217" t="e">
        <f aca="false">V82</f>
        <v>#DIV/0!</v>
      </c>
      <c r="X82" s="218" t="e">
        <f aca="false">W82</f>
        <v>#DIV/0!</v>
      </c>
    </row>
    <row r="83" customFormat="false" ht="13.5" hidden="false" customHeight="true" outlineLevel="0" collapsed="false">
      <c r="A83" s="156" t="s">
        <v>211</v>
      </c>
      <c r="R83" s="214" t="e">
        <f aca="false">((P83/M83)^(1/3))-1</f>
        <v>#DIV/0!</v>
      </c>
      <c r="S83" s="215" t="e">
        <f aca="false">((M83/J83)^(1/3))-1</f>
        <v>#DIV/0!</v>
      </c>
      <c r="T83" s="215" t="e">
        <f aca="false">((M83/H83)^(1/5))-1</f>
        <v>#DIV/0!</v>
      </c>
      <c r="U83" s="215" t="str">
        <f aca="false">IF(D83&gt;0,((M83/D83)^(1/9))-1,"-")</f>
        <v>-</v>
      </c>
      <c r="V83" s="216" t="e">
        <f aca="false">S83</f>
        <v>#DIV/0!</v>
      </c>
      <c r="W83" s="217" t="e">
        <f aca="false">V83</f>
        <v>#DIV/0!</v>
      </c>
      <c r="X83" s="218" t="e">
        <f aca="false">W83</f>
        <v>#DIV/0!</v>
      </c>
    </row>
    <row r="84" customFormat="false" ht="13.5" hidden="false" customHeight="true" outlineLevel="0" collapsed="false">
      <c r="A84" s="397" t="s">
        <v>202</v>
      </c>
      <c r="B84" s="398" t="n">
        <v>8570</v>
      </c>
      <c r="C84" s="398" t="n">
        <v>10045</v>
      </c>
      <c r="D84" s="398" t="n">
        <v>8344</v>
      </c>
      <c r="E84" s="398" t="n">
        <v>7057</v>
      </c>
      <c r="F84" s="398" t="n">
        <v>9681</v>
      </c>
      <c r="G84" s="398" t="n">
        <v>8635</v>
      </c>
      <c r="H84" s="398" t="n">
        <v>9039</v>
      </c>
      <c r="I84" s="398" t="n">
        <v>10483</v>
      </c>
      <c r="J84" s="399" t="n">
        <v>0</v>
      </c>
      <c r="K84" s="399" t="n">
        <v>0</v>
      </c>
      <c r="L84" s="399" t="n">
        <v>0</v>
      </c>
      <c r="M84" s="399" t="n">
        <v>0</v>
      </c>
      <c r="R84" s="214" t="e">
        <f aca="false">((P84/M84)^(1/3))-1</f>
        <v>#DIV/0!</v>
      </c>
      <c r="S84" s="215" t="e">
        <f aca="false">((M84/J84)^(1/3))-1</f>
        <v>#DIV/0!</v>
      </c>
      <c r="T84" s="215" t="n">
        <f aca="false">((M84/H84)^(1/5))-1</f>
        <v>-1</v>
      </c>
      <c r="U84" s="215" t="n">
        <f aca="false">IF(D84&gt;0,((M84/D84)^(1/9))-1,"-")</f>
        <v>-1</v>
      </c>
      <c r="V84" s="216" t="e">
        <f aca="false">S84</f>
        <v>#DIV/0!</v>
      </c>
      <c r="W84" s="217" t="e">
        <f aca="false">V84</f>
        <v>#DIV/0!</v>
      </c>
      <c r="X84" s="218" t="e">
        <f aca="false">W84</f>
        <v>#DIV/0!</v>
      </c>
    </row>
    <row r="85" customFormat="false" ht="13.5" hidden="false" customHeight="true" outlineLevel="0" collapsed="false">
      <c r="A85" s="397" t="s">
        <v>203</v>
      </c>
      <c r="B85" s="398" t="n">
        <v>1901</v>
      </c>
      <c r="C85" s="398" t="n">
        <v>2336</v>
      </c>
      <c r="D85" s="398" t="n">
        <v>2977</v>
      </c>
      <c r="E85" s="398" t="n">
        <v>2697</v>
      </c>
      <c r="F85" s="398" t="n">
        <v>4639</v>
      </c>
      <c r="G85" s="398" t="n">
        <v>4671</v>
      </c>
      <c r="H85" s="398" t="n">
        <v>5605</v>
      </c>
      <c r="I85" s="398" t="n">
        <v>5590</v>
      </c>
      <c r="J85" s="399" t="n">
        <v>0</v>
      </c>
      <c r="K85" s="399" t="n">
        <v>0</v>
      </c>
      <c r="L85" s="399" t="n">
        <v>0</v>
      </c>
      <c r="M85" s="399" t="n">
        <v>0</v>
      </c>
      <c r="R85" s="214" t="e">
        <f aca="false">((P85/M85)^(1/3))-1</f>
        <v>#DIV/0!</v>
      </c>
      <c r="S85" s="215" t="e">
        <f aca="false">((M85/J85)^(1/3))-1</f>
        <v>#DIV/0!</v>
      </c>
      <c r="T85" s="215" t="n">
        <f aca="false">((M85/H85)^(1/5))-1</f>
        <v>-1</v>
      </c>
      <c r="U85" s="215" t="n">
        <f aca="false">IF(D85&gt;0,((M85/D85)^(1/9))-1,"-")</f>
        <v>-1</v>
      </c>
      <c r="V85" s="216" t="e">
        <f aca="false">S85</f>
        <v>#DIV/0!</v>
      </c>
      <c r="W85" s="217" t="e">
        <f aca="false">V85</f>
        <v>#DIV/0!</v>
      </c>
      <c r="X85" s="218" t="e">
        <f aca="false">W85</f>
        <v>#DIV/0!</v>
      </c>
    </row>
    <row r="86" customFormat="false" ht="13.5" hidden="false" customHeight="true" outlineLevel="0" collapsed="false">
      <c r="A86" s="397" t="s">
        <v>204</v>
      </c>
      <c r="B86" s="398" t="n">
        <v>1384</v>
      </c>
      <c r="C86" s="398" t="n">
        <v>2051</v>
      </c>
      <c r="D86" s="398" t="n">
        <v>2924</v>
      </c>
      <c r="E86" s="398" t="n">
        <v>2768</v>
      </c>
      <c r="F86" s="398" t="n">
        <v>4641</v>
      </c>
      <c r="G86" s="398" t="n">
        <v>4850</v>
      </c>
      <c r="H86" s="398" t="n">
        <v>5546</v>
      </c>
      <c r="I86" s="399" t="n">
        <v>0</v>
      </c>
      <c r="J86" s="399" t="n">
        <v>0</v>
      </c>
      <c r="K86" s="399" t="n">
        <v>0</v>
      </c>
      <c r="L86" s="399" t="n">
        <v>0</v>
      </c>
      <c r="M86" s="399" t="n">
        <v>0</v>
      </c>
      <c r="R86" s="214" t="e">
        <f aca="false">((P86/M86)^(1/3))-1</f>
        <v>#DIV/0!</v>
      </c>
      <c r="S86" s="215" t="e">
        <f aca="false">((M86/J86)^(1/3))-1</f>
        <v>#DIV/0!</v>
      </c>
      <c r="T86" s="215" t="n">
        <f aca="false">((M86/H86)^(1/5))-1</f>
        <v>-1</v>
      </c>
      <c r="U86" s="215" t="n">
        <f aca="false">IF(D86&gt;0,((M86/D86)^(1/9))-1,"-")</f>
        <v>-1</v>
      </c>
      <c r="V86" s="216" t="e">
        <f aca="false">S86</f>
        <v>#DIV/0!</v>
      </c>
      <c r="W86" s="217" t="e">
        <f aca="false">V86</f>
        <v>#DIV/0!</v>
      </c>
      <c r="X86" s="218" t="e">
        <f aca="false">W86</f>
        <v>#DIV/0!</v>
      </c>
    </row>
    <row r="87" customFormat="false" ht="13.5" hidden="false" customHeight="true" outlineLevel="0" collapsed="false">
      <c r="A87" s="397" t="s">
        <v>206</v>
      </c>
      <c r="B87" s="398" t="n">
        <v>991</v>
      </c>
      <c r="C87" s="398" t="n">
        <v>1493</v>
      </c>
      <c r="D87" s="398" t="n">
        <v>1994</v>
      </c>
      <c r="E87" s="398" t="n">
        <v>2148</v>
      </c>
      <c r="F87" s="398" t="n">
        <v>2676</v>
      </c>
      <c r="G87" s="398" t="n">
        <v>3100</v>
      </c>
      <c r="H87" s="398" t="n">
        <v>3381</v>
      </c>
      <c r="I87" s="398" t="n">
        <v>4043</v>
      </c>
      <c r="J87" s="399" t="n">
        <v>0</v>
      </c>
      <c r="K87" s="399" t="n">
        <v>0</v>
      </c>
      <c r="L87" s="399" t="n">
        <v>0</v>
      </c>
      <c r="M87" s="399" t="n">
        <v>0</v>
      </c>
      <c r="R87" s="214" t="e">
        <f aca="false">((P87/M87)^(1/3))-1</f>
        <v>#DIV/0!</v>
      </c>
      <c r="S87" s="215" t="e">
        <f aca="false">((M87/J87)^(1/3))-1</f>
        <v>#DIV/0!</v>
      </c>
      <c r="T87" s="215" t="n">
        <f aca="false">((M87/H87)^(1/5))-1</f>
        <v>-1</v>
      </c>
      <c r="U87" s="215" t="n">
        <f aca="false">IF(D87&gt;0,((M87/D87)^(1/9))-1,"-")</f>
        <v>-1</v>
      </c>
      <c r="V87" s="216" t="e">
        <f aca="false">S87</f>
        <v>#DIV/0!</v>
      </c>
      <c r="W87" s="217" t="e">
        <f aca="false">V87</f>
        <v>#DIV/0!</v>
      </c>
      <c r="X87" s="218" t="e">
        <f aca="false">W87</f>
        <v>#DIV/0!</v>
      </c>
    </row>
    <row r="88" customFormat="false" ht="13.5" hidden="false" customHeight="true" outlineLevel="0" collapsed="false">
      <c r="A88" s="397" t="s">
        <v>207</v>
      </c>
      <c r="B88" s="398" t="n">
        <v>5179</v>
      </c>
      <c r="C88" s="398" t="n">
        <v>6027</v>
      </c>
      <c r="D88" s="398" t="n">
        <v>7009</v>
      </c>
      <c r="E88" s="398" t="n">
        <v>7121</v>
      </c>
      <c r="F88" s="398" t="n">
        <v>5531</v>
      </c>
      <c r="G88" s="398" t="n">
        <v>5569</v>
      </c>
      <c r="H88" s="398" t="n">
        <v>6223</v>
      </c>
      <c r="I88" s="398" t="n">
        <v>6864</v>
      </c>
      <c r="J88" s="399" t="n">
        <v>0</v>
      </c>
      <c r="K88" s="399" t="n">
        <v>0</v>
      </c>
      <c r="L88" s="399" t="n">
        <v>0</v>
      </c>
      <c r="M88" s="399" t="n">
        <v>0</v>
      </c>
      <c r="R88" s="214" t="e">
        <f aca="false">((P88/M88)^(1/3))-1</f>
        <v>#DIV/0!</v>
      </c>
      <c r="S88" s="215" t="e">
        <f aca="false">((M88/J88)^(1/3))-1</f>
        <v>#DIV/0!</v>
      </c>
      <c r="T88" s="215" t="n">
        <f aca="false">((M88/H88)^(1/5))-1</f>
        <v>-1</v>
      </c>
      <c r="U88" s="215" t="n">
        <f aca="false">IF(D88&gt;0,((M88/D88)^(1/9))-1,"-")</f>
        <v>-1</v>
      </c>
      <c r="V88" s="216" t="e">
        <f aca="false">S88</f>
        <v>#DIV/0!</v>
      </c>
      <c r="W88" s="217" t="e">
        <f aca="false">V88</f>
        <v>#DIV/0!</v>
      </c>
      <c r="X88" s="218" t="e">
        <f aca="false">W88</f>
        <v>#DIV/0!</v>
      </c>
    </row>
    <row r="89" customFormat="false" ht="13.5" hidden="false" customHeight="true" outlineLevel="0" collapsed="false">
      <c r="A89" s="397" t="s">
        <v>212</v>
      </c>
      <c r="B89" s="156" t="n">
        <v>0</v>
      </c>
      <c r="C89" s="156" t="n">
        <v>0</v>
      </c>
      <c r="D89" s="156" t="n">
        <v>0</v>
      </c>
      <c r="E89" s="156" t="n">
        <v>0</v>
      </c>
      <c r="F89" s="156" t="n">
        <v>0</v>
      </c>
      <c r="G89" s="156" t="n">
        <v>0</v>
      </c>
      <c r="H89" s="156" t="n">
        <v>0</v>
      </c>
      <c r="I89" s="400" t="n">
        <v>6447</v>
      </c>
      <c r="J89" s="156" t="n">
        <v>0</v>
      </c>
      <c r="K89" s="156" t="n">
        <v>0</v>
      </c>
      <c r="L89" s="156" t="n">
        <v>0</v>
      </c>
      <c r="M89" s="156" t="n">
        <v>0</v>
      </c>
      <c r="R89" s="214" t="e">
        <f aca="false">((P89/M89)^(1/3))-1</f>
        <v>#DIV/0!</v>
      </c>
      <c r="S89" s="215" t="e">
        <f aca="false">((M89/J89)^(1/3))-1</f>
        <v>#DIV/0!</v>
      </c>
      <c r="T89" s="215" t="e">
        <f aca="false">((M89/H89)^(1/5))-1</f>
        <v>#DIV/0!</v>
      </c>
      <c r="U89" s="215" t="str">
        <f aca="false">IF(D89&gt;0,((M89/D89)^(1/9))-1,"-")</f>
        <v>-</v>
      </c>
      <c r="V89" s="216" t="e">
        <f aca="false">S89</f>
        <v>#DIV/0!</v>
      </c>
      <c r="W89" s="217" t="e">
        <f aca="false">V89</f>
        <v>#DIV/0!</v>
      </c>
      <c r="X89" s="218" t="e">
        <f aca="false">W89</f>
        <v>#DIV/0!</v>
      </c>
    </row>
    <row r="90" customFormat="false" ht="13.5" hidden="false" customHeight="true" outlineLevel="0" collapsed="false">
      <c r="A90" s="397" t="s">
        <v>210</v>
      </c>
      <c r="B90" s="400" t="n">
        <v>12112</v>
      </c>
      <c r="C90" s="400" t="n">
        <v>17389</v>
      </c>
      <c r="D90" s="400" t="n">
        <v>26655</v>
      </c>
      <c r="E90" s="400" t="n">
        <v>29971</v>
      </c>
      <c r="F90" s="400" t="n">
        <v>44259</v>
      </c>
      <c r="G90" s="400" t="n">
        <v>59755</v>
      </c>
      <c r="H90" s="400" t="n">
        <v>55736</v>
      </c>
      <c r="I90" s="400" t="n">
        <v>56472</v>
      </c>
      <c r="J90" s="156" t="n">
        <v>0</v>
      </c>
      <c r="K90" s="156" t="n">
        <v>0</v>
      </c>
      <c r="L90" s="156" t="n">
        <v>0</v>
      </c>
      <c r="M90" s="156" t="n">
        <v>0</v>
      </c>
      <c r="R90" s="214" t="e">
        <f aca="false">((P90/M90)^(1/3))-1</f>
        <v>#DIV/0!</v>
      </c>
      <c r="S90" s="215" t="e">
        <f aca="false">((M90/J90)^(1/3))-1</f>
        <v>#DIV/0!</v>
      </c>
      <c r="T90" s="215" t="n">
        <f aca="false">((M90/H90)^(1/5))-1</f>
        <v>-1</v>
      </c>
      <c r="U90" s="215" t="n">
        <f aca="false">IF(D90&gt;0,((M90/D90)^(1/9))-1,"-")</f>
        <v>-1</v>
      </c>
      <c r="V90" s="216" t="e">
        <f aca="false">S90</f>
        <v>#DIV/0!</v>
      </c>
      <c r="W90" s="217" t="e">
        <f aca="false">V90</f>
        <v>#DIV/0!</v>
      </c>
      <c r="X90" s="218" t="e">
        <f aca="false">W90</f>
        <v>#DIV/0!</v>
      </c>
    </row>
    <row r="91" customFormat="false" ht="13.5" hidden="false" customHeight="true" outlineLevel="0" collapsed="false">
      <c r="A91" s="389"/>
      <c r="R91" s="214" t="e">
        <f aca="false">((P91/M91)^(1/3))-1</f>
        <v>#DIV/0!</v>
      </c>
      <c r="S91" s="215" t="e">
        <f aca="false">((M91/J91)^(1/3))-1</f>
        <v>#DIV/0!</v>
      </c>
      <c r="T91" s="215" t="e">
        <f aca="false">((M91/H91)^(1/5))-1</f>
        <v>#DIV/0!</v>
      </c>
      <c r="U91" s="215" t="str">
        <f aca="false">IF(D91&gt;0,((M91/D91)^(1/9))-1,"-")</f>
        <v>-</v>
      </c>
      <c r="V91" s="216" t="e">
        <f aca="false">S91</f>
        <v>#DIV/0!</v>
      </c>
      <c r="W91" s="217" t="e">
        <f aca="false">V91</f>
        <v>#DIV/0!</v>
      </c>
      <c r="X91" s="218" t="e">
        <f aca="false">W91</f>
        <v>#DIV/0!</v>
      </c>
    </row>
    <row r="92" customFormat="false" ht="13.5" hidden="false" customHeight="true" outlineLevel="0" collapsed="false">
      <c r="A92" s="389" t="s">
        <v>191</v>
      </c>
      <c r="R92" s="214" t="e">
        <f aca="false">((P92/M92)^(1/3))-1</f>
        <v>#DIV/0!</v>
      </c>
      <c r="S92" s="215" t="e">
        <f aca="false">((M92/J92)^(1/3))-1</f>
        <v>#DIV/0!</v>
      </c>
      <c r="T92" s="215" t="e">
        <f aca="false">((M92/H92)^(1/5))-1</f>
        <v>#DIV/0!</v>
      </c>
      <c r="U92" s="215" t="str">
        <f aca="false">IF(D92&gt;0,((M92/D92)^(1/9))-1,"-")</f>
        <v>-</v>
      </c>
      <c r="V92" s="216" t="e">
        <f aca="false">S92</f>
        <v>#DIV/0!</v>
      </c>
      <c r="W92" s="217" t="e">
        <f aca="false">V92</f>
        <v>#DIV/0!</v>
      </c>
      <c r="X92" s="218" t="e">
        <f aca="false">W92</f>
        <v>#DIV/0!</v>
      </c>
    </row>
    <row r="93" customFormat="false" ht="12.75" hidden="false" customHeight="false" outlineLevel="0" collapsed="false">
      <c r="A93" s="156" t="s">
        <v>208</v>
      </c>
      <c r="B93" s="400" t="n">
        <f aca="false">SUM(B84:B92)</f>
        <v>30137</v>
      </c>
      <c r="C93" s="400" t="n">
        <f aca="false">SUM(C84:C92)</f>
        <v>39341</v>
      </c>
      <c r="D93" s="400" t="n">
        <f aca="false">SUM(D84:D92)</f>
        <v>49903</v>
      </c>
      <c r="E93" s="400" t="n">
        <f aca="false">SUM(E84:E92)</f>
        <v>51762</v>
      </c>
      <c r="F93" s="400" t="n">
        <f aca="false">SUM(F84:F92)</f>
        <v>71427</v>
      </c>
      <c r="G93" s="400" t="n">
        <f aca="false">SUM(G84:G92)</f>
        <v>86580</v>
      </c>
      <c r="H93" s="400" t="n">
        <f aca="false">SUM(H84:H92)</f>
        <v>85530</v>
      </c>
      <c r="I93" s="400" t="n">
        <f aca="false">SUM(I84:I92)</f>
        <v>89899</v>
      </c>
      <c r="J93" s="400" t="n">
        <f aca="false">SUM(J84:J92)</f>
        <v>0</v>
      </c>
      <c r="K93" s="400" t="n">
        <f aca="false">SUM(K84:K92)</f>
        <v>0</v>
      </c>
      <c r="L93" s="400" t="n">
        <f aca="false">SUM(L84:L92)</f>
        <v>0</v>
      </c>
      <c r="M93" s="400" t="n">
        <f aca="false">SUM(M84:M92)</f>
        <v>0</v>
      </c>
      <c r="N93" s="400" t="n">
        <f aca="false">SUM(N84:N92)</f>
        <v>0</v>
      </c>
      <c r="O93" s="400" t="n">
        <f aca="false">SUM(O84:O92)</f>
        <v>0</v>
      </c>
      <c r="P93" s="400" t="n">
        <f aca="false">SUM(P84:P92)</f>
        <v>0</v>
      </c>
      <c r="R93" s="214" t="e">
        <f aca="false">((P93/M93)^(1/3))-1</f>
        <v>#DIV/0!</v>
      </c>
      <c r="S93" s="215" t="e">
        <f aca="false">((M93/J93)^(1/3))-1</f>
        <v>#DIV/0!</v>
      </c>
      <c r="T93" s="215" t="n">
        <f aca="false">((M93/H93)^(1/5))-1</f>
        <v>-1</v>
      </c>
      <c r="U93" s="215" t="n">
        <f aca="false">IF(D93&gt;0,((M93/D93)^(1/9))-1,"-")</f>
        <v>-1</v>
      </c>
      <c r="V93" s="216" t="e">
        <f aca="false">S93</f>
        <v>#DIV/0!</v>
      </c>
      <c r="W93" s="217" t="e">
        <f aca="false">V93</f>
        <v>#DIV/0!</v>
      </c>
      <c r="X93" s="218" t="e">
        <f aca="false">W93</f>
        <v>#DIV/0!</v>
      </c>
    </row>
  </sheetData>
  <conditionalFormatting sqref="F3:M3">
    <cfRule type="cellIs" priority="2" operator="greaterThanOrEqual" aboveAverage="0" equalAverage="0" bottom="0" percent="0" rank="0" text="" dxfId="0">
      <formula>E3</formula>
    </cfRule>
    <cfRule type="cellIs" priority="3" operator="lessThan" aboveAverage="0" equalAverage="0" bottom="0" percent="0" rank="0" text="" dxfId="1">
      <formula>E3</formula>
    </cfRule>
    <cfRule type="cellIs" priority="4" operator="greaterThanOrEqual" aboveAverage="0" equalAverage="0" bottom="0" percent="0" rank="0" text="" dxfId="0">
      <formula>E3</formula>
    </cfRule>
    <cfRule type="cellIs" priority="5" operator="lessThan" aboveAverage="0" equalAverage="0" bottom="0" percent="0" rank="0" text="" dxfId="1">
      <formula>E3</formula>
    </cfRule>
  </conditionalFormatting>
  <conditionalFormatting sqref="E2:E3">
    <cfRule type="cellIs" priority="6" operator="greaterThanOrEqual" aboveAverage="0" equalAverage="0" bottom="0" percent="0" rank="0" text="" dxfId="0">
      <formula>D2</formula>
    </cfRule>
    <cfRule type="cellIs" priority="7" operator="lessThan" aboveAverage="0" equalAverage="0" bottom="0" percent="0" rank="0" text="" dxfId="1">
      <formula>D2</formula>
    </cfRule>
    <cfRule type="cellIs" priority="8" operator="greaterThanOrEqual" aboveAverage="0" equalAverage="0" bottom="0" percent="0" rank="0" text="" dxfId="0">
      <formula>D2</formula>
    </cfRule>
    <cfRule type="cellIs" priority="9" operator="lessThan" aboveAverage="0" equalAverage="0" bottom="0" percent="0" rank="0" text="" dxfId="1">
      <formula>D2</formula>
    </cfRule>
  </conditionalFormatting>
  <conditionalFormatting sqref="F2:M2">
    <cfRule type="cellIs" priority="10" operator="greaterThanOrEqual" aboveAverage="0" equalAverage="0" bottom="0" percent="0" rank="0" text="" dxfId="0">
      <formula>E2</formula>
    </cfRule>
    <cfRule type="cellIs" priority="11" operator="lessThan" aboveAverage="0" equalAverage="0" bottom="0" percent="0" rank="0" text="" dxfId="1">
      <formula>E2</formula>
    </cfRule>
    <cfRule type="cellIs" priority="12" operator="greaterThanOrEqual" aboveAverage="0" equalAverage="0" bottom="0" percent="0" rank="0" text="" dxfId="0">
      <formula>E2</formula>
    </cfRule>
    <cfRule type="cellIs" priority="13" operator="lessThan" aboveAverage="0" equalAverage="0" bottom="0" percent="0" rank="0" text="" dxfId="1">
      <formula>E2</formula>
    </cfRule>
  </conditionalFormatting>
  <conditionalFormatting sqref="F2:F3">
    <cfRule type="cellIs" priority="14" operator="greaterThanOrEqual" aboveAverage="0" equalAverage="0" bottom="0" percent="0" rank="0" text="" dxfId="0">
      <formula>E2</formula>
    </cfRule>
    <cfRule type="cellIs" priority="15" operator="lessThan" aboveAverage="0" equalAverage="0" bottom="0" percent="0" rank="0" text="" dxfId="1">
      <formula>E2</formula>
    </cfRule>
    <cfRule type="cellIs" priority="16" operator="greaterThanOrEqual" aboveAverage="0" equalAverage="0" bottom="0" percent="0" rank="0" text="" dxfId="0">
      <formula>E2</formula>
    </cfRule>
    <cfRule type="cellIs" priority="17" operator="lessThan" aboveAverage="0" equalAverage="0" bottom="0" percent="0" rank="0" text="" dxfId="1">
      <formula>E2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Q16" activeCellId="0" sqref="Q16"/>
    </sheetView>
  </sheetViews>
  <sheetFormatPr defaultColWidth="8.71484375" defaultRowHeight="12.75" zeroHeight="false" outlineLevelRow="0" outlineLevelCol="0"/>
  <cols>
    <col collapsed="false" customWidth="true" hidden="false" outlineLevel="0" max="1" min="1" style="156" width="18.57"/>
    <col collapsed="false" customWidth="true" hidden="false" outlineLevel="0" max="14" min="2" style="156" width="10.14"/>
    <col collapsed="false" customWidth="false" hidden="false" outlineLevel="0" max="16384" min="15" style="156" width="8.71"/>
  </cols>
  <sheetData>
    <row r="1" customFormat="false" ht="12.75" hidden="false" customHeight="false" outlineLevel="0" collapsed="false">
      <c r="B1" s="387" t="str">
        <f aca="false">'Data Sheet'!B1</f>
        <v>GRAVITA INDIA LTD</v>
      </c>
      <c r="C1" s="156" t="n">
        <f aca="false">VLOOKUP(B1,Lookup!A:C,3,FALSE())</f>
        <v>215690</v>
      </c>
      <c r="D1" s="401" t="s">
        <v>213</v>
      </c>
      <c r="E1" s="156" t="str">
        <f aca="false">CONCATENATE(D1,C1)</f>
        <v>https://goindiastocks.com/GIA/stockDashboard?Fincode=215690</v>
      </c>
    </row>
    <row r="2" customFormat="false" ht="12.75" hidden="false" customHeight="false" outlineLevel="0" collapsed="false">
      <c r="C2" s="156" t="str">
        <f aca="false">VLOOKUP(B1,Lookup!A:C,2,FALSE())</f>
        <v>GRAVITA</v>
      </c>
    </row>
    <row r="3" customFormat="false" ht="12.75" hidden="false" customHeight="false" outlineLevel="0" collapsed="false">
      <c r="A3" s="156" t="e">
        <f aca="false">[1]sheet1!a2</f>
        <v>#NAME?</v>
      </c>
      <c r="B3" s="402" t="e">
        <f aca="false">[1]sheet1!b2</f>
        <v>#NAME?</v>
      </c>
      <c r="C3" s="402" t="e">
        <f aca="false">[1]sheet1!c2</f>
        <v>#NAME?</v>
      </c>
      <c r="D3" s="402" t="e">
        <f aca="false">[1]sheet1!d2</f>
        <v>#NAME?</v>
      </c>
      <c r="E3" s="402" t="e">
        <f aca="false">[1]sheet1!e2</f>
        <v>#NAME?</v>
      </c>
      <c r="F3" s="402" t="e">
        <f aca="false">[1]sheet1!f2</f>
        <v>#NAME?</v>
      </c>
      <c r="G3" s="402" t="e">
        <f aca="false">[1]sheet1!g2</f>
        <v>#NAME?</v>
      </c>
      <c r="H3" s="402" t="e">
        <f aca="false">[1]sheet1!h2</f>
        <v>#NAME?</v>
      </c>
      <c r="I3" s="402" t="e">
        <f aca="false">[1]sheet1!i2</f>
        <v>#NAME?</v>
      </c>
      <c r="J3" s="402" t="e">
        <f aca="false">[1]sheet1!j2</f>
        <v>#NAME?</v>
      </c>
      <c r="K3" s="402" t="e">
        <f aca="false">[1]sheet1!k2</f>
        <v>#NAME?</v>
      </c>
      <c r="L3" s="402" t="e">
        <f aca="false">[1]sheet1!l2</f>
        <v>#NAME?</v>
      </c>
      <c r="M3" s="402" t="e">
        <f aca="false">[1]sheet1!m2</f>
        <v>#NAME?</v>
      </c>
      <c r="N3" s="402" t="e">
        <f aca="false">[1]sheet1!n2</f>
        <v>#NAME?</v>
      </c>
    </row>
    <row r="4" customFormat="false" ht="12.75" hidden="false" customHeight="false" outlineLevel="0" collapsed="false">
      <c r="A4" s="156" t="e">
        <f aca="false">[1]sheet1!a3</f>
        <v>#NAME?</v>
      </c>
      <c r="B4" s="402" t="e">
        <f aca="false">[1]sheet1!b3</f>
        <v>#NAME?</v>
      </c>
      <c r="C4" s="402" t="e">
        <f aca="false">[1]sheet1!c3</f>
        <v>#NAME?</v>
      </c>
      <c r="D4" s="402" t="e">
        <f aca="false">[1]sheet1!d3</f>
        <v>#NAME?</v>
      </c>
      <c r="E4" s="402" t="e">
        <f aca="false">[1]sheet1!e3</f>
        <v>#NAME?</v>
      </c>
      <c r="F4" s="402" t="e">
        <f aca="false">[1]sheet1!f3</f>
        <v>#NAME?</v>
      </c>
      <c r="G4" s="402" t="e">
        <f aca="false">[1]sheet1!g3</f>
        <v>#NAME?</v>
      </c>
      <c r="H4" s="402" t="e">
        <f aca="false">[1]sheet1!h3</f>
        <v>#NAME?</v>
      </c>
      <c r="I4" s="402" t="e">
        <f aca="false">[1]sheet1!i3</f>
        <v>#NAME?</v>
      </c>
      <c r="J4" s="402" t="e">
        <f aca="false">[1]sheet1!j3</f>
        <v>#NAME?</v>
      </c>
      <c r="K4" s="402" t="e">
        <f aca="false">[1]sheet1!k3</f>
        <v>#NAME?</v>
      </c>
      <c r="L4" s="402" t="e">
        <f aca="false">[1]sheet1!l3</f>
        <v>#NAME?</v>
      </c>
      <c r="M4" s="402" t="e">
        <f aca="false">[1]sheet1!m3</f>
        <v>#NAME?</v>
      </c>
      <c r="N4" s="402" t="e">
        <f aca="false">[1]sheet1!n3</f>
        <v>#NAME?</v>
      </c>
    </row>
    <row r="5" customFormat="false" ht="12.75" hidden="false" customHeight="false" outlineLevel="0" collapsed="false">
      <c r="A5" s="156" t="e">
        <f aca="false">[1]sheet1!a4</f>
        <v>#NAME?</v>
      </c>
      <c r="B5" s="403" t="e">
        <f aca="false">[1]sheet1!b4</f>
        <v>#NAME?</v>
      </c>
      <c r="C5" s="403" t="e">
        <f aca="false">[1]sheet1!c4</f>
        <v>#NAME?</v>
      </c>
      <c r="D5" s="403" t="e">
        <f aca="false">[1]sheet1!d4</f>
        <v>#NAME?</v>
      </c>
      <c r="E5" s="403" t="e">
        <f aca="false">[1]sheet1!e4</f>
        <v>#NAME?</v>
      </c>
      <c r="F5" s="403" t="e">
        <f aca="false">[1]sheet1!f4</f>
        <v>#NAME?</v>
      </c>
      <c r="G5" s="403" t="e">
        <f aca="false">[1]sheet1!g4</f>
        <v>#NAME?</v>
      </c>
      <c r="H5" s="403" t="e">
        <f aca="false">[1]sheet1!h4</f>
        <v>#NAME?</v>
      </c>
      <c r="I5" s="403" t="e">
        <f aca="false">[1]sheet1!i4</f>
        <v>#NAME?</v>
      </c>
      <c r="J5" s="403" t="e">
        <f aca="false">[1]sheet1!j4</f>
        <v>#NAME?</v>
      </c>
      <c r="K5" s="403" t="e">
        <f aca="false">[1]sheet1!k4</f>
        <v>#NAME?</v>
      </c>
      <c r="L5" s="403" t="e">
        <f aca="false">[1]sheet1!l4</f>
        <v>#NAME?</v>
      </c>
      <c r="M5" s="403" t="e">
        <f aca="false">[1]sheet1!m4</f>
        <v>#NAME?</v>
      </c>
      <c r="N5" s="403" t="e">
        <f aca="false">[1]sheet1!n4</f>
        <v>#NAME?</v>
      </c>
    </row>
    <row r="6" customFormat="false" ht="12.75" hidden="false" customHeight="false" outlineLevel="0" collapsed="false">
      <c r="A6" s="156" t="e">
        <f aca="false">[1]sheet1!a5</f>
        <v>#NAME?</v>
      </c>
      <c r="B6" s="402" t="e">
        <f aca="false">[1]sheet1!b5</f>
        <v>#NAME?</v>
      </c>
      <c r="C6" s="402" t="e">
        <f aca="false">[1]sheet1!c5</f>
        <v>#NAME?</v>
      </c>
      <c r="D6" s="402" t="e">
        <f aca="false">[1]sheet1!d5</f>
        <v>#NAME?</v>
      </c>
      <c r="E6" s="402" t="e">
        <f aca="false">[1]sheet1!e5</f>
        <v>#NAME?</v>
      </c>
      <c r="F6" s="402" t="e">
        <f aca="false">[1]sheet1!f5</f>
        <v>#NAME?</v>
      </c>
      <c r="G6" s="402" t="e">
        <f aca="false">[1]sheet1!g5</f>
        <v>#NAME?</v>
      </c>
      <c r="H6" s="402" t="e">
        <f aca="false">[1]sheet1!h5</f>
        <v>#NAME?</v>
      </c>
      <c r="I6" s="402" t="e">
        <f aca="false">[1]sheet1!i5</f>
        <v>#NAME?</v>
      </c>
      <c r="J6" s="402" t="e">
        <f aca="false">[1]sheet1!j5</f>
        <v>#NAME?</v>
      </c>
      <c r="K6" s="402" t="e">
        <f aca="false">[1]sheet1!k5</f>
        <v>#NAME?</v>
      </c>
      <c r="L6" s="402" t="e">
        <f aca="false">[1]sheet1!l5</f>
        <v>#NAME?</v>
      </c>
      <c r="M6" s="402" t="e">
        <f aca="false">[1]sheet1!m5</f>
        <v>#NAME?</v>
      </c>
      <c r="N6" s="402" t="e">
        <f aca="false">[1]sheet1!n5</f>
        <v>#NAME?</v>
      </c>
    </row>
    <row r="7" customFormat="false" ht="12.75" hidden="false" customHeight="false" outlineLevel="0" collapsed="false">
      <c r="A7" s="156" t="e">
        <f aca="false">[1]sheet1!a6</f>
        <v>#NAME?</v>
      </c>
      <c r="B7" s="403" t="e">
        <f aca="false">[1]sheet1!b6</f>
        <v>#NAME?</v>
      </c>
      <c r="C7" s="403" t="e">
        <f aca="false">[1]sheet1!c6</f>
        <v>#NAME?</v>
      </c>
      <c r="D7" s="403" t="e">
        <f aca="false">[1]sheet1!d6</f>
        <v>#NAME?</v>
      </c>
      <c r="E7" s="403" t="e">
        <f aca="false">[1]sheet1!e6</f>
        <v>#NAME?</v>
      </c>
      <c r="F7" s="403" t="e">
        <f aca="false">[1]sheet1!f6</f>
        <v>#NAME?</v>
      </c>
      <c r="G7" s="403" t="e">
        <f aca="false">[1]sheet1!g6</f>
        <v>#NAME?</v>
      </c>
      <c r="H7" s="403" t="e">
        <f aca="false">[1]sheet1!h6</f>
        <v>#NAME?</v>
      </c>
      <c r="I7" s="403" t="e">
        <f aca="false">[1]sheet1!i6</f>
        <v>#NAME?</v>
      </c>
      <c r="J7" s="403" t="e">
        <f aca="false">[1]sheet1!j6</f>
        <v>#NAME?</v>
      </c>
      <c r="K7" s="403" t="e">
        <f aca="false">[1]sheet1!k6</f>
        <v>#NAME?</v>
      </c>
      <c r="L7" s="403" t="e">
        <f aca="false">[1]sheet1!l6</f>
        <v>#NAME?</v>
      </c>
      <c r="M7" s="403" t="e">
        <f aca="false">[1]sheet1!m6</f>
        <v>#NAME?</v>
      </c>
      <c r="N7" s="403" t="e">
        <f aca="false">[1]sheet1!n6</f>
        <v>#NAME?</v>
      </c>
    </row>
    <row r="8" customFormat="false" ht="12.75" hidden="false" customHeight="false" outlineLevel="0" collapsed="false">
      <c r="A8" s="156" t="e">
        <f aca="false">[1]sheet1!a7</f>
        <v>#NAME?</v>
      </c>
      <c r="B8" s="404" t="e">
        <f aca="false">[1]sheet1!b7</f>
        <v>#NAME?</v>
      </c>
      <c r="C8" s="404" t="e">
        <f aca="false">[1]sheet1!c7</f>
        <v>#NAME?</v>
      </c>
      <c r="D8" s="404" t="e">
        <f aca="false">[1]sheet1!d7</f>
        <v>#NAME?</v>
      </c>
      <c r="E8" s="404" t="e">
        <f aca="false">[1]sheet1!e7</f>
        <v>#NAME?</v>
      </c>
      <c r="F8" s="404" t="e">
        <f aca="false">[1]sheet1!f7</f>
        <v>#NAME?</v>
      </c>
      <c r="G8" s="404" t="e">
        <f aca="false">[1]sheet1!g7</f>
        <v>#NAME?</v>
      </c>
      <c r="H8" s="404" t="e">
        <f aca="false">[1]sheet1!h7</f>
        <v>#NAME?</v>
      </c>
      <c r="I8" s="404" t="e">
        <f aca="false">[1]sheet1!i7</f>
        <v>#NAME?</v>
      </c>
      <c r="J8" s="404" t="e">
        <f aca="false">[1]sheet1!j7</f>
        <v>#NAME?</v>
      </c>
      <c r="K8" s="404" t="e">
        <f aca="false">[1]sheet1!k7</f>
        <v>#NAME?</v>
      </c>
      <c r="L8" s="404" t="e">
        <f aca="false">[1]sheet1!l7</f>
        <v>#NAME?</v>
      </c>
      <c r="M8" s="404" t="e">
        <f aca="false">[1]sheet1!m7</f>
        <v>#NAME?</v>
      </c>
      <c r="N8" s="404" t="e">
        <f aca="false">[1]sheet1!n7</f>
        <v>#NAME?</v>
      </c>
    </row>
    <row r="9" customFormat="false" ht="12.75" hidden="false" customHeight="false" outlineLevel="0" collapsed="false">
      <c r="A9" s="156" t="e">
        <f aca="false">[1]sheet1!a8</f>
        <v>#NAME?</v>
      </c>
      <c r="B9" s="402" t="e">
        <f aca="false">[1]sheet1!b8</f>
        <v>#NAME?</v>
      </c>
      <c r="C9" s="402" t="e">
        <f aca="false">[1]sheet1!c8</f>
        <v>#NAME?</v>
      </c>
      <c r="D9" s="402" t="e">
        <f aca="false">[1]sheet1!d8</f>
        <v>#NAME?</v>
      </c>
      <c r="E9" s="402" t="e">
        <f aca="false">[1]sheet1!e8</f>
        <v>#NAME?</v>
      </c>
      <c r="F9" s="402" t="e">
        <f aca="false">[1]sheet1!f8</f>
        <v>#NAME?</v>
      </c>
      <c r="G9" s="402" t="e">
        <f aca="false">[1]sheet1!g8</f>
        <v>#NAME?</v>
      </c>
      <c r="H9" s="402" t="e">
        <f aca="false">[1]sheet1!h8</f>
        <v>#NAME?</v>
      </c>
      <c r="I9" s="402" t="e">
        <f aca="false">[1]sheet1!i8</f>
        <v>#NAME?</v>
      </c>
      <c r="J9" s="402" t="e">
        <f aca="false">[1]sheet1!j8</f>
        <v>#NAME?</v>
      </c>
      <c r="K9" s="402" t="e">
        <f aca="false">[1]sheet1!k8</f>
        <v>#NAME?</v>
      </c>
      <c r="L9" s="402" t="e">
        <f aca="false">[1]sheet1!l8</f>
        <v>#NAME?</v>
      </c>
      <c r="M9" s="402" t="e">
        <f aca="false">[1]sheet1!m8</f>
        <v>#NAME?</v>
      </c>
      <c r="N9" s="402" t="e">
        <f aca="false">[1]sheet1!n8</f>
        <v>#NAME?</v>
      </c>
    </row>
    <row r="10" customFormat="false" ht="12.75" hidden="false" customHeight="false" outlineLevel="0" collapsed="false">
      <c r="A10" s="156" t="e">
        <f aca="false">[1]sheet1!a9</f>
        <v>#NAME?</v>
      </c>
      <c r="B10" s="403" t="e">
        <f aca="false">[1]sheet1!b9</f>
        <v>#NAME?</v>
      </c>
      <c r="C10" s="403" t="e">
        <f aca="false">[1]sheet1!c9</f>
        <v>#NAME?</v>
      </c>
      <c r="D10" s="403" t="e">
        <f aca="false">[1]sheet1!d9</f>
        <v>#NAME?</v>
      </c>
      <c r="E10" s="403" t="e">
        <f aca="false">[1]sheet1!e9</f>
        <v>#NAME?</v>
      </c>
      <c r="F10" s="403" t="e">
        <f aca="false">[1]sheet1!f9</f>
        <v>#NAME?</v>
      </c>
      <c r="G10" s="403" t="e">
        <f aca="false">[1]sheet1!g9</f>
        <v>#NAME?</v>
      </c>
      <c r="H10" s="403" t="e">
        <f aca="false">[1]sheet1!h9</f>
        <v>#NAME?</v>
      </c>
      <c r="I10" s="403" t="e">
        <f aca="false">[1]sheet1!i9</f>
        <v>#NAME?</v>
      </c>
      <c r="J10" s="403" t="e">
        <f aca="false">[1]sheet1!j9</f>
        <v>#NAME?</v>
      </c>
      <c r="K10" s="403" t="e">
        <f aca="false">[1]sheet1!k9</f>
        <v>#NAME?</v>
      </c>
      <c r="L10" s="403" t="e">
        <f aca="false">[1]sheet1!l9</f>
        <v>#NAME?</v>
      </c>
      <c r="M10" s="403" t="e">
        <f aca="false">[1]sheet1!m9</f>
        <v>#NAME?</v>
      </c>
      <c r="N10" s="403" t="e">
        <f aca="false">[1]sheet1!n9</f>
        <v>#NAME?</v>
      </c>
    </row>
    <row r="11" customFormat="false" ht="12.75" hidden="false" customHeight="false" outlineLevel="0" collapsed="false">
      <c r="A11" s="156" t="e">
        <f aca="false">[1]sheet1!a10</f>
        <v>#NAME?</v>
      </c>
      <c r="B11" s="404" t="e">
        <f aca="false">[1]sheet1!b10</f>
        <v>#NAME?</v>
      </c>
      <c r="C11" s="404" t="e">
        <f aca="false">[1]sheet1!c10</f>
        <v>#NAME?</v>
      </c>
      <c r="D11" s="404" t="e">
        <f aca="false">[1]sheet1!d10</f>
        <v>#NAME?</v>
      </c>
      <c r="E11" s="404" t="e">
        <f aca="false">[1]sheet1!e10</f>
        <v>#NAME?</v>
      </c>
      <c r="F11" s="404" t="e">
        <f aca="false">[1]sheet1!f10</f>
        <v>#NAME?</v>
      </c>
      <c r="G11" s="404" t="e">
        <f aca="false">[1]sheet1!g10</f>
        <v>#NAME?</v>
      </c>
      <c r="H11" s="404" t="e">
        <f aca="false">[1]sheet1!h10</f>
        <v>#NAME?</v>
      </c>
      <c r="I11" s="404" t="e">
        <f aca="false">[1]sheet1!i10</f>
        <v>#NAME?</v>
      </c>
      <c r="J11" s="404" t="e">
        <f aca="false">[1]sheet1!j10</f>
        <v>#NAME?</v>
      </c>
      <c r="K11" s="404" t="e">
        <f aca="false">[1]sheet1!k10</f>
        <v>#NAME?</v>
      </c>
      <c r="L11" s="404" t="e">
        <f aca="false">[1]sheet1!l10</f>
        <v>#NAME?</v>
      </c>
      <c r="M11" s="404" t="e">
        <f aca="false">[1]sheet1!m10</f>
        <v>#NAME?</v>
      </c>
      <c r="N11" s="404" t="e">
        <f aca="false">[1]sheet1!n10</f>
        <v>#NAME?</v>
      </c>
    </row>
    <row r="12" customFormat="false" ht="12.75" hidden="false" customHeight="false" outlineLevel="0" collapsed="false">
      <c r="A12" s="156" t="e">
        <f aca="false">[1]sheet1!a11</f>
        <v>#NAME?</v>
      </c>
      <c r="B12" s="402" t="e">
        <f aca="false">[1]sheet1!b11</f>
        <v>#NAME?</v>
      </c>
      <c r="C12" s="402" t="e">
        <f aca="false">[1]sheet1!c11</f>
        <v>#NAME?</v>
      </c>
      <c r="D12" s="402" t="e">
        <f aca="false">[1]sheet1!d11</f>
        <v>#NAME?</v>
      </c>
      <c r="E12" s="402" t="e">
        <f aca="false">[1]sheet1!e11</f>
        <v>#NAME?</v>
      </c>
      <c r="F12" s="402" t="e">
        <f aca="false">[1]sheet1!f11</f>
        <v>#NAME?</v>
      </c>
      <c r="G12" s="402" t="e">
        <f aca="false">[1]sheet1!g11</f>
        <v>#NAME?</v>
      </c>
      <c r="H12" s="402" t="e">
        <f aca="false">[1]sheet1!h11</f>
        <v>#NAME?</v>
      </c>
      <c r="I12" s="402" t="e">
        <f aca="false">[1]sheet1!i11</f>
        <v>#NAME?</v>
      </c>
      <c r="J12" s="402" t="e">
        <f aca="false">[1]sheet1!j11</f>
        <v>#NAME?</v>
      </c>
      <c r="K12" s="402" t="e">
        <f aca="false">[1]sheet1!k11</f>
        <v>#NAME?</v>
      </c>
      <c r="L12" s="402" t="e">
        <f aca="false">[1]sheet1!l11</f>
        <v>#NAME?</v>
      </c>
      <c r="M12" s="402" t="e">
        <f aca="false">[1]sheet1!m11</f>
        <v>#NAME?</v>
      </c>
      <c r="N12" s="402" t="e">
        <f aca="false">[1]sheet1!n11</f>
        <v>#NAME?</v>
      </c>
    </row>
    <row r="13" customFormat="false" ht="12.75" hidden="false" customHeight="false" outlineLevel="0" collapsed="false">
      <c r="A13" s="156" t="e">
        <f aca="false">[1]sheet1!a12</f>
        <v>#NAME?</v>
      </c>
      <c r="B13" s="403" t="e">
        <f aca="false">[1]sheet1!b12</f>
        <v>#NAME?</v>
      </c>
      <c r="C13" s="403" t="e">
        <f aca="false">[1]sheet1!c12</f>
        <v>#NAME?</v>
      </c>
      <c r="D13" s="403" t="e">
        <f aca="false">[1]sheet1!d12</f>
        <v>#NAME?</v>
      </c>
      <c r="E13" s="403" t="e">
        <f aca="false">[1]sheet1!e12</f>
        <v>#NAME?</v>
      </c>
      <c r="F13" s="403" t="e">
        <f aca="false">[1]sheet1!f12</f>
        <v>#NAME?</v>
      </c>
      <c r="G13" s="403" t="e">
        <f aca="false">[1]sheet1!g12</f>
        <v>#NAME?</v>
      </c>
      <c r="H13" s="403" t="e">
        <f aca="false">[1]sheet1!h12</f>
        <v>#NAME?</v>
      </c>
      <c r="I13" s="403" t="e">
        <f aca="false">[1]sheet1!i12</f>
        <v>#NAME?</v>
      </c>
      <c r="J13" s="403" t="e">
        <f aca="false">[1]sheet1!j12</f>
        <v>#NAME?</v>
      </c>
      <c r="K13" s="403" t="e">
        <f aca="false">[1]sheet1!k12</f>
        <v>#NAME?</v>
      </c>
      <c r="L13" s="403" t="e">
        <f aca="false">[1]sheet1!l12</f>
        <v>#NAME?</v>
      </c>
      <c r="M13" s="403" t="e">
        <f aca="false">[1]sheet1!m12</f>
        <v>#NAME?</v>
      </c>
      <c r="N13" s="403" t="e">
        <f aca="false">[1]sheet1!n12</f>
        <v>#NAME?</v>
      </c>
    </row>
    <row r="14" customFormat="false" ht="12.75" hidden="false" customHeight="false" outlineLevel="0" collapsed="false">
      <c r="A14" s="156" t="e">
        <f aca="false">[1]sheet1!a13</f>
        <v>#NAME?</v>
      </c>
      <c r="B14" s="402" t="e">
        <f aca="false">[1]sheet1!b13</f>
        <v>#NAME?</v>
      </c>
      <c r="C14" s="402" t="e">
        <f aca="false">[1]sheet1!c13</f>
        <v>#NAME?</v>
      </c>
      <c r="D14" s="402" t="e">
        <f aca="false">[1]sheet1!d13</f>
        <v>#NAME?</v>
      </c>
      <c r="E14" s="402" t="e">
        <f aca="false">[1]sheet1!e13</f>
        <v>#NAME?</v>
      </c>
      <c r="F14" s="402" t="e">
        <f aca="false">[1]sheet1!f13</f>
        <v>#NAME?</v>
      </c>
      <c r="G14" s="402" t="e">
        <f aca="false">[1]sheet1!g13</f>
        <v>#NAME?</v>
      </c>
      <c r="H14" s="402" t="e">
        <f aca="false">[1]sheet1!h13</f>
        <v>#NAME?</v>
      </c>
      <c r="I14" s="402" t="e">
        <f aca="false">[1]sheet1!i13</f>
        <v>#NAME?</v>
      </c>
      <c r="J14" s="402" t="e">
        <f aca="false">[1]sheet1!j13</f>
        <v>#NAME?</v>
      </c>
      <c r="K14" s="402" t="e">
        <f aca="false">[1]sheet1!k13</f>
        <v>#NAME?</v>
      </c>
      <c r="L14" s="402" t="e">
        <f aca="false">[1]sheet1!l13</f>
        <v>#NAME?</v>
      </c>
      <c r="M14" s="402" t="e">
        <f aca="false">[1]sheet1!m13</f>
        <v>#NAME?</v>
      </c>
      <c r="N14" s="402" t="e">
        <f aca="false">[1]sheet1!n13</f>
        <v>#NAME?</v>
      </c>
    </row>
    <row r="15" customFormat="false" ht="12.75" hidden="false" customHeight="false" outlineLevel="0" collapsed="false">
      <c r="A15" s="156" t="e">
        <f aca="false">[1]sheet1!a14</f>
        <v>#NAME?</v>
      </c>
      <c r="B15" s="403" t="e">
        <f aca="false">[1]sheet1!b14</f>
        <v>#NAME?</v>
      </c>
      <c r="C15" s="403" t="e">
        <f aca="false">[1]sheet1!c14</f>
        <v>#NAME?</v>
      </c>
      <c r="D15" s="403" t="e">
        <f aca="false">[1]sheet1!d14</f>
        <v>#NAME?</v>
      </c>
      <c r="E15" s="403" t="e">
        <f aca="false">[1]sheet1!e14</f>
        <v>#NAME?</v>
      </c>
      <c r="F15" s="403" t="e">
        <f aca="false">[1]sheet1!f14</f>
        <v>#NAME?</v>
      </c>
      <c r="G15" s="403" t="e">
        <f aca="false">[1]sheet1!g14</f>
        <v>#NAME?</v>
      </c>
      <c r="H15" s="403" t="e">
        <f aca="false">[1]sheet1!h14</f>
        <v>#NAME?</v>
      </c>
      <c r="I15" s="403" t="e">
        <f aca="false">[1]sheet1!i14</f>
        <v>#NAME?</v>
      </c>
      <c r="J15" s="403" t="e">
        <f aca="false">[1]sheet1!j14</f>
        <v>#NAME?</v>
      </c>
      <c r="K15" s="403" t="e">
        <f aca="false">[1]sheet1!k14</f>
        <v>#NAME?</v>
      </c>
      <c r="L15" s="403" t="e">
        <f aca="false">[1]sheet1!l14</f>
        <v>#NAME?</v>
      </c>
      <c r="M15" s="403" t="e">
        <f aca="false">[1]sheet1!m14</f>
        <v>#NAME?</v>
      </c>
      <c r="N15" s="403" t="e">
        <f aca="false">[1]sheet1!n14</f>
        <v>#NAME?</v>
      </c>
    </row>
    <row r="16" customFormat="false" ht="12.75" hidden="false" customHeight="false" outlineLevel="0" collapsed="false">
      <c r="A16" s="156" t="e">
        <f aca="false">[1]sheet1!a15</f>
        <v>#NAME?</v>
      </c>
      <c r="B16" s="402" t="e">
        <f aca="false">[1]sheet1!b15</f>
        <v>#NAME?</v>
      </c>
      <c r="C16" s="402" t="e">
        <f aca="false">[1]sheet1!c15</f>
        <v>#NAME?</v>
      </c>
      <c r="D16" s="402" t="e">
        <f aca="false">[1]sheet1!d15</f>
        <v>#NAME?</v>
      </c>
      <c r="E16" s="402" t="e">
        <f aca="false">[1]sheet1!e15</f>
        <v>#NAME?</v>
      </c>
      <c r="F16" s="402" t="e">
        <f aca="false">[1]sheet1!f15</f>
        <v>#NAME?</v>
      </c>
      <c r="G16" s="402" t="e">
        <f aca="false">[1]sheet1!g15</f>
        <v>#NAME?</v>
      </c>
      <c r="H16" s="402" t="e">
        <f aca="false">[1]sheet1!h15</f>
        <v>#NAME?</v>
      </c>
      <c r="I16" s="402" t="e">
        <f aca="false">[1]sheet1!i15</f>
        <v>#NAME?</v>
      </c>
      <c r="J16" s="402" t="e">
        <f aca="false">[1]sheet1!j15</f>
        <v>#NAME?</v>
      </c>
      <c r="K16" s="402" t="e">
        <f aca="false">[1]sheet1!k15</f>
        <v>#NAME?</v>
      </c>
      <c r="L16" s="402" t="e">
        <f aca="false">[1]sheet1!l15</f>
        <v>#NAME?</v>
      </c>
      <c r="M16" s="402" t="e">
        <f aca="false">[1]sheet1!m15</f>
        <v>#NAME?</v>
      </c>
      <c r="N16" s="402" t="e">
        <f aca="false">[1]sheet1!n15</f>
        <v>#NAME?</v>
      </c>
    </row>
    <row r="17" customFormat="false" ht="12.75" hidden="false" customHeight="false" outlineLevel="0" collapsed="false">
      <c r="A17" s="156" t="e">
        <f aca="false">[1]sheet1!a16</f>
        <v>#NAME?</v>
      </c>
      <c r="B17" s="402" t="e">
        <f aca="false">[1]sheet1!b16</f>
        <v>#NAME?</v>
      </c>
      <c r="C17" s="402" t="e">
        <f aca="false">[1]sheet1!c16</f>
        <v>#NAME?</v>
      </c>
      <c r="D17" s="402" t="e">
        <f aca="false">[1]sheet1!d16</f>
        <v>#NAME?</v>
      </c>
      <c r="E17" s="402" t="e">
        <f aca="false">[1]sheet1!e16</f>
        <v>#NAME?</v>
      </c>
      <c r="F17" s="402" t="e">
        <f aca="false">[1]sheet1!f16</f>
        <v>#NAME?</v>
      </c>
      <c r="G17" s="402" t="e">
        <f aca="false">[1]sheet1!g16</f>
        <v>#NAME?</v>
      </c>
      <c r="H17" s="402" t="e">
        <f aca="false">[1]sheet1!h16</f>
        <v>#NAME?</v>
      </c>
      <c r="I17" s="402" t="e">
        <f aca="false">[1]sheet1!i16</f>
        <v>#NAME?</v>
      </c>
      <c r="J17" s="402" t="e">
        <f aca="false">[1]sheet1!j16</f>
        <v>#NAME?</v>
      </c>
      <c r="K17" s="402" t="e">
        <f aca="false">[1]sheet1!k16</f>
        <v>#NAME?</v>
      </c>
      <c r="L17" s="402" t="e">
        <f aca="false">[1]sheet1!l16</f>
        <v>#NAME?</v>
      </c>
      <c r="M17" s="402" t="e">
        <f aca="false">[1]sheet1!m16</f>
        <v>#NAME?</v>
      </c>
      <c r="N17" s="402" t="e">
        <f aca="false">[1]sheet1!n16</f>
        <v>#NAME?</v>
      </c>
    </row>
    <row r="18" customFormat="false" ht="12.75" hidden="false" customHeight="false" outlineLevel="0" collapsed="false">
      <c r="A18" s="156" t="e">
        <f aca="false">[1]sheet1!a17</f>
        <v>#NAME?</v>
      </c>
      <c r="B18" s="403" t="e">
        <f aca="false">[1]sheet1!b17</f>
        <v>#NAME?</v>
      </c>
      <c r="C18" s="403" t="e">
        <f aca="false">[1]sheet1!c17</f>
        <v>#NAME?</v>
      </c>
      <c r="D18" s="403" t="e">
        <f aca="false">[1]sheet1!d17</f>
        <v>#NAME?</v>
      </c>
      <c r="E18" s="403" t="e">
        <f aca="false">[1]sheet1!e17</f>
        <v>#NAME?</v>
      </c>
      <c r="F18" s="403" t="e">
        <f aca="false">[1]sheet1!f17</f>
        <v>#NAME?</v>
      </c>
      <c r="G18" s="403" t="e">
        <f aca="false">[1]sheet1!g17</f>
        <v>#NAME?</v>
      </c>
      <c r="H18" s="403" t="e">
        <f aca="false">[1]sheet1!h17</f>
        <v>#NAME?</v>
      </c>
      <c r="I18" s="403" t="e">
        <f aca="false">[1]sheet1!i17</f>
        <v>#NAME?</v>
      </c>
      <c r="J18" s="403" t="e">
        <f aca="false">[1]sheet1!j17</f>
        <v>#NAME?</v>
      </c>
      <c r="K18" s="403" t="e">
        <f aca="false">[1]sheet1!k17</f>
        <v>#NAME?</v>
      </c>
      <c r="L18" s="403" t="e">
        <f aca="false">[1]sheet1!l17</f>
        <v>#NAME?</v>
      </c>
      <c r="M18" s="403" t="e">
        <f aca="false">[1]sheet1!m17</f>
        <v>#NAME?</v>
      </c>
      <c r="N18" s="403" t="e">
        <f aca="false">[1]sheet1!n17</f>
        <v>#NAME?</v>
      </c>
    </row>
    <row r="20" customFormat="false" ht="12.75" hidden="false" customHeight="false" outlineLevel="0" collapsed="false">
      <c r="A20" s="156" t="s">
        <v>6</v>
      </c>
      <c r="B20" s="224" t="e">
        <f aca="false">B4/Financial!C9-1</f>
        <v>#NAME?</v>
      </c>
      <c r="C20" s="224" t="e">
        <f aca="false">C4/Financial!D9-1</f>
        <v>#NAME?</v>
      </c>
      <c r="D20" s="224" t="e">
        <f aca="false">D4/Financial!E9-1</f>
        <v>#NAME?</v>
      </c>
      <c r="E20" s="224" t="e">
        <f aca="false">E4/Financial!F9-1</f>
        <v>#NAME?</v>
      </c>
      <c r="F20" s="224" t="e">
        <f aca="false">F4/Financial!G9-1</f>
        <v>#NAME?</v>
      </c>
      <c r="G20" s="224" t="e">
        <f aca="false">G4/Financial!H9-1</f>
        <v>#NAME?</v>
      </c>
      <c r="H20" s="224" t="e">
        <f aca="false">H4/Financial!I9-1</f>
        <v>#NAME?</v>
      </c>
      <c r="I20" s="224" t="e">
        <f aca="false">I4/Financial!J9-1</f>
        <v>#NAME?</v>
      </c>
      <c r="J20" s="224" t="e">
        <f aca="false">J4/Financial!K9-1</f>
        <v>#NAME?</v>
      </c>
      <c r="K20" s="224" t="e">
        <f aca="false">K4/Financial!L9-1</f>
        <v>#NAME?</v>
      </c>
      <c r="L20" s="224" t="e">
        <f aca="false">L4/Financial!M9-1</f>
        <v>#NAME?</v>
      </c>
      <c r="M20" s="224" t="e">
        <f aca="false">M4/Financial!N9-1</f>
        <v>#NAME?</v>
      </c>
      <c r="N20" s="224" t="e">
        <f aca="false">N4/Financial!O9-1</f>
        <v>#NAME?</v>
      </c>
    </row>
    <row r="21" customFormat="false" ht="12.75" hidden="false" customHeight="false" outlineLevel="0" collapsed="false">
      <c r="A21" s="156" t="s">
        <v>8</v>
      </c>
      <c r="B21" s="224" t="e">
        <f aca="false">B6/Financial!C13-1</f>
        <v>#NAME?</v>
      </c>
      <c r="C21" s="224" t="e">
        <f aca="false">C6/Financial!D13-1</f>
        <v>#NAME?</v>
      </c>
      <c r="D21" s="224" t="e">
        <f aca="false">D6/Financial!E13-1</f>
        <v>#NAME?</v>
      </c>
      <c r="E21" s="224" t="e">
        <f aca="false">E6/Financial!F13-1</f>
        <v>#NAME?</v>
      </c>
      <c r="F21" s="224" t="e">
        <f aca="false">F6/Financial!G13-1</f>
        <v>#NAME?</v>
      </c>
      <c r="G21" s="224" t="e">
        <f aca="false">G6/Financial!H13-1</f>
        <v>#NAME?</v>
      </c>
      <c r="H21" s="224" t="e">
        <f aca="false">H6/Financial!I13-1</f>
        <v>#NAME?</v>
      </c>
      <c r="I21" s="224" t="e">
        <f aca="false">I6/Financial!J13-1</f>
        <v>#NAME?</v>
      </c>
      <c r="J21" s="224" t="e">
        <f aca="false">J6/Financial!K13-1</f>
        <v>#NAME?</v>
      </c>
      <c r="K21" s="224" t="e">
        <f aca="false">K6/Financial!L13-1</f>
        <v>#NAME?</v>
      </c>
      <c r="L21" s="224" t="e">
        <f aca="false">L6/Financial!M13-1</f>
        <v>#NAME?</v>
      </c>
      <c r="M21" s="224" t="e">
        <f aca="false">M6/Financial!N13-1</f>
        <v>#NAME?</v>
      </c>
      <c r="N21" s="224" t="e">
        <f aca="false">N6/Financial!O13-1</f>
        <v>#NAME?</v>
      </c>
    </row>
    <row r="22" customFormat="false" ht="12.75" hidden="false" customHeight="false" outlineLevel="0" collapsed="false">
      <c r="A22" s="156" t="s">
        <v>11</v>
      </c>
      <c r="B22" s="224" t="e">
        <f aca="false">B9/Financial!C20-1</f>
        <v>#NAME?</v>
      </c>
      <c r="C22" s="224" t="e">
        <f aca="false">C9/Financial!D20-1</f>
        <v>#NAME?</v>
      </c>
      <c r="D22" s="224" t="e">
        <f aca="false">D9/Financial!E20-1</f>
        <v>#NAME?</v>
      </c>
      <c r="E22" s="224" t="e">
        <f aca="false">E9/Financial!F20-1</f>
        <v>#NAME?</v>
      </c>
      <c r="F22" s="224" t="e">
        <f aca="false">F9/Financial!G20-1</f>
        <v>#NAME?</v>
      </c>
      <c r="G22" s="224" t="e">
        <f aca="false">G9/Financial!H20-1</f>
        <v>#NAME?</v>
      </c>
      <c r="H22" s="224" t="e">
        <f aca="false">H9/Financial!I20-1</f>
        <v>#NAME?</v>
      </c>
      <c r="I22" s="224" t="e">
        <f aca="false">I9/Financial!J20-1</f>
        <v>#NAME?</v>
      </c>
      <c r="J22" s="224" t="e">
        <f aca="false">J9/Financial!K20-1</f>
        <v>#NAME?</v>
      </c>
      <c r="K22" s="224" t="e">
        <f aca="false">K9/Financial!L20-1</f>
        <v>#NAME?</v>
      </c>
      <c r="L22" s="224" t="e">
        <f aca="false">L9/Financial!M20-1</f>
        <v>#NAME?</v>
      </c>
      <c r="M22" s="224" t="e">
        <f aca="false">M9/Financial!N20-1</f>
        <v>#NAME?</v>
      </c>
      <c r="N22" s="224" t="e">
        <f aca="false">N9/Financial!O20-1</f>
        <v>#NAME?</v>
      </c>
    </row>
    <row r="23" customFormat="false" ht="12.75" hidden="false" customHeight="false" outlineLevel="0" collapsed="false">
      <c r="A23" s="156" t="s">
        <v>17</v>
      </c>
      <c r="B23" s="179" t="e">
        <f aca="false">B17/Financial!C86-1</f>
        <v>#NAME?</v>
      </c>
      <c r="C23" s="179" t="e">
        <f aca="false">C17/Financial!D86-1</f>
        <v>#NAME?</v>
      </c>
      <c r="D23" s="179" t="e">
        <f aca="false">D17/Financial!E86-1</f>
        <v>#NAME?</v>
      </c>
      <c r="E23" s="179" t="e">
        <f aca="false">E17/Financial!F86-1</f>
        <v>#NAME?</v>
      </c>
      <c r="F23" s="179" t="e">
        <f aca="false">F17/Financial!G86-1</f>
        <v>#NAME?</v>
      </c>
      <c r="G23" s="179" t="e">
        <f aca="false">G17/Financial!H86-1</f>
        <v>#NAME?</v>
      </c>
      <c r="H23" s="179" t="e">
        <f aca="false">H17/Financial!I86-1</f>
        <v>#NAME?</v>
      </c>
      <c r="I23" s="179" t="e">
        <f aca="false">I17/Financial!J86-1</f>
        <v>#NAME?</v>
      </c>
      <c r="J23" s="179" t="e">
        <f aca="false">J17/Financial!K86-1</f>
        <v>#NAME?</v>
      </c>
      <c r="K23" s="179" t="e">
        <f aca="false">K17/Financial!L86-1</f>
        <v>#NAME?</v>
      </c>
      <c r="L23" s="179" t="e">
        <f aca="false">L17/Financial!M86-1</f>
        <v>#NAME?</v>
      </c>
      <c r="M23" s="179" t="e">
        <f aca="false">M17/Financial!N86-1</f>
        <v>#NAME?</v>
      </c>
      <c r="N23" s="179" t="e">
        <f aca="false">N17/Financial!O86-1</f>
        <v>#NAME?</v>
      </c>
    </row>
  </sheetData>
  <conditionalFormatting sqref="L20:N23">
    <cfRule type="cellIs" priority="2" operator="lessThan" aboveAverage="0" equalAverage="0" bottom="0" percent="0" rank="0" text="" dxfId="2">
      <formula>0</formula>
    </cfRule>
    <cfRule type="colorScale" priority="3">
      <colorScale>
        <cfvo type="min" val="0"/>
        <cfvo type="max" val="0"/>
        <color rgb="FFF8696B"/>
        <color rgb="FFFCFCFF"/>
      </colorScale>
    </cfRule>
  </conditionalFormatting>
  <hyperlinks>
    <hyperlink ref="D1" r:id="rId1" display="https://goindiastocks.com/GIA/stockDashboard?Fincode=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9" min="2" style="1" width="12"/>
  </cols>
  <sheetData>
    <row r="1" customFormat="false" ht="30" hidden="false" customHeight="true" outlineLevel="0" collapsed="false">
      <c r="A1" s="405" t="s">
        <v>214</v>
      </c>
      <c r="B1" s="405"/>
      <c r="C1" s="405"/>
      <c r="D1" s="405"/>
      <c r="E1" s="405"/>
      <c r="F1" s="405"/>
      <c r="G1" s="405"/>
      <c r="H1" s="405"/>
      <c r="I1" s="405"/>
    </row>
    <row r="2" customFormat="false" ht="18" hidden="false" customHeight="true" outlineLevel="0" collapsed="false">
      <c r="A2" s="406" t="s">
        <v>215</v>
      </c>
      <c r="B2" s="406"/>
      <c r="C2" s="406"/>
      <c r="D2" s="406"/>
      <c r="E2" s="406"/>
      <c r="F2" s="406"/>
      <c r="G2" s="406"/>
      <c r="H2" s="406"/>
      <c r="I2" s="406"/>
    </row>
    <row r="3" customFormat="false" ht="21.75" hidden="false" customHeight="true" outlineLevel="0" collapsed="false">
      <c r="A3" s="407" t="s">
        <v>216</v>
      </c>
      <c r="B3" s="408" t="s">
        <v>217</v>
      </c>
      <c r="C3" s="408" t="s">
        <v>2</v>
      </c>
      <c r="D3" s="408" t="s">
        <v>3</v>
      </c>
      <c r="E3" s="408" t="s">
        <v>218</v>
      </c>
      <c r="F3" s="408" t="s">
        <v>219</v>
      </c>
      <c r="G3" s="408" t="s">
        <v>188</v>
      </c>
      <c r="H3" s="408" t="s">
        <v>189</v>
      </c>
      <c r="I3" s="408" t="s">
        <v>190</v>
      </c>
    </row>
    <row r="4" customFormat="false" ht="18" hidden="false" customHeight="true" outlineLevel="0" collapsed="false">
      <c r="A4" s="409" t="s">
        <v>220</v>
      </c>
      <c r="B4" s="409"/>
      <c r="C4" s="409"/>
      <c r="D4" s="409"/>
      <c r="E4" s="409"/>
      <c r="F4" s="409"/>
      <c r="G4" s="409"/>
      <c r="H4" s="409"/>
      <c r="I4" s="409"/>
    </row>
    <row r="5" customFormat="false" ht="18" hidden="false" customHeight="true" outlineLevel="0" collapsed="false">
      <c r="A5" s="410" t="s">
        <v>7</v>
      </c>
      <c r="B5" s="411" t="n">
        <v>1410</v>
      </c>
      <c r="C5" s="411" t="n">
        <v>2216</v>
      </c>
      <c r="D5" s="411" t="n">
        <v>2801</v>
      </c>
      <c r="E5" s="411" t="n">
        <v>3161</v>
      </c>
      <c r="F5" s="411" t="n">
        <v>3869</v>
      </c>
      <c r="G5" s="411" t="n">
        <v>4600</v>
      </c>
      <c r="H5" s="411" t="n">
        <v>5520</v>
      </c>
      <c r="I5" s="411" t="n">
        <v>6480</v>
      </c>
    </row>
    <row r="6" customFormat="false" ht="18" hidden="false" customHeight="true" outlineLevel="0" collapsed="false">
      <c r="A6" s="410" t="s">
        <v>221</v>
      </c>
      <c r="B6" s="412"/>
      <c r="C6" s="412" t="n">
        <v>0.571631205673759</v>
      </c>
      <c r="D6" s="412" t="n">
        <v>0.26398916967509</v>
      </c>
      <c r="E6" s="412" t="n">
        <v>0.128525526597644</v>
      </c>
      <c r="F6" s="412" t="n">
        <v>0.223979753242645</v>
      </c>
      <c r="G6" s="412" t="n">
        <v>0.188937710002585</v>
      </c>
      <c r="H6" s="412" t="n">
        <v>0.2</v>
      </c>
      <c r="I6" s="412" t="n">
        <v>0.173913043478261</v>
      </c>
    </row>
    <row r="7" customFormat="false" ht="18" hidden="false" customHeight="true" outlineLevel="0" collapsed="false">
      <c r="A7" s="410" t="s">
        <v>8</v>
      </c>
      <c r="B7" s="411" t="n">
        <v>121</v>
      </c>
      <c r="C7" s="411" t="n">
        <v>217</v>
      </c>
      <c r="D7" s="411" t="n">
        <v>207</v>
      </c>
      <c r="E7" s="411" t="n">
        <v>287</v>
      </c>
      <c r="F7" s="411" t="n">
        <v>328</v>
      </c>
      <c r="G7" s="411" t="n">
        <v>460</v>
      </c>
      <c r="H7" s="411" t="n">
        <v>564</v>
      </c>
      <c r="I7" s="411" t="n">
        <v>686</v>
      </c>
    </row>
    <row r="8" customFormat="false" ht="18" hidden="false" customHeight="true" outlineLevel="0" collapsed="false">
      <c r="A8" s="410" t="s">
        <v>12</v>
      </c>
      <c r="B8" s="412" t="n">
        <v>0.0858156028368794</v>
      </c>
      <c r="C8" s="412" t="n">
        <v>0.0979241877256318</v>
      </c>
      <c r="D8" s="412" t="n">
        <v>0.0739021777936451</v>
      </c>
      <c r="E8" s="412" t="n">
        <v>0.0907940525150269</v>
      </c>
      <c r="F8" s="412" t="n">
        <v>0.0847764280175756</v>
      </c>
      <c r="G8" s="412" t="n">
        <v>0.1</v>
      </c>
      <c r="H8" s="412" t="n">
        <v>0.102173913043478</v>
      </c>
      <c r="I8" s="412" t="n">
        <v>0.105864197530864</v>
      </c>
    </row>
    <row r="9" customFormat="false" ht="18" hidden="false" customHeight="true" outlineLevel="0" collapsed="false">
      <c r="A9" s="410" t="s">
        <v>111</v>
      </c>
      <c r="B9" s="411" t="n">
        <v>20</v>
      </c>
      <c r="C9" s="411" t="n">
        <v>21</v>
      </c>
      <c r="D9" s="411" t="n">
        <v>24</v>
      </c>
      <c r="E9" s="411" t="n">
        <v>38</v>
      </c>
      <c r="F9" s="411" t="n">
        <v>29</v>
      </c>
      <c r="G9" s="411" t="n">
        <v>38</v>
      </c>
      <c r="H9" s="411" t="n">
        <v>48</v>
      </c>
      <c r="I9" s="411" t="n">
        <v>58</v>
      </c>
    </row>
    <row r="10" customFormat="false" ht="18" hidden="false" customHeight="true" outlineLevel="0" collapsed="false">
      <c r="A10" s="410" t="s">
        <v>222</v>
      </c>
      <c r="B10" s="413" t="n">
        <v>101</v>
      </c>
      <c r="C10" s="413" t="n">
        <v>196</v>
      </c>
      <c r="D10" s="413" t="n">
        <v>183</v>
      </c>
      <c r="E10" s="413" t="n">
        <v>249</v>
      </c>
      <c r="F10" s="413" t="n">
        <v>299</v>
      </c>
      <c r="G10" s="413" t="n">
        <v>422</v>
      </c>
      <c r="H10" s="413" t="n">
        <v>516</v>
      </c>
      <c r="I10" s="413" t="n">
        <v>628</v>
      </c>
    </row>
    <row r="11" customFormat="false" ht="18" hidden="false" customHeight="true" outlineLevel="0" collapsed="false">
      <c r="A11" s="410" t="s">
        <v>223</v>
      </c>
      <c r="B11" s="411" t="n">
        <v>31</v>
      </c>
      <c r="C11" s="411" t="n">
        <v>38</v>
      </c>
      <c r="D11" s="411" t="n">
        <v>44</v>
      </c>
      <c r="E11" s="411" t="n">
        <v>52</v>
      </c>
      <c r="F11" s="411" t="n">
        <v>46</v>
      </c>
      <c r="G11" s="411" t="n">
        <v>38</v>
      </c>
      <c r="H11" s="411" t="n">
        <v>35</v>
      </c>
      <c r="I11" s="411" t="n">
        <v>32</v>
      </c>
    </row>
    <row r="12" customFormat="false" ht="18" hidden="false" customHeight="true" outlineLevel="0" collapsed="false">
      <c r="A12" s="410" t="s">
        <v>113</v>
      </c>
      <c r="B12" s="413" t="n">
        <v>71</v>
      </c>
      <c r="C12" s="413" t="n">
        <v>165</v>
      </c>
      <c r="D12" s="413" t="n">
        <v>228</v>
      </c>
      <c r="E12" s="413" t="n">
        <v>274</v>
      </c>
      <c r="F12" s="413" t="n">
        <v>363</v>
      </c>
      <c r="G12" s="413" t="n">
        <v>457</v>
      </c>
      <c r="H12" s="413" t="n">
        <v>563</v>
      </c>
      <c r="I12" s="413" t="n">
        <v>693</v>
      </c>
    </row>
    <row r="13" customFormat="false" ht="18" hidden="false" customHeight="true" outlineLevel="0" collapsed="false">
      <c r="A13" s="410" t="s">
        <v>224</v>
      </c>
      <c r="B13" s="411" t="n">
        <v>57</v>
      </c>
      <c r="C13" s="411" t="n">
        <v>148</v>
      </c>
      <c r="D13" s="411" t="n">
        <v>204</v>
      </c>
      <c r="E13" s="411" t="n">
        <v>242</v>
      </c>
      <c r="F13" s="411" t="n">
        <v>313</v>
      </c>
      <c r="G13" s="411" t="n">
        <v>385</v>
      </c>
      <c r="H13" s="411" t="n">
        <v>478</v>
      </c>
      <c r="I13" s="411" t="n">
        <v>590</v>
      </c>
    </row>
    <row r="14" customFormat="false" ht="18" hidden="false" customHeight="true" outlineLevel="0" collapsed="false">
      <c r="A14" s="410" t="s">
        <v>225</v>
      </c>
      <c r="B14" s="412" t="n">
        <v>0.0404255319148936</v>
      </c>
      <c r="C14" s="412" t="n">
        <v>0.0667870036101083</v>
      </c>
      <c r="D14" s="412" t="n">
        <v>0.0728311317386648</v>
      </c>
      <c r="E14" s="412" t="n">
        <v>0.0765580512496046</v>
      </c>
      <c r="F14" s="412" t="n">
        <v>0.0808994572240889</v>
      </c>
      <c r="G14" s="412" t="n">
        <v>0.0836956521739131</v>
      </c>
      <c r="H14" s="412" t="n">
        <v>0.0865942028985507</v>
      </c>
      <c r="I14" s="412" t="n">
        <v>0.0910493827160494</v>
      </c>
    </row>
    <row r="15" customFormat="false" ht="18" hidden="false" customHeight="true" outlineLevel="0" collapsed="false">
      <c r="A15" s="410" t="s">
        <v>226</v>
      </c>
      <c r="B15" s="414"/>
      <c r="C15" s="414" t="n">
        <v>1.59649122807018</v>
      </c>
      <c r="D15" s="414" t="n">
        <v>0.378378378378378</v>
      </c>
      <c r="E15" s="414" t="n">
        <v>0.186274509803922</v>
      </c>
      <c r="F15" s="414" t="n">
        <v>0.293388429752066</v>
      </c>
      <c r="G15" s="414" t="n">
        <v>0.230031948881789</v>
      </c>
      <c r="H15" s="414" t="n">
        <v>0.241558441558442</v>
      </c>
      <c r="I15" s="414" t="n">
        <v>0.234309623430962</v>
      </c>
    </row>
    <row r="16" customFormat="false" ht="18" hidden="false" customHeight="true" outlineLevel="0" collapsed="false">
      <c r="A16" s="410" t="s">
        <v>227</v>
      </c>
      <c r="B16" s="415" t="n">
        <v>7.6</v>
      </c>
      <c r="C16" s="415" t="n">
        <v>20.19</v>
      </c>
      <c r="D16" s="415" t="n">
        <v>29.13</v>
      </c>
      <c r="E16" s="415" t="n">
        <v>34.65</v>
      </c>
      <c r="F16" s="415" t="n">
        <v>42.32</v>
      </c>
      <c r="G16" s="415" t="n">
        <v>52.2</v>
      </c>
      <c r="H16" s="415" t="n">
        <v>64.8</v>
      </c>
      <c r="I16" s="415" t="n">
        <v>79.9</v>
      </c>
    </row>
    <row r="17" customFormat="false" ht="18" hidden="false" customHeight="true" outlineLevel="0" collapsed="false">
      <c r="A17" s="410" t="s">
        <v>228</v>
      </c>
      <c r="B17" s="416" t="n">
        <v>1</v>
      </c>
      <c r="C17" s="416" t="n">
        <v>3</v>
      </c>
      <c r="D17" s="416" t="n">
        <v>4</v>
      </c>
      <c r="E17" s="416" t="n">
        <v>5</v>
      </c>
      <c r="F17" s="416" t="n">
        <v>6</v>
      </c>
      <c r="G17" s="416" t="n">
        <v>7</v>
      </c>
      <c r="H17" s="416" t="n">
        <v>9</v>
      </c>
      <c r="I17" s="416" t="n">
        <v>11</v>
      </c>
    </row>
    <row r="18" customFormat="false" ht="18" hidden="false" customHeight="true" outlineLevel="0" collapsed="false">
      <c r="A18" s="409" t="s">
        <v>128</v>
      </c>
      <c r="B18" s="409"/>
      <c r="C18" s="409"/>
      <c r="D18" s="409"/>
      <c r="E18" s="409"/>
      <c r="F18" s="409"/>
      <c r="G18" s="409"/>
      <c r="H18" s="409"/>
      <c r="I18" s="409"/>
    </row>
    <row r="19" customFormat="false" ht="18" hidden="false" customHeight="true" outlineLevel="0" collapsed="false">
      <c r="A19" s="410" t="s">
        <v>229</v>
      </c>
      <c r="B19" s="411" t="n">
        <v>269</v>
      </c>
      <c r="C19" s="411" t="n">
        <v>387</v>
      </c>
      <c r="D19" s="411" t="n">
        <v>589</v>
      </c>
      <c r="E19" s="411" t="n">
        <v>838</v>
      </c>
      <c r="F19" s="411" t="n">
        <v>2070</v>
      </c>
      <c r="G19" s="411" t="n">
        <v>2370</v>
      </c>
      <c r="H19" s="411" t="n">
        <v>2760</v>
      </c>
      <c r="I19" s="411" t="n">
        <v>3220</v>
      </c>
    </row>
    <row r="20" customFormat="false" ht="18" hidden="false" customHeight="true" outlineLevel="0" collapsed="false">
      <c r="A20" s="410" t="s">
        <v>130</v>
      </c>
      <c r="B20" s="413" t="n">
        <v>261</v>
      </c>
      <c r="C20" s="413" t="n">
        <v>392</v>
      </c>
      <c r="D20" s="413" t="n">
        <v>348</v>
      </c>
      <c r="E20" s="413" t="n">
        <v>548</v>
      </c>
      <c r="F20" s="413" t="n">
        <v>286</v>
      </c>
      <c r="G20" s="413" t="n">
        <v>250</v>
      </c>
      <c r="H20" s="413" t="n">
        <v>200</v>
      </c>
      <c r="I20" s="413" t="n">
        <v>160</v>
      </c>
    </row>
    <row r="21" customFormat="false" ht="18" hidden="false" customHeight="true" outlineLevel="0" collapsed="false">
      <c r="A21" s="410" t="s">
        <v>230</v>
      </c>
      <c r="B21" s="411" t="n">
        <v>530</v>
      </c>
      <c r="C21" s="411" t="n">
        <v>779</v>
      </c>
      <c r="D21" s="411" t="n">
        <v>937</v>
      </c>
      <c r="E21" s="411" t="n">
        <v>1386</v>
      </c>
      <c r="F21" s="411" t="n">
        <v>2356</v>
      </c>
      <c r="G21" s="411" t="n">
        <v>2620</v>
      </c>
      <c r="H21" s="411" t="n">
        <v>2960</v>
      </c>
      <c r="I21" s="411" t="n">
        <v>3380</v>
      </c>
    </row>
    <row r="22" customFormat="false" ht="18" hidden="false" customHeight="true" outlineLevel="0" collapsed="false">
      <c r="A22" s="410" t="s">
        <v>231</v>
      </c>
      <c r="B22" s="413" t="n">
        <v>172</v>
      </c>
      <c r="C22" s="413" t="n">
        <v>191</v>
      </c>
      <c r="D22" s="413" t="n">
        <v>273</v>
      </c>
      <c r="E22" s="413" t="n">
        <v>348</v>
      </c>
      <c r="F22" s="413" t="n">
        <v>436</v>
      </c>
      <c r="G22" s="413" t="n">
        <v>520</v>
      </c>
      <c r="H22" s="413" t="n">
        <v>600</v>
      </c>
      <c r="I22" s="413" t="n">
        <v>680</v>
      </c>
    </row>
    <row r="23" customFormat="false" ht="18" hidden="false" customHeight="true" outlineLevel="0" collapsed="false">
      <c r="A23" s="410" t="s">
        <v>232</v>
      </c>
      <c r="B23" s="411" t="n">
        <v>279</v>
      </c>
      <c r="C23" s="411" t="n">
        <v>393</v>
      </c>
      <c r="D23" s="411" t="n">
        <v>470</v>
      </c>
      <c r="E23" s="411" t="n">
        <v>500</v>
      </c>
      <c r="F23" s="411" t="n">
        <v>460</v>
      </c>
      <c r="G23" s="411" t="n">
        <v>520</v>
      </c>
      <c r="H23" s="411" t="n">
        <v>590</v>
      </c>
      <c r="I23" s="411" t="n">
        <v>660</v>
      </c>
    </row>
    <row r="24" customFormat="false" ht="18" hidden="false" customHeight="true" outlineLevel="0" collapsed="false">
      <c r="A24" s="410" t="s">
        <v>233</v>
      </c>
      <c r="B24" s="417" t="n">
        <v>0.970260223048327</v>
      </c>
      <c r="C24" s="417" t="n">
        <v>1.01291989664083</v>
      </c>
      <c r="D24" s="417" t="n">
        <v>0.590831918505942</v>
      </c>
      <c r="E24" s="417" t="n">
        <v>0.653937947494033</v>
      </c>
      <c r="F24" s="417" t="n">
        <v>0.13816425120773</v>
      </c>
      <c r="G24" s="417" t="n">
        <v>0.105485232067511</v>
      </c>
      <c r="H24" s="417" t="n">
        <v>0.072463768115942</v>
      </c>
      <c r="I24" s="417" t="n">
        <v>0.0496894409937888</v>
      </c>
    </row>
    <row r="25" customFormat="false" ht="18" hidden="false" customHeight="true" outlineLevel="0" collapsed="false">
      <c r="A25" s="409" t="s">
        <v>234</v>
      </c>
      <c r="B25" s="409"/>
      <c r="C25" s="409"/>
      <c r="D25" s="409"/>
      <c r="E25" s="409"/>
      <c r="F25" s="409"/>
      <c r="G25" s="409"/>
      <c r="H25" s="409"/>
      <c r="I25" s="409"/>
    </row>
    <row r="26" customFormat="false" ht="18" hidden="false" customHeight="true" outlineLevel="0" collapsed="false">
      <c r="A26" s="410" t="s">
        <v>58</v>
      </c>
      <c r="B26" s="413" t="n">
        <v>77</v>
      </c>
      <c r="C26" s="413" t="n">
        <v>10</v>
      </c>
      <c r="D26" s="413" t="n">
        <v>200</v>
      </c>
      <c r="E26" s="413" t="n">
        <v>42</v>
      </c>
      <c r="F26" s="413" t="n">
        <v>282</v>
      </c>
      <c r="G26" s="413" t="n">
        <v>310</v>
      </c>
      <c r="H26" s="413" t="n">
        <v>370</v>
      </c>
      <c r="I26" s="413" t="n">
        <v>440</v>
      </c>
    </row>
    <row r="27" customFormat="false" ht="18" hidden="false" customHeight="true" outlineLevel="0" collapsed="false">
      <c r="A27" s="410" t="s">
        <v>60</v>
      </c>
      <c r="B27" s="411" t="n">
        <v>19</v>
      </c>
      <c r="C27" s="411" t="n">
        <v>69</v>
      </c>
      <c r="D27" s="411" t="n">
        <v>105</v>
      </c>
      <c r="E27" s="411" t="n">
        <v>158</v>
      </c>
      <c r="F27" s="411" t="n">
        <v>145</v>
      </c>
      <c r="G27" s="411" t="n">
        <v>120</v>
      </c>
      <c r="H27" s="411" t="n">
        <v>100</v>
      </c>
      <c r="I27" s="411" t="n">
        <v>90</v>
      </c>
    </row>
    <row r="28" customFormat="false" ht="18" hidden="false" customHeight="true" outlineLevel="0" collapsed="false">
      <c r="A28" s="410" t="s">
        <v>235</v>
      </c>
      <c r="B28" s="413" t="n">
        <v>58</v>
      </c>
      <c r="C28" s="413" t="n">
        <v>-59</v>
      </c>
      <c r="D28" s="413" t="n">
        <v>95</v>
      </c>
      <c r="E28" s="413" t="n">
        <v>-116</v>
      </c>
      <c r="F28" s="413" t="n">
        <v>137</v>
      </c>
      <c r="G28" s="413" t="n">
        <v>190</v>
      </c>
      <c r="H28" s="413" t="n">
        <v>270</v>
      </c>
      <c r="I28" s="413" t="n">
        <v>350</v>
      </c>
    </row>
    <row r="29" customFormat="false" ht="18" hidden="false" customHeight="true" outlineLevel="0" collapsed="false">
      <c r="A29" s="410" t="s">
        <v>236</v>
      </c>
      <c r="B29" s="414" t="n">
        <v>0.636363636363636</v>
      </c>
      <c r="C29" s="414" t="n">
        <v>0.0460829493087558</v>
      </c>
      <c r="D29" s="414" t="n">
        <v>0.966183574879227</v>
      </c>
      <c r="E29" s="414" t="n">
        <v>0.146341463414634</v>
      </c>
      <c r="F29" s="414" t="n">
        <v>0.859756097560976</v>
      </c>
      <c r="G29" s="414" t="n">
        <v>0.673913043478261</v>
      </c>
      <c r="H29" s="414" t="n">
        <v>0.656028368794326</v>
      </c>
      <c r="I29" s="414" t="n">
        <v>0.641399416909621</v>
      </c>
    </row>
    <row r="30" customFormat="false" ht="18" hidden="false" customHeight="true" outlineLevel="0" collapsed="false">
      <c r="A30" s="409" t="s">
        <v>237</v>
      </c>
      <c r="B30" s="409"/>
      <c r="C30" s="409"/>
      <c r="D30" s="409"/>
      <c r="E30" s="409"/>
      <c r="F30" s="409"/>
      <c r="G30" s="409"/>
      <c r="H30" s="409"/>
      <c r="I30" s="409"/>
    </row>
    <row r="31" customFormat="false" ht="18" hidden="false" customHeight="true" outlineLevel="0" collapsed="false">
      <c r="A31" s="410" t="s">
        <v>238</v>
      </c>
      <c r="B31" s="414" t="n">
        <v>0.212</v>
      </c>
      <c r="C31" s="414" t="n">
        <v>0.382</v>
      </c>
      <c r="D31" s="414" t="n">
        <v>0.346</v>
      </c>
      <c r="E31" s="414" t="n">
        <v>0.289</v>
      </c>
      <c r="F31" s="414" t="n">
        <v>0.151</v>
      </c>
      <c r="G31" s="414" t="n">
        <v>0.162</v>
      </c>
      <c r="H31" s="414" t="n">
        <v>0.173</v>
      </c>
      <c r="I31" s="414" t="n">
        <v>0.183</v>
      </c>
    </row>
    <row r="32" customFormat="false" ht="18" hidden="false" customHeight="true" outlineLevel="0" collapsed="false">
      <c r="A32" s="410" t="s">
        <v>239</v>
      </c>
      <c r="B32" s="412" t="n">
        <v>0.164</v>
      </c>
      <c r="C32" s="412" t="n">
        <v>0.365</v>
      </c>
      <c r="D32" s="412" t="n">
        <v>0.264</v>
      </c>
      <c r="E32" s="412" t="n">
        <v>0.225</v>
      </c>
      <c r="F32" s="412" t="n">
        <v>0.215</v>
      </c>
      <c r="G32" s="412" t="n">
        <v>0.22</v>
      </c>
      <c r="H32" s="412" t="n">
        <v>0.235</v>
      </c>
      <c r="I32" s="412" t="n">
        <v>0.25</v>
      </c>
    </row>
    <row r="33" customFormat="false" ht="18" hidden="false" customHeight="true" outlineLevel="0" collapsed="false">
      <c r="A33" s="410" t="s">
        <v>240</v>
      </c>
      <c r="B33" s="418" t="n">
        <v>15</v>
      </c>
      <c r="C33" s="418" t="n">
        <v>18</v>
      </c>
      <c r="D33" s="418" t="n">
        <v>18</v>
      </c>
      <c r="E33" s="418" t="n">
        <v>31</v>
      </c>
      <c r="F33" s="418" t="n">
        <v>26</v>
      </c>
      <c r="G33" s="418" t="n">
        <v>25</v>
      </c>
      <c r="H33" s="418" t="n">
        <v>22</v>
      </c>
      <c r="I33" s="418" t="n">
        <v>20</v>
      </c>
    </row>
    <row r="34" customFormat="false" ht="18" hidden="false" customHeight="true" outlineLevel="0" collapsed="false">
      <c r="A34" s="410" t="s">
        <v>241</v>
      </c>
      <c r="B34" s="419" t="n">
        <v>115</v>
      </c>
      <c r="C34" s="419" t="n">
        <v>65</v>
      </c>
      <c r="D34" s="419" t="n">
        <v>71</v>
      </c>
      <c r="E34" s="419" t="n">
        <v>68</v>
      </c>
      <c r="F34" s="419" t="n">
        <v>59</v>
      </c>
      <c r="G34" s="419" t="n">
        <v>55</v>
      </c>
      <c r="H34" s="419" t="n">
        <v>52</v>
      </c>
      <c r="I34" s="419" t="n">
        <v>50</v>
      </c>
    </row>
    <row r="35" customFormat="false" ht="18" hidden="false" customHeight="true" outlineLevel="0" collapsed="false">
      <c r="A35" s="409" t="s">
        <v>242</v>
      </c>
      <c r="B35" s="409"/>
      <c r="C35" s="409"/>
      <c r="D35" s="409"/>
      <c r="E35" s="409"/>
      <c r="F35" s="409"/>
      <c r="G35" s="409"/>
      <c r="H35" s="409"/>
      <c r="I35" s="409"/>
    </row>
    <row r="36" customFormat="false" ht="18" hidden="false" customHeight="true" outlineLevel="0" collapsed="false">
      <c r="A36" s="410" t="s">
        <v>243</v>
      </c>
      <c r="B36" s="417"/>
      <c r="C36" s="417"/>
      <c r="D36" s="417"/>
      <c r="E36" s="417"/>
      <c r="F36" s="417"/>
      <c r="G36" s="417" t="n">
        <v>29.5</v>
      </c>
      <c r="H36" s="417" t="n">
        <v>23.8</v>
      </c>
      <c r="I36" s="417" t="n">
        <v>19.3</v>
      </c>
    </row>
    <row r="37" customFormat="false" ht="18" hidden="false" customHeight="true" outlineLevel="0" collapsed="false">
      <c r="A37" s="410" t="s">
        <v>244</v>
      </c>
      <c r="B37" s="420"/>
      <c r="C37" s="420"/>
      <c r="D37" s="420"/>
      <c r="E37" s="420"/>
      <c r="F37" s="420" t="n">
        <v>7.35</v>
      </c>
      <c r="G37" s="420" t="n">
        <v>6.5</v>
      </c>
      <c r="H37" s="420" t="n">
        <v>5.6</v>
      </c>
      <c r="I37" s="420" t="n">
        <v>4.8</v>
      </c>
    </row>
    <row r="38" customFormat="false" ht="18" hidden="false" customHeight="true" outlineLevel="0" collapsed="false">
      <c r="A38" s="410" t="s">
        <v>245</v>
      </c>
      <c r="B38" s="417"/>
      <c r="C38" s="417"/>
      <c r="D38" s="417"/>
      <c r="E38" s="417"/>
      <c r="F38" s="417" t="n">
        <v>2.94</v>
      </c>
      <c r="G38" s="417" t="n">
        <v>2.5</v>
      </c>
      <c r="H38" s="417" t="n">
        <v>2.1</v>
      </c>
      <c r="I38" s="417" t="n">
        <v>1.7</v>
      </c>
    </row>
    <row r="39" customFormat="false" ht="18" hidden="false" customHeight="true" outlineLevel="0" collapsed="false">
      <c r="A39" s="410" t="s">
        <v>246</v>
      </c>
      <c r="B39" s="420"/>
      <c r="C39" s="420"/>
      <c r="D39" s="420"/>
      <c r="E39" s="420"/>
      <c r="F39" s="420"/>
      <c r="G39" s="420" t="n">
        <v>30.1</v>
      </c>
      <c r="H39" s="420" t="n">
        <v>24.6</v>
      </c>
      <c r="I39" s="420" t="n">
        <v>19.8</v>
      </c>
    </row>
  </sheetData>
  <mergeCells count="7">
    <mergeCell ref="A1:I1"/>
    <mergeCell ref="A2:I2"/>
    <mergeCell ref="A4:I4"/>
    <mergeCell ref="A18:I18"/>
    <mergeCell ref="A25:I25"/>
    <mergeCell ref="A30:I30"/>
    <mergeCell ref="A35:I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9" min="2" style="1" width="14"/>
  </cols>
  <sheetData>
    <row r="1" customFormat="false" ht="27.75" hidden="false" customHeight="true" outlineLevel="0" collapsed="false">
      <c r="A1" s="421" t="s">
        <v>247</v>
      </c>
      <c r="B1" s="421"/>
      <c r="C1" s="421"/>
      <c r="D1" s="421"/>
      <c r="E1" s="421"/>
      <c r="F1" s="421"/>
      <c r="G1" s="421"/>
      <c r="H1" s="421"/>
      <c r="I1" s="421"/>
    </row>
    <row r="2" customFormat="false" ht="15" hidden="false" customHeight="true" outlineLevel="0" collapsed="false">
      <c r="A2" s="406" t="s">
        <v>248</v>
      </c>
      <c r="B2" s="406"/>
      <c r="C2" s="406"/>
      <c r="D2" s="406"/>
      <c r="E2" s="406"/>
      <c r="F2" s="406"/>
      <c r="G2" s="406"/>
      <c r="H2" s="406"/>
      <c r="I2" s="406"/>
    </row>
    <row r="3" customFormat="false" ht="19.5" hidden="false" customHeight="true" outlineLevel="0" collapsed="false">
      <c r="A3" s="407" t="s">
        <v>249</v>
      </c>
      <c r="B3" s="408" t="s">
        <v>217</v>
      </c>
      <c r="C3" s="408" t="s">
        <v>2</v>
      </c>
      <c r="D3" s="408" t="s">
        <v>3</v>
      </c>
      <c r="E3" s="408" t="s">
        <v>218</v>
      </c>
      <c r="F3" s="408" t="s">
        <v>219</v>
      </c>
      <c r="G3" s="408" t="s">
        <v>188</v>
      </c>
      <c r="H3" s="408" t="s">
        <v>189</v>
      </c>
      <c r="I3" s="408" t="s">
        <v>190</v>
      </c>
    </row>
    <row r="4" customFormat="false" ht="18" hidden="false" customHeight="true" outlineLevel="0" collapsed="false">
      <c r="A4" s="409" t="s">
        <v>250</v>
      </c>
      <c r="B4" s="409"/>
      <c r="C4" s="409"/>
      <c r="D4" s="409"/>
      <c r="E4" s="409"/>
      <c r="F4" s="409"/>
      <c r="G4" s="409"/>
      <c r="H4" s="409"/>
      <c r="I4" s="409"/>
    </row>
    <row r="5" customFormat="false" ht="18" hidden="false" customHeight="true" outlineLevel="0" collapsed="false">
      <c r="A5" s="410" t="s">
        <v>251</v>
      </c>
      <c r="B5" s="418" t="n">
        <v>88000</v>
      </c>
      <c r="C5" s="418" t="n">
        <v>135000</v>
      </c>
      <c r="D5" s="418" t="n">
        <v>155000</v>
      </c>
      <c r="E5" s="418" t="n">
        <v>165000</v>
      </c>
      <c r="F5" s="418" t="n">
        <v>185000</v>
      </c>
      <c r="G5" s="418" t="n">
        <v>215000</v>
      </c>
      <c r="H5" s="418" t="n">
        <v>250000</v>
      </c>
      <c r="I5" s="418" t="n">
        <v>295000</v>
      </c>
    </row>
    <row r="6" customFormat="false" ht="18" hidden="false" customHeight="true" outlineLevel="0" collapsed="false">
      <c r="A6" s="410" t="s">
        <v>252</v>
      </c>
      <c r="B6" s="419" t="n">
        <v>8000</v>
      </c>
      <c r="C6" s="419" t="n">
        <v>12000</v>
      </c>
      <c r="D6" s="419" t="n">
        <v>18000</v>
      </c>
      <c r="E6" s="419" t="n">
        <v>22000</v>
      </c>
      <c r="F6" s="419" t="n">
        <v>28000</v>
      </c>
      <c r="G6" s="419" t="n">
        <v>35000</v>
      </c>
      <c r="H6" s="419" t="n">
        <v>44000</v>
      </c>
      <c r="I6" s="419" t="n">
        <v>54000</v>
      </c>
    </row>
    <row r="7" customFormat="false" ht="18" hidden="false" customHeight="true" outlineLevel="0" collapsed="false">
      <c r="A7" s="410" t="s">
        <v>253</v>
      </c>
      <c r="B7" s="418" t="n">
        <v>2000</v>
      </c>
      <c r="C7" s="418" t="n">
        <v>3000</v>
      </c>
      <c r="D7" s="418" t="n">
        <v>5000</v>
      </c>
      <c r="E7" s="418" t="n">
        <v>7500</v>
      </c>
      <c r="F7" s="418" t="n">
        <v>10000</v>
      </c>
      <c r="G7" s="418" t="n">
        <v>14000</v>
      </c>
      <c r="H7" s="418" t="n">
        <v>19000</v>
      </c>
      <c r="I7" s="418" t="n">
        <v>26000</v>
      </c>
    </row>
    <row r="8" customFormat="false" ht="18" hidden="false" customHeight="true" outlineLevel="0" collapsed="false">
      <c r="A8" s="410" t="s">
        <v>254</v>
      </c>
      <c r="B8" s="419" t="n">
        <v>98000</v>
      </c>
      <c r="C8" s="419" t="n">
        <v>150000</v>
      </c>
      <c r="D8" s="419" t="n">
        <v>178000</v>
      </c>
      <c r="E8" s="419" t="n">
        <v>194500</v>
      </c>
      <c r="F8" s="419" t="n">
        <v>223000</v>
      </c>
      <c r="G8" s="419" t="n">
        <v>264000</v>
      </c>
      <c r="H8" s="419" t="n">
        <v>313000</v>
      </c>
      <c r="I8" s="419" t="n">
        <v>375000</v>
      </c>
    </row>
    <row r="9" customFormat="false" ht="18" hidden="false" customHeight="true" outlineLevel="0" collapsed="false"/>
    <row r="10" customFormat="false" ht="18" hidden="false" customHeight="true" outlineLevel="0" collapsed="false">
      <c r="A10" s="409" t="s">
        <v>255</v>
      </c>
      <c r="B10" s="409"/>
      <c r="C10" s="409"/>
      <c r="D10" s="409"/>
      <c r="E10" s="409"/>
      <c r="F10" s="409"/>
      <c r="G10" s="409"/>
      <c r="H10" s="409"/>
      <c r="I10" s="409"/>
    </row>
    <row r="11" customFormat="false" ht="18" hidden="false" customHeight="true" outlineLevel="0" collapsed="false">
      <c r="A11" s="410" t="s">
        <v>256</v>
      </c>
      <c r="B11" s="414" t="n">
        <v>0.62</v>
      </c>
      <c r="C11" s="414" t="n">
        <v>0.72</v>
      </c>
      <c r="D11" s="414" t="n">
        <v>0.78</v>
      </c>
      <c r="E11" s="414" t="n">
        <v>0.75</v>
      </c>
      <c r="F11" s="414" t="n">
        <v>0.8</v>
      </c>
      <c r="G11" s="414" t="n">
        <v>0.84</v>
      </c>
      <c r="H11" s="414" t="n">
        <v>0.87</v>
      </c>
      <c r="I11" s="414" t="n">
        <v>0.9</v>
      </c>
    </row>
    <row r="12" customFormat="false" ht="18" hidden="false" customHeight="true" outlineLevel="0" collapsed="false">
      <c r="A12" s="410" t="s">
        <v>257</v>
      </c>
      <c r="B12" s="419" t="n">
        <v>28</v>
      </c>
      <c r="C12" s="419" t="n">
        <v>30</v>
      </c>
      <c r="D12" s="419" t="n">
        <v>30</v>
      </c>
      <c r="E12" s="419" t="n">
        <v>32</v>
      </c>
      <c r="F12" s="419" t="n">
        <v>35</v>
      </c>
      <c r="G12" s="419" t="n">
        <v>38</v>
      </c>
      <c r="H12" s="419" t="n">
        <v>40</v>
      </c>
      <c r="I12" s="419" t="n">
        <v>42</v>
      </c>
    </row>
    <row r="13" customFormat="false" ht="18" hidden="false" customHeight="true" outlineLevel="0" collapsed="false">
      <c r="A13" s="410" t="s">
        <v>258</v>
      </c>
      <c r="B13" s="418" t="n">
        <v>3</v>
      </c>
      <c r="C13" s="418" t="n">
        <v>4</v>
      </c>
      <c r="D13" s="418" t="n">
        <v>4</v>
      </c>
      <c r="E13" s="418" t="n">
        <v>5</v>
      </c>
      <c r="F13" s="418" t="n">
        <v>6</v>
      </c>
      <c r="G13" s="418" t="n">
        <v>7</v>
      </c>
      <c r="H13" s="418" t="n">
        <v>8</v>
      </c>
      <c r="I13" s="418" t="n">
        <v>9</v>
      </c>
    </row>
    <row r="14" customFormat="false" ht="18" hidden="false" customHeight="true" outlineLevel="0" collapsed="false">
      <c r="A14" s="410" t="s">
        <v>259</v>
      </c>
      <c r="B14" s="419" t="n">
        <v>9</v>
      </c>
      <c r="C14" s="419" t="n">
        <v>10</v>
      </c>
      <c r="D14" s="419" t="n">
        <v>11</v>
      </c>
      <c r="E14" s="419" t="n">
        <v>12</v>
      </c>
      <c r="F14" s="419" t="n">
        <v>13</v>
      </c>
      <c r="G14" s="419" t="n">
        <v>14</v>
      </c>
      <c r="H14" s="419" t="n">
        <v>15</v>
      </c>
      <c r="I14" s="419" t="n">
        <v>16</v>
      </c>
    </row>
    <row r="15" customFormat="false" ht="18" hidden="false" customHeight="true" outlineLevel="0" collapsed="false">
      <c r="A15" s="410" t="s">
        <v>260</v>
      </c>
      <c r="B15" s="418" t="n">
        <v>12</v>
      </c>
      <c r="C15" s="418" t="n">
        <v>14</v>
      </c>
      <c r="D15" s="418" t="n">
        <v>15</v>
      </c>
      <c r="E15" s="418" t="n">
        <v>17</v>
      </c>
      <c r="F15" s="418" t="n">
        <v>19</v>
      </c>
      <c r="G15" s="418" t="n">
        <v>21</v>
      </c>
      <c r="H15" s="418" t="n">
        <v>23</v>
      </c>
      <c r="I15" s="418" t="n">
        <v>25</v>
      </c>
    </row>
    <row r="16" customFormat="false" ht="18" hidden="false" customHeight="true" outlineLevel="0" collapsed="false"/>
    <row r="17" customFormat="false" ht="18" hidden="false" customHeight="true" outlineLevel="0" collapsed="false">
      <c r="A17" s="409" t="s">
        <v>261</v>
      </c>
      <c r="B17" s="409"/>
      <c r="C17" s="409"/>
      <c r="D17" s="409"/>
      <c r="E17" s="409"/>
      <c r="F17" s="409"/>
      <c r="G17" s="409"/>
      <c r="H17" s="409"/>
      <c r="I17" s="409"/>
    </row>
    <row r="18" customFormat="false" ht="18" hidden="false" customHeight="true" outlineLevel="0" collapsed="false">
      <c r="A18" s="410" t="s">
        <v>262</v>
      </c>
      <c r="B18" s="412" t="n">
        <v>0.76</v>
      </c>
      <c r="C18" s="412" t="n">
        <v>0.76</v>
      </c>
      <c r="D18" s="412" t="n">
        <v>0.75</v>
      </c>
      <c r="E18" s="412" t="n">
        <v>0.74</v>
      </c>
      <c r="F18" s="412" t="n">
        <v>0.73</v>
      </c>
      <c r="G18" s="412" t="n">
        <v>0.72</v>
      </c>
      <c r="H18" s="412" t="n">
        <v>0.7</v>
      </c>
      <c r="I18" s="412" t="n">
        <v>0.68</v>
      </c>
    </row>
    <row r="19" customFormat="false" ht="18" hidden="false" customHeight="true" outlineLevel="0" collapsed="false">
      <c r="A19" s="410" t="s">
        <v>263</v>
      </c>
      <c r="B19" s="414" t="n">
        <v>0.14</v>
      </c>
      <c r="C19" s="414" t="n">
        <v>0.14</v>
      </c>
      <c r="D19" s="414" t="n">
        <v>0.15</v>
      </c>
      <c r="E19" s="414" t="n">
        <v>0.16</v>
      </c>
      <c r="F19" s="414" t="n">
        <v>0.17</v>
      </c>
      <c r="G19" s="414" t="n">
        <v>0.18</v>
      </c>
      <c r="H19" s="414" t="n">
        <v>0.2</v>
      </c>
      <c r="I19" s="414" t="n">
        <v>0.22</v>
      </c>
    </row>
    <row r="20" customFormat="false" ht="18" hidden="false" customHeight="true" outlineLevel="0" collapsed="false">
      <c r="A20" s="410" t="s">
        <v>264</v>
      </c>
      <c r="B20" s="412" t="n">
        <v>0.04</v>
      </c>
      <c r="C20" s="412" t="n">
        <v>0.04</v>
      </c>
      <c r="D20" s="412" t="n">
        <v>0.05</v>
      </c>
      <c r="E20" s="412" t="n">
        <v>0.05</v>
      </c>
      <c r="F20" s="412" t="n">
        <v>0.05</v>
      </c>
      <c r="G20" s="412" t="n">
        <v>0.05</v>
      </c>
      <c r="H20" s="412" t="n">
        <v>0.05</v>
      </c>
      <c r="I20" s="412" t="n">
        <v>0.05</v>
      </c>
    </row>
    <row r="21" customFormat="false" ht="18" hidden="false" customHeight="true" outlineLevel="0" collapsed="false">
      <c r="A21" s="410" t="s">
        <v>265</v>
      </c>
      <c r="B21" s="414" t="n">
        <v>0.06</v>
      </c>
      <c r="C21" s="414" t="n">
        <v>0.06</v>
      </c>
      <c r="D21" s="414" t="n">
        <v>0.05</v>
      </c>
      <c r="E21" s="414" t="n">
        <v>0.05</v>
      </c>
      <c r="F21" s="414" t="n">
        <v>0.05</v>
      </c>
      <c r="G21" s="414" t="n">
        <v>0.05</v>
      </c>
      <c r="H21" s="414" t="n">
        <v>0.05</v>
      </c>
      <c r="I21" s="414" t="n">
        <v>0.05</v>
      </c>
    </row>
    <row r="22" customFormat="false" ht="18" hidden="false" customHeight="true" outlineLevel="0" collapsed="false"/>
    <row r="23" customFormat="false" ht="18" hidden="false" customHeight="true" outlineLevel="0" collapsed="false">
      <c r="A23" s="409" t="s">
        <v>266</v>
      </c>
      <c r="B23" s="409"/>
      <c r="C23" s="409"/>
      <c r="D23" s="409"/>
      <c r="E23" s="409"/>
      <c r="F23" s="409"/>
      <c r="G23" s="409"/>
      <c r="H23" s="409"/>
      <c r="I23" s="409"/>
    </row>
    <row r="24" customFormat="false" ht="18" hidden="false" customHeight="true" outlineLevel="0" collapsed="false">
      <c r="A24" s="410" t="s">
        <v>267</v>
      </c>
      <c r="B24" s="412" t="n">
        <v>0.58</v>
      </c>
      <c r="C24" s="412" t="n">
        <v>0.6</v>
      </c>
      <c r="D24" s="412" t="n">
        <v>0.62</v>
      </c>
      <c r="E24" s="412" t="n">
        <v>0.63</v>
      </c>
      <c r="F24" s="412" t="n">
        <v>0.65</v>
      </c>
      <c r="G24" s="412" t="n">
        <v>0.66</v>
      </c>
      <c r="H24" s="412" t="n">
        <v>0.67</v>
      </c>
      <c r="I24" s="412" t="n">
        <v>0.68</v>
      </c>
    </row>
    <row r="25" customFormat="false" ht="18" hidden="false" customHeight="true" outlineLevel="0" collapsed="false">
      <c r="A25" s="410" t="s">
        <v>268</v>
      </c>
      <c r="B25" s="414" t="n">
        <v>0.42</v>
      </c>
      <c r="C25" s="414" t="n">
        <v>0.4</v>
      </c>
      <c r="D25" s="414" t="n">
        <v>0.38</v>
      </c>
      <c r="E25" s="414" t="n">
        <v>0.37</v>
      </c>
      <c r="F25" s="414" t="n">
        <v>0.35</v>
      </c>
      <c r="G25" s="414" t="n">
        <v>0.34</v>
      </c>
      <c r="H25" s="414" t="n">
        <v>0.33</v>
      </c>
      <c r="I25" s="414" t="n">
        <v>0.32</v>
      </c>
    </row>
    <row r="26" customFormat="false" ht="18" hidden="false" customHeight="true" outlineLevel="0" collapsed="false"/>
    <row r="27" customFormat="false" ht="18" hidden="false" customHeight="true" outlineLevel="0" collapsed="false">
      <c r="A27" s="409" t="s">
        <v>269</v>
      </c>
      <c r="B27" s="409"/>
      <c r="C27" s="409"/>
      <c r="D27" s="409"/>
      <c r="E27" s="409"/>
      <c r="F27" s="409"/>
      <c r="G27" s="409"/>
      <c r="H27" s="409"/>
      <c r="I27" s="409"/>
    </row>
    <row r="28" customFormat="false" ht="18" hidden="false" customHeight="true" outlineLevel="0" collapsed="false">
      <c r="A28" s="410" t="s">
        <v>270</v>
      </c>
      <c r="B28" s="419" t="n">
        <v>85</v>
      </c>
      <c r="C28" s="419" t="n">
        <v>125</v>
      </c>
      <c r="D28" s="419" t="n">
        <v>150</v>
      </c>
      <c r="E28" s="419" t="n">
        <v>165</v>
      </c>
      <c r="F28" s="419" t="n">
        <v>190</v>
      </c>
      <c r="G28" s="419" t="n">
        <v>210</v>
      </c>
      <c r="H28" s="419" t="n">
        <v>235</v>
      </c>
      <c r="I28" s="419" t="n">
        <v>260</v>
      </c>
    </row>
    <row r="29" customFormat="false" ht="18" hidden="false" customHeight="true" outlineLevel="0" collapsed="false">
      <c r="A29" s="410" t="s">
        <v>271</v>
      </c>
      <c r="B29" s="418" t="n">
        <v>1231</v>
      </c>
      <c r="C29" s="418" t="n">
        <v>1607</v>
      </c>
      <c r="D29" s="418" t="n">
        <v>1335</v>
      </c>
      <c r="E29" s="418" t="n">
        <v>1740</v>
      </c>
      <c r="F29" s="418" t="n">
        <v>1774</v>
      </c>
      <c r="G29" s="418" t="n">
        <v>2140</v>
      </c>
      <c r="H29" s="418" t="n">
        <v>2256</v>
      </c>
      <c r="I29" s="418" t="n">
        <v>2325</v>
      </c>
    </row>
    <row r="30" customFormat="false" ht="18" hidden="false" customHeight="true" outlineLevel="0" collapsed="false">
      <c r="A30" s="410" t="s">
        <v>272</v>
      </c>
      <c r="B30" s="419" t="n">
        <v>14343</v>
      </c>
      <c r="C30" s="419" t="n">
        <v>16415</v>
      </c>
      <c r="D30" s="419" t="n">
        <v>17006</v>
      </c>
      <c r="E30" s="419" t="n">
        <v>19157</v>
      </c>
      <c r="F30" s="419" t="n">
        <v>20941</v>
      </c>
      <c r="G30" s="419" t="n">
        <v>21395</v>
      </c>
      <c r="H30" s="419" t="n">
        <v>22080</v>
      </c>
      <c r="I30" s="419" t="n">
        <v>21966</v>
      </c>
    </row>
    <row r="31" customFormat="false" ht="18" hidden="false" customHeight="true" outlineLevel="0" collapsed="false">
      <c r="A31" s="410" t="s">
        <v>273</v>
      </c>
      <c r="B31" s="418" t="n">
        <v>193</v>
      </c>
      <c r="C31" s="418" t="n">
        <v>511</v>
      </c>
      <c r="D31" s="418" t="n">
        <v>636</v>
      </c>
      <c r="E31" s="418" t="n">
        <v>958</v>
      </c>
      <c r="F31" s="418" t="n">
        <v>784</v>
      </c>
      <c r="G31" s="418" t="n">
        <v>558</v>
      </c>
      <c r="H31" s="418" t="n">
        <v>400</v>
      </c>
      <c r="I31" s="418" t="n">
        <v>305</v>
      </c>
    </row>
  </sheetData>
  <mergeCells count="7">
    <mergeCell ref="A1:I1"/>
    <mergeCell ref="A2:I2"/>
    <mergeCell ref="A4:I4"/>
    <mergeCell ref="A10:I10"/>
    <mergeCell ref="A17:I17"/>
    <mergeCell ref="A23:I23"/>
    <mergeCell ref="A27:I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27.75" hidden="false" customHeight="true" outlineLevel="0" collapsed="false">
      <c r="A1" s="421" t="s">
        <v>274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1"/>
      <c r="M1" s="421"/>
      <c r="N1" s="421"/>
      <c r="O1" s="421"/>
      <c r="P1" s="421"/>
      <c r="Q1" s="421"/>
      <c r="R1" s="421"/>
    </row>
    <row r="60" customFormat="false" ht="15" hidden="false" customHeight="false" outlineLevel="0" collapsed="false">
      <c r="A60" s="422" t="s">
        <v>275</v>
      </c>
      <c r="B60" s="422" t="s">
        <v>107</v>
      </c>
      <c r="C60" s="422" t="s">
        <v>8</v>
      </c>
      <c r="D60" s="422" t="s">
        <v>11</v>
      </c>
    </row>
    <row r="61" customFormat="false" ht="15" hidden="false" customHeight="false" outlineLevel="0" collapsed="false">
      <c r="A61" s="1" t="s">
        <v>276</v>
      </c>
      <c r="B61" s="1" t="n">
        <v>1410</v>
      </c>
      <c r="C61" s="1" t="n">
        <v>121</v>
      </c>
      <c r="D61" s="1" t="n">
        <v>57</v>
      </c>
    </row>
    <row r="62" customFormat="false" ht="15" hidden="false" customHeight="false" outlineLevel="0" collapsed="false">
      <c r="A62" s="1" t="s">
        <v>43</v>
      </c>
      <c r="B62" s="1" t="n">
        <v>2216</v>
      </c>
      <c r="C62" s="1" t="n">
        <v>217</v>
      </c>
      <c r="D62" s="1" t="n">
        <v>148</v>
      </c>
    </row>
    <row r="63" customFormat="false" ht="15" hidden="false" customHeight="false" outlineLevel="0" collapsed="false">
      <c r="A63" s="1" t="s">
        <v>44</v>
      </c>
      <c r="B63" s="1" t="n">
        <v>2801</v>
      </c>
      <c r="C63" s="1" t="n">
        <v>207</v>
      </c>
      <c r="D63" s="1" t="n">
        <v>204</v>
      </c>
    </row>
    <row r="64" customFormat="false" ht="15" hidden="false" customHeight="false" outlineLevel="0" collapsed="false">
      <c r="A64" s="1" t="s">
        <v>45</v>
      </c>
      <c r="B64" s="1" t="n">
        <v>3161</v>
      </c>
      <c r="C64" s="1" t="n">
        <v>287</v>
      </c>
      <c r="D64" s="1" t="n">
        <v>242</v>
      </c>
    </row>
    <row r="65" customFormat="false" ht="15" hidden="false" customHeight="false" outlineLevel="0" collapsed="false">
      <c r="A65" s="1" t="s">
        <v>46</v>
      </c>
      <c r="B65" s="1" t="n">
        <v>3869</v>
      </c>
      <c r="C65" s="1" t="n">
        <v>328</v>
      </c>
      <c r="D65" s="1" t="n">
        <v>313</v>
      </c>
    </row>
    <row r="66" customFormat="false" ht="15" hidden="false" customHeight="false" outlineLevel="0" collapsed="false">
      <c r="A66" s="1" t="s">
        <v>188</v>
      </c>
      <c r="B66" s="1" t="n">
        <v>4600</v>
      </c>
      <c r="C66" s="1" t="n">
        <v>460</v>
      </c>
      <c r="D66" s="1" t="n">
        <v>385</v>
      </c>
    </row>
    <row r="67" customFormat="false" ht="15" hidden="false" customHeight="false" outlineLevel="0" collapsed="false">
      <c r="A67" s="1" t="s">
        <v>189</v>
      </c>
      <c r="B67" s="1" t="n">
        <v>5520</v>
      </c>
      <c r="C67" s="1" t="n">
        <v>564</v>
      </c>
      <c r="D67" s="1" t="n">
        <v>478</v>
      </c>
    </row>
    <row r="68" customFormat="false" ht="15" hidden="false" customHeight="false" outlineLevel="0" collapsed="false">
      <c r="A68" s="1" t="s">
        <v>190</v>
      </c>
      <c r="B68" s="1" t="n">
        <v>6480</v>
      </c>
      <c r="C68" s="1" t="n">
        <v>686</v>
      </c>
      <c r="D68" s="1" t="n">
        <v>590</v>
      </c>
    </row>
    <row r="72" customFormat="false" ht="15" hidden="false" customHeight="false" outlineLevel="0" collapsed="false">
      <c r="A72" s="422" t="s">
        <v>275</v>
      </c>
      <c r="B72" s="422" t="s">
        <v>277</v>
      </c>
      <c r="C72" s="422" t="s">
        <v>278</v>
      </c>
    </row>
    <row r="73" customFormat="false" ht="15" hidden="false" customHeight="false" outlineLevel="0" collapsed="false">
      <c r="A73" s="1" t="s">
        <v>276</v>
      </c>
      <c r="B73" s="1" t="n">
        <v>8.6</v>
      </c>
      <c r="C73" s="1" t="n">
        <v>4</v>
      </c>
    </row>
    <row r="74" customFormat="false" ht="15" hidden="false" customHeight="false" outlineLevel="0" collapsed="false">
      <c r="A74" s="1" t="s">
        <v>43</v>
      </c>
      <c r="B74" s="1" t="n">
        <v>9.8</v>
      </c>
      <c r="C74" s="1" t="n">
        <v>6.7</v>
      </c>
    </row>
    <row r="75" customFormat="false" ht="15" hidden="false" customHeight="false" outlineLevel="0" collapsed="false">
      <c r="A75" s="1" t="s">
        <v>44</v>
      </c>
      <c r="B75" s="1" t="n">
        <v>7.4</v>
      </c>
      <c r="C75" s="1" t="n">
        <v>7.3</v>
      </c>
    </row>
    <row r="76" customFormat="false" ht="15" hidden="false" customHeight="false" outlineLevel="0" collapsed="false">
      <c r="A76" s="1" t="s">
        <v>45</v>
      </c>
      <c r="B76" s="1" t="n">
        <v>9.1</v>
      </c>
      <c r="C76" s="1" t="n">
        <v>7.7</v>
      </c>
    </row>
    <row r="77" customFormat="false" ht="15" hidden="false" customHeight="false" outlineLevel="0" collapsed="false">
      <c r="A77" s="1" t="s">
        <v>46</v>
      </c>
      <c r="B77" s="1" t="n">
        <v>8.5</v>
      </c>
      <c r="C77" s="1" t="n">
        <v>8.1</v>
      </c>
    </row>
    <row r="78" customFormat="false" ht="15" hidden="false" customHeight="false" outlineLevel="0" collapsed="false">
      <c r="A78" s="1" t="s">
        <v>188</v>
      </c>
      <c r="B78" s="1" t="n">
        <v>10</v>
      </c>
      <c r="C78" s="1" t="n">
        <v>8.4</v>
      </c>
    </row>
    <row r="79" customFormat="false" ht="15" hidden="false" customHeight="false" outlineLevel="0" collapsed="false">
      <c r="A79" s="1" t="s">
        <v>189</v>
      </c>
      <c r="B79" s="1" t="n">
        <v>10.2</v>
      </c>
      <c r="C79" s="1" t="n">
        <v>8.7</v>
      </c>
    </row>
    <row r="80" customFormat="false" ht="15" hidden="false" customHeight="false" outlineLevel="0" collapsed="false">
      <c r="A80" s="1" t="s">
        <v>190</v>
      </c>
      <c r="B80" s="1" t="n">
        <v>10.6</v>
      </c>
      <c r="C80" s="1" t="n">
        <v>9.1</v>
      </c>
    </row>
    <row r="84" customFormat="false" ht="15" hidden="false" customHeight="false" outlineLevel="0" collapsed="false">
      <c r="A84" s="422" t="s">
        <v>275</v>
      </c>
      <c r="B84" s="422" t="s">
        <v>279</v>
      </c>
      <c r="C84" s="422" t="s">
        <v>280</v>
      </c>
      <c r="D84" s="422" t="s">
        <v>281</v>
      </c>
    </row>
    <row r="85" customFormat="false" ht="15" hidden="false" customHeight="false" outlineLevel="0" collapsed="false">
      <c r="A85" s="1" t="s">
        <v>276</v>
      </c>
      <c r="B85" s="1" t="n">
        <v>88000</v>
      </c>
      <c r="C85" s="1" t="n">
        <v>8000</v>
      </c>
      <c r="D85" s="1" t="n">
        <v>2000</v>
      </c>
    </row>
    <row r="86" customFormat="false" ht="15" hidden="false" customHeight="false" outlineLevel="0" collapsed="false">
      <c r="A86" s="1" t="s">
        <v>43</v>
      </c>
      <c r="B86" s="1" t="n">
        <v>135000</v>
      </c>
      <c r="C86" s="1" t="n">
        <v>12000</v>
      </c>
      <c r="D86" s="1" t="n">
        <v>3000</v>
      </c>
    </row>
    <row r="87" customFormat="false" ht="15" hidden="false" customHeight="false" outlineLevel="0" collapsed="false">
      <c r="A87" s="1" t="s">
        <v>44</v>
      </c>
      <c r="B87" s="1" t="n">
        <v>155000</v>
      </c>
      <c r="C87" s="1" t="n">
        <v>18000</v>
      </c>
      <c r="D87" s="1" t="n">
        <v>5000</v>
      </c>
    </row>
    <row r="88" customFormat="false" ht="15" hidden="false" customHeight="false" outlineLevel="0" collapsed="false">
      <c r="A88" s="1" t="s">
        <v>45</v>
      </c>
      <c r="B88" s="1" t="n">
        <v>165000</v>
      </c>
      <c r="C88" s="1" t="n">
        <v>22000</v>
      </c>
      <c r="D88" s="1" t="n">
        <v>7500</v>
      </c>
    </row>
    <row r="89" customFormat="false" ht="15" hidden="false" customHeight="false" outlineLevel="0" collapsed="false">
      <c r="A89" s="1" t="s">
        <v>46</v>
      </c>
      <c r="B89" s="1" t="n">
        <v>185000</v>
      </c>
      <c r="C89" s="1" t="n">
        <v>28000</v>
      </c>
      <c r="D89" s="1" t="n">
        <v>10000</v>
      </c>
    </row>
    <row r="90" customFormat="false" ht="15" hidden="false" customHeight="false" outlineLevel="0" collapsed="false">
      <c r="A90" s="1" t="s">
        <v>188</v>
      </c>
      <c r="B90" s="1" t="n">
        <v>215000</v>
      </c>
      <c r="C90" s="1" t="n">
        <v>35000</v>
      </c>
      <c r="D90" s="1" t="n">
        <v>14000</v>
      </c>
    </row>
    <row r="91" customFormat="false" ht="15" hidden="false" customHeight="false" outlineLevel="0" collapsed="false">
      <c r="A91" s="1" t="s">
        <v>189</v>
      </c>
      <c r="B91" s="1" t="n">
        <v>250000</v>
      </c>
      <c r="C91" s="1" t="n">
        <v>44000</v>
      </c>
      <c r="D91" s="1" t="n">
        <v>19000</v>
      </c>
    </row>
    <row r="92" customFormat="false" ht="15" hidden="false" customHeight="false" outlineLevel="0" collapsed="false">
      <c r="A92" s="1" t="s">
        <v>190</v>
      </c>
      <c r="B92" s="1" t="n">
        <v>295000</v>
      </c>
      <c r="C92" s="1" t="n">
        <v>54000</v>
      </c>
      <c r="D92" s="1" t="n">
        <v>26000</v>
      </c>
    </row>
    <row r="96" customFormat="false" ht="15" hidden="false" customHeight="false" outlineLevel="0" collapsed="false">
      <c r="A96" s="422" t="s">
        <v>275</v>
      </c>
      <c r="B96" s="422" t="s">
        <v>282</v>
      </c>
      <c r="C96" s="422" t="s">
        <v>283</v>
      </c>
    </row>
    <row r="97" customFormat="false" ht="15" hidden="false" customHeight="false" outlineLevel="0" collapsed="false">
      <c r="A97" s="1" t="s">
        <v>276</v>
      </c>
      <c r="B97" s="1" t="n">
        <v>21.2</v>
      </c>
      <c r="C97" s="1" t="n">
        <v>16.4</v>
      </c>
    </row>
    <row r="98" customFormat="false" ht="15" hidden="false" customHeight="false" outlineLevel="0" collapsed="false">
      <c r="A98" s="1" t="s">
        <v>43</v>
      </c>
      <c r="B98" s="1" t="n">
        <v>38.2</v>
      </c>
      <c r="C98" s="1" t="n">
        <v>36.5</v>
      </c>
    </row>
    <row r="99" customFormat="false" ht="15" hidden="false" customHeight="false" outlineLevel="0" collapsed="false">
      <c r="A99" s="1" t="s">
        <v>44</v>
      </c>
      <c r="B99" s="1" t="n">
        <v>34.6</v>
      </c>
      <c r="C99" s="1" t="n">
        <v>26.4</v>
      </c>
    </row>
    <row r="100" customFormat="false" ht="15" hidden="false" customHeight="false" outlineLevel="0" collapsed="false">
      <c r="A100" s="1" t="s">
        <v>45</v>
      </c>
      <c r="B100" s="1" t="n">
        <v>28.9</v>
      </c>
      <c r="C100" s="1" t="n">
        <v>22.5</v>
      </c>
    </row>
    <row r="101" customFormat="false" ht="15" hidden="false" customHeight="false" outlineLevel="0" collapsed="false">
      <c r="A101" s="1" t="s">
        <v>46</v>
      </c>
      <c r="B101" s="1" t="n">
        <v>15.1</v>
      </c>
      <c r="C101" s="1" t="n">
        <v>21.5</v>
      </c>
    </row>
    <row r="102" customFormat="false" ht="15" hidden="false" customHeight="false" outlineLevel="0" collapsed="false">
      <c r="A102" s="1" t="s">
        <v>188</v>
      </c>
      <c r="B102" s="1" t="n">
        <v>16.2</v>
      </c>
      <c r="C102" s="1" t="n">
        <v>22</v>
      </c>
    </row>
    <row r="103" customFormat="false" ht="15" hidden="false" customHeight="false" outlineLevel="0" collapsed="false">
      <c r="A103" s="1" t="s">
        <v>189</v>
      </c>
      <c r="B103" s="1" t="n">
        <v>17.3</v>
      </c>
      <c r="C103" s="1" t="n">
        <v>23.5</v>
      </c>
    </row>
    <row r="104" customFormat="false" ht="15" hidden="false" customHeight="false" outlineLevel="0" collapsed="false">
      <c r="A104" s="1" t="s">
        <v>190</v>
      </c>
      <c r="B104" s="1" t="n">
        <v>18.3</v>
      </c>
      <c r="C104" s="1" t="n">
        <v>25</v>
      </c>
    </row>
    <row r="108" customFormat="false" ht="15" hidden="false" customHeight="false" outlineLevel="0" collapsed="false">
      <c r="A108" s="422" t="s">
        <v>275</v>
      </c>
      <c r="B108" s="422" t="s">
        <v>58</v>
      </c>
      <c r="C108" s="422" t="s">
        <v>60</v>
      </c>
      <c r="D108" s="422" t="s">
        <v>284</v>
      </c>
    </row>
    <row r="109" customFormat="false" ht="15" hidden="false" customHeight="false" outlineLevel="0" collapsed="false">
      <c r="A109" s="1" t="s">
        <v>276</v>
      </c>
      <c r="B109" s="1" t="n">
        <v>77</v>
      </c>
      <c r="C109" s="1" t="n">
        <v>19</v>
      </c>
      <c r="D109" s="1" t="n">
        <v>58</v>
      </c>
    </row>
    <row r="110" customFormat="false" ht="15" hidden="false" customHeight="false" outlineLevel="0" collapsed="false">
      <c r="A110" s="1" t="s">
        <v>43</v>
      </c>
      <c r="B110" s="1" t="n">
        <v>10</v>
      </c>
      <c r="C110" s="1" t="n">
        <v>69</v>
      </c>
      <c r="D110" s="1" t="n">
        <v>-59</v>
      </c>
    </row>
    <row r="111" customFormat="false" ht="15" hidden="false" customHeight="false" outlineLevel="0" collapsed="false">
      <c r="A111" s="1" t="s">
        <v>44</v>
      </c>
      <c r="B111" s="1" t="n">
        <v>200</v>
      </c>
      <c r="C111" s="1" t="n">
        <v>105</v>
      </c>
      <c r="D111" s="1" t="n">
        <v>95</v>
      </c>
    </row>
    <row r="112" customFormat="false" ht="15" hidden="false" customHeight="false" outlineLevel="0" collapsed="false">
      <c r="A112" s="1" t="s">
        <v>45</v>
      </c>
      <c r="B112" s="1" t="n">
        <v>42</v>
      </c>
      <c r="C112" s="1" t="n">
        <v>158</v>
      </c>
      <c r="D112" s="1" t="n">
        <v>-116</v>
      </c>
    </row>
    <row r="113" customFormat="false" ht="15" hidden="false" customHeight="false" outlineLevel="0" collapsed="false">
      <c r="A113" s="1" t="s">
        <v>46</v>
      </c>
      <c r="B113" s="1" t="n">
        <v>282</v>
      </c>
      <c r="C113" s="1" t="n">
        <v>145</v>
      </c>
      <c r="D113" s="1" t="n">
        <v>137</v>
      </c>
    </row>
    <row r="114" customFormat="false" ht="15" hidden="false" customHeight="false" outlineLevel="0" collapsed="false">
      <c r="A114" s="1" t="s">
        <v>188</v>
      </c>
      <c r="B114" s="1" t="n">
        <v>310</v>
      </c>
      <c r="C114" s="1" t="n">
        <v>120</v>
      </c>
      <c r="D114" s="1" t="n">
        <v>190</v>
      </c>
    </row>
    <row r="115" customFormat="false" ht="15" hidden="false" customHeight="false" outlineLevel="0" collapsed="false">
      <c r="A115" s="1" t="s">
        <v>189</v>
      </c>
      <c r="B115" s="1" t="n">
        <v>370</v>
      </c>
      <c r="C115" s="1" t="n">
        <v>100</v>
      </c>
      <c r="D115" s="1" t="n">
        <v>270</v>
      </c>
    </row>
    <row r="116" customFormat="false" ht="15" hidden="false" customHeight="false" outlineLevel="0" collapsed="false">
      <c r="A116" s="1" t="s">
        <v>190</v>
      </c>
      <c r="B116" s="1" t="n">
        <v>440</v>
      </c>
      <c r="C116" s="1" t="n">
        <v>90</v>
      </c>
      <c r="D116" s="1" t="n">
        <v>350</v>
      </c>
    </row>
    <row r="120" customFormat="false" ht="15" hidden="false" customHeight="false" outlineLevel="0" collapsed="false">
      <c r="A120" s="422" t="s">
        <v>275</v>
      </c>
      <c r="B120" s="422" t="s">
        <v>227</v>
      </c>
    </row>
    <row r="121" customFormat="false" ht="15" hidden="false" customHeight="false" outlineLevel="0" collapsed="false">
      <c r="A121" s="1" t="s">
        <v>276</v>
      </c>
      <c r="B121" s="1" t="n">
        <v>7.6</v>
      </c>
    </row>
    <row r="122" customFormat="false" ht="15" hidden="false" customHeight="false" outlineLevel="0" collapsed="false">
      <c r="A122" s="1" t="s">
        <v>43</v>
      </c>
      <c r="B122" s="1" t="n">
        <v>20.19</v>
      </c>
    </row>
    <row r="123" customFormat="false" ht="15" hidden="false" customHeight="false" outlineLevel="0" collapsed="false">
      <c r="A123" s="1" t="s">
        <v>44</v>
      </c>
      <c r="B123" s="1" t="n">
        <v>29.13</v>
      </c>
    </row>
    <row r="124" customFormat="false" ht="15" hidden="false" customHeight="false" outlineLevel="0" collapsed="false">
      <c r="A124" s="1" t="s">
        <v>45</v>
      </c>
      <c r="B124" s="1" t="n">
        <v>34.65</v>
      </c>
    </row>
    <row r="125" customFormat="false" ht="15" hidden="false" customHeight="false" outlineLevel="0" collapsed="false">
      <c r="A125" s="1" t="s">
        <v>46</v>
      </c>
      <c r="B125" s="1" t="n">
        <v>42.32</v>
      </c>
    </row>
    <row r="126" customFormat="false" ht="15" hidden="false" customHeight="false" outlineLevel="0" collapsed="false">
      <c r="A126" s="1" t="s">
        <v>188</v>
      </c>
      <c r="B126" s="1" t="n">
        <v>52.2</v>
      </c>
    </row>
    <row r="127" customFormat="false" ht="15" hidden="false" customHeight="false" outlineLevel="0" collapsed="false">
      <c r="A127" s="1" t="s">
        <v>189</v>
      </c>
      <c r="B127" s="1" t="n">
        <v>64.8</v>
      </c>
    </row>
    <row r="128" customFormat="false" ht="15" hidden="false" customHeight="false" outlineLevel="0" collapsed="false">
      <c r="A128" s="1" t="s">
        <v>190</v>
      </c>
      <c r="B128" s="1" t="n">
        <v>79.9</v>
      </c>
    </row>
  </sheetData>
  <mergeCells count="1">
    <mergeCell ref="A1:R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2"/>
    <col collapsed="false" customWidth="true" hidden="false" outlineLevel="0" max="3" min="3" style="1" width="65"/>
    <col collapsed="false" customWidth="true" hidden="false" outlineLevel="0" max="4" min="4" style="1" width="18"/>
  </cols>
  <sheetData>
    <row r="1" customFormat="false" ht="27.75" hidden="false" customHeight="true" outlineLevel="0" collapsed="false">
      <c r="A1" s="421" t="s">
        <v>285</v>
      </c>
      <c r="B1" s="421"/>
      <c r="C1" s="421"/>
      <c r="D1" s="421"/>
    </row>
    <row r="2" customFormat="false" ht="15" hidden="false" customHeight="true" outlineLevel="0" collapsed="false">
      <c r="A2" s="406" t="s">
        <v>286</v>
      </c>
      <c r="B2" s="406"/>
      <c r="C2" s="406"/>
      <c r="D2" s="406"/>
    </row>
    <row r="3" customFormat="false" ht="19.5" hidden="false" customHeight="true" outlineLevel="0" collapsed="false">
      <c r="A3" s="407" t="s">
        <v>275</v>
      </c>
      <c r="B3" s="407" t="s">
        <v>287</v>
      </c>
      <c r="C3" s="407" t="s">
        <v>288</v>
      </c>
      <c r="D3" s="407" t="s">
        <v>289</v>
      </c>
    </row>
    <row r="4" customFormat="false" ht="39.75" hidden="false" customHeight="true" outlineLevel="0" collapsed="false">
      <c r="A4" s="423" t="s">
        <v>290</v>
      </c>
      <c r="B4" s="407" t="s">
        <v>291</v>
      </c>
      <c r="C4" s="424" t="s">
        <v>292</v>
      </c>
      <c r="D4" s="425" t="s">
        <v>293</v>
      </c>
    </row>
    <row r="5" customFormat="false" ht="39.75" hidden="false" customHeight="true" outlineLevel="0" collapsed="false">
      <c r="A5" s="423" t="s">
        <v>294</v>
      </c>
      <c r="B5" s="407" t="s">
        <v>295</v>
      </c>
      <c r="C5" s="426" t="s">
        <v>296</v>
      </c>
      <c r="D5" s="425" t="s">
        <v>297</v>
      </c>
    </row>
    <row r="6" customFormat="false" ht="39.75" hidden="false" customHeight="true" outlineLevel="0" collapsed="false">
      <c r="A6" s="423" t="s">
        <v>298</v>
      </c>
      <c r="B6" s="407" t="s">
        <v>299</v>
      </c>
      <c r="C6" s="424" t="s">
        <v>300</v>
      </c>
      <c r="D6" s="425" t="s">
        <v>301</v>
      </c>
    </row>
    <row r="7" customFormat="false" ht="39.75" hidden="false" customHeight="true" outlineLevel="0" collapsed="false">
      <c r="A7" s="423" t="s">
        <v>302</v>
      </c>
      <c r="B7" s="407" t="s">
        <v>303</v>
      </c>
      <c r="C7" s="426" t="s">
        <v>304</v>
      </c>
      <c r="D7" s="425" t="s">
        <v>305</v>
      </c>
    </row>
    <row r="8" customFormat="false" ht="39.75" hidden="false" customHeight="true" outlineLevel="0" collapsed="false">
      <c r="A8" s="423" t="s">
        <v>306</v>
      </c>
      <c r="B8" s="407" t="s">
        <v>307</v>
      </c>
      <c r="C8" s="424" t="s">
        <v>308</v>
      </c>
      <c r="D8" s="425" t="s">
        <v>309</v>
      </c>
    </row>
    <row r="9" customFormat="false" ht="39.75" hidden="false" customHeight="true" outlineLevel="0" collapsed="false">
      <c r="A9" s="423" t="s">
        <v>310</v>
      </c>
      <c r="B9" s="407" t="s">
        <v>311</v>
      </c>
      <c r="C9" s="426" t="s">
        <v>312</v>
      </c>
      <c r="D9" s="425" t="s">
        <v>313</v>
      </c>
    </row>
    <row r="10" customFormat="false" ht="39.75" hidden="false" customHeight="true" outlineLevel="0" collapsed="false">
      <c r="A10" s="423" t="s">
        <v>314</v>
      </c>
      <c r="B10" s="407" t="s">
        <v>315</v>
      </c>
      <c r="C10" s="424" t="s">
        <v>316</v>
      </c>
      <c r="D10" s="425" t="s">
        <v>317</v>
      </c>
    </row>
    <row r="11" customFormat="false" ht="39.75" hidden="false" customHeight="true" outlineLevel="0" collapsed="false">
      <c r="A11" s="423" t="s">
        <v>318</v>
      </c>
      <c r="B11" s="407" t="s">
        <v>319</v>
      </c>
      <c r="C11" s="426" t="s">
        <v>320</v>
      </c>
      <c r="D11" s="425" t="s">
        <v>321</v>
      </c>
    </row>
    <row r="12" customFormat="false" ht="39.75" hidden="false" customHeight="true" outlineLevel="0" collapsed="false">
      <c r="A12" s="423" t="s">
        <v>322</v>
      </c>
      <c r="B12" s="407" t="s">
        <v>323</v>
      </c>
      <c r="C12" s="424" t="s">
        <v>324</v>
      </c>
      <c r="D12" s="425" t="s">
        <v>325</v>
      </c>
    </row>
    <row r="13" customFormat="false" ht="39.75" hidden="false" customHeight="true" outlineLevel="0" collapsed="false">
      <c r="A13" s="423" t="s">
        <v>326</v>
      </c>
      <c r="B13" s="407" t="s">
        <v>327</v>
      </c>
      <c r="C13" s="426" t="s">
        <v>328</v>
      </c>
      <c r="D13" s="425" t="s">
        <v>329</v>
      </c>
    </row>
    <row r="14" customFormat="false" ht="39.75" hidden="false" customHeight="true" outlineLevel="0" collapsed="false">
      <c r="A14" s="423" t="s">
        <v>330</v>
      </c>
      <c r="B14" s="407" t="s">
        <v>331</v>
      </c>
      <c r="C14" s="424" t="s">
        <v>332</v>
      </c>
      <c r="D14" s="425" t="s">
        <v>333</v>
      </c>
    </row>
    <row r="15" customFormat="false" ht="39.75" hidden="false" customHeight="true" outlineLevel="0" collapsed="false">
      <c r="A15" s="423" t="s">
        <v>334</v>
      </c>
      <c r="B15" s="407" t="s">
        <v>335</v>
      </c>
      <c r="C15" s="426" t="s">
        <v>336</v>
      </c>
      <c r="D15" s="425" t="s">
        <v>337</v>
      </c>
    </row>
    <row r="16" customFormat="false" ht="39.75" hidden="false" customHeight="true" outlineLevel="0" collapsed="false">
      <c r="A16" s="423" t="s">
        <v>334</v>
      </c>
      <c r="B16" s="407" t="s">
        <v>338</v>
      </c>
      <c r="C16" s="424" t="s">
        <v>339</v>
      </c>
      <c r="D16" s="425" t="s">
        <v>340</v>
      </c>
    </row>
    <row r="17" customFormat="false" ht="39.75" hidden="false" customHeight="true" outlineLevel="0" collapsed="false">
      <c r="A17" s="423" t="s">
        <v>341</v>
      </c>
      <c r="B17" s="407" t="s">
        <v>342</v>
      </c>
      <c r="C17" s="426" t="s">
        <v>343</v>
      </c>
      <c r="D17" s="425" t="s">
        <v>344</v>
      </c>
    </row>
    <row r="18" customFormat="false" ht="39.75" hidden="false" customHeight="true" outlineLevel="0" collapsed="false">
      <c r="A18" s="423" t="s">
        <v>341</v>
      </c>
      <c r="B18" s="407" t="s">
        <v>345</v>
      </c>
      <c r="C18" s="424" t="s">
        <v>346</v>
      </c>
      <c r="D18" s="425" t="s">
        <v>347</v>
      </c>
    </row>
    <row r="19" customFormat="false" ht="39.75" hidden="false" customHeight="true" outlineLevel="0" collapsed="false">
      <c r="A19" s="423" t="s">
        <v>348</v>
      </c>
      <c r="B19" s="407" t="s">
        <v>349</v>
      </c>
      <c r="C19" s="426" t="s">
        <v>350</v>
      </c>
      <c r="D19" s="425" t="s">
        <v>351</v>
      </c>
    </row>
    <row r="20" customFormat="false" ht="39.75" hidden="false" customHeight="true" outlineLevel="0" collapsed="false">
      <c r="A20" s="423" t="s">
        <v>352</v>
      </c>
      <c r="B20" s="407" t="s">
        <v>353</v>
      </c>
      <c r="C20" s="424" t="s">
        <v>354</v>
      </c>
      <c r="D20" s="425" t="s">
        <v>355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9" min="2" style="1" width="13"/>
  </cols>
  <sheetData>
    <row r="1" customFormat="false" ht="27.75" hidden="false" customHeight="true" outlineLevel="0" collapsed="false">
      <c r="A1" s="421" t="s">
        <v>356</v>
      </c>
      <c r="B1" s="421"/>
      <c r="C1" s="421"/>
      <c r="D1" s="421"/>
      <c r="E1" s="421"/>
      <c r="F1" s="421"/>
      <c r="G1" s="421"/>
      <c r="H1" s="421"/>
      <c r="I1" s="421"/>
    </row>
    <row r="2" customFormat="false" ht="15" hidden="false" customHeight="true" outlineLevel="0" collapsed="false">
      <c r="A2" s="406" t="s">
        <v>357</v>
      </c>
      <c r="B2" s="406"/>
      <c r="C2" s="406"/>
      <c r="D2" s="406"/>
      <c r="E2" s="406"/>
      <c r="F2" s="406"/>
      <c r="G2" s="406"/>
      <c r="H2" s="406"/>
      <c r="I2" s="406"/>
    </row>
    <row r="3" customFormat="false" ht="15" hidden="false" customHeight="true" outlineLevel="0" collapsed="false">
      <c r="A3" s="427" t="s">
        <v>358</v>
      </c>
      <c r="B3" s="427"/>
      <c r="C3" s="427"/>
      <c r="D3" s="427"/>
      <c r="E3" s="427"/>
      <c r="F3" s="427"/>
      <c r="G3" s="427"/>
      <c r="H3" s="427"/>
      <c r="I3" s="427"/>
    </row>
    <row r="4" customFormat="false" ht="15" hidden="false" customHeight="false" outlineLevel="0" collapsed="false">
      <c r="A4" s="408" t="s">
        <v>359</v>
      </c>
      <c r="B4" s="428" t="s">
        <v>276</v>
      </c>
      <c r="C4" s="428" t="s">
        <v>43</v>
      </c>
      <c r="D4" s="428" t="s">
        <v>44</v>
      </c>
      <c r="E4" s="428" t="s">
        <v>45</v>
      </c>
      <c r="F4" s="428" t="s">
        <v>46</v>
      </c>
    </row>
    <row r="5" customFormat="false" ht="18" hidden="false" customHeight="true" outlineLevel="0" collapsed="false">
      <c r="A5" s="429" t="s">
        <v>360</v>
      </c>
      <c r="B5" s="411" t="n">
        <v>1410</v>
      </c>
      <c r="C5" s="411" t="n">
        <v>2216</v>
      </c>
      <c r="D5" s="411" t="n">
        <v>2801</v>
      </c>
      <c r="E5" s="411" t="n">
        <v>3161</v>
      </c>
      <c r="F5" s="411" t="n">
        <v>3869</v>
      </c>
    </row>
    <row r="6" customFormat="false" ht="18" hidden="false" customHeight="true" outlineLevel="0" collapsed="false">
      <c r="A6" s="430" t="s">
        <v>361</v>
      </c>
      <c r="B6" s="413" t="n">
        <v>841</v>
      </c>
      <c r="C6" s="413" t="n">
        <v>1380</v>
      </c>
      <c r="D6" s="413" t="n">
        <v>1700</v>
      </c>
      <c r="E6" s="413" t="n">
        <v>1525</v>
      </c>
      <c r="F6" s="413" t="n">
        <v>2028</v>
      </c>
    </row>
    <row r="7" customFormat="false" ht="18" hidden="false" customHeight="true" outlineLevel="0" collapsed="false">
      <c r="A7" s="431" t="s">
        <v>362</v>
      </c>
      <c r="B7" s="411" t="n">
        <v>460</v>
      </c>
      <c r="C7" s="411" t="n">
        <v>720</v>
      </c>
      <c r="D7" s="411" t="n">
        <v>820</v>
      </c>
      <c r="E7" s="411" t="n">
        <v>695</v>
      </c>
      <c r="F7" s="411" t="n">
        <v>780</v>
      </c>
    </row>
    <row r="9" customFormat="false" ht="15" hidden="false" customHeight="true" outlineLevel="0" collapsed="false">
      <c r="A9" s="432" t="s">
        <v>363</v>
      </c>
      <c r="B9" s="432"/>
      <c r="C9" s="432"/>
      <c r="D9" s="432"/>
      <c r="E9" s="432"/>
      <c r="F9" s="432"/>
      <c r="G9" s="432"/>
      <c r="H9" s="432"/>
      <c r="I9" s="432"/>
    </row>
    <row r="10" customFormat="false" ht="15" hidden="false" customHeight="false" outlineLevel="0" collapsed="false">
      <c r="A10" s="408" t="s">
        <v>359</v>
      </c>
      <c r="B10" s="428" t="s">
        <v>276</v>
      </c>
      <c r="C10" s="428" t="s">
        <v>43</v>
      </c>
      <c r="D10" s="428" t="s">
        <v>44</v>
      </c>
      <c r="E10" s="428" t="s">
        <v>45</v>
      </c>
      <c r="F10" s="428" t="s">
        <v>46</v>
      </c>
    </row>
    <row r="11" customFormat="false" ht="18" hidden="false" customHeight="true" outlineLevel="0" collapsed="false">
      <c r="A11" s="429" t="s">
        <v>360</v>
      </c>
      <c r="B11" s="414" t="n">
        <v>0.086</v>
      </c>
      <c r="C11" s="414" t="n">
        <v>0.098</v>
      </c>
      <c r="D11" s="414" t="n">
        <v>0.074</v>
      </c>
      <c r="E11" s="414" t="n">
        <v>0.091</v>
      </c>
      <c r="F11" s="414" t="n">
        <v>0.085</v>
      </c>
    </row>
    <row r="12" customFormat="false" ht="18" hidden="false" customHeight="true" outlineLevel="0" collapsed="false">
      <c r="A12" s="430" t="s">
        <v>361</v>
      </c>
      <c r="B12" s="412" t="n">
        <v>0.045</v>
      </c>
      <c r="C12" s="412" t="n">
        <v>0.045</v>
      </c>
      <c r="D12" s="412" t="n">
        <v>0.048</v>
      </c>
      <c r="E12" s="412" t="n">
        <v>0.048</v>
      </c>
      <c r="F12" s="412" t="n">
        <v>0.051</v>
      </c>
    </row>
    <row r="13" customFormat="false" ht="18" hidden="false" customHeight="true" outlineLevel="0" collapsed="false">
      <c r="A13" s="431" t="s">
        <v>362</v>
      </c>
      <c r="B13" s="414" t="n">
        <v>0.054</v>
      </c>
      <c r="C13" s="414" t="n">
        <v>0.056</v>
      </c>
      <c r="D13" s="414" t="n">
        <v>0.051</v>
      </c>
      <c r="E13" s="414" t="n">
        <v>0.05</v>
      </c>
      <c r="F13" s="414" t="n">
        <v>0.062</v>
      </c>
    </row>
    <row r="15" customFormat="false" ht="15" hidden="false" customHeight="true" outlineLevel="0" collapsed="false">
      <c r="A15" s="427" t="s">
        <v>364</v>
      </c>
      <c r="B15" s="427"/>
      <c r="C15" s="427"/>
      <c r="D15" s="427"/>
      <c r="E15" s="427"/>
      <c r="F15" s="427"/>
      <c r="G15" s="427"/>
      <c r="H15" s="427"/>
      <c r="I15" s="427"/>
    </row>
    <row r="16" customFormat="false" ht="15" hidden="false" customHeight="false" outlineLevel="0" collapsed="false">
      <c r="A16" s="408" t="s">
        <v>359</v>
      </c>
      <c r="B16" s="428" t="s">
        <v>276</v>
      </c>
      <c r="C16" s="428" t="s">
        <v>43</v>
      </c>
      <c r="D16" s="428" t="s">
        <v>44</v>
      </c>
      <c r="E16" s="428" t="s">
        <v>45</v>
      </c>
      <c r="F16" s="428" t="s">
        <v>46</v>
      </c>
    </row>
    <row r="17" customFormat="false" ht="18" hidden="false" customHeight="true" outlineLevel="0" collapsed="false">
      <c r="A17" s="429" t="s">
        <v>360</v>
      </c>
      <c r="B17" s="411" t="n">
        <v>57</v>
      </c>
      <c r="C17" s="411" t="n">
        <v>148</v>
      </c>
      <c r="D17" s="411" t="n">
        <v>204</v>
      </c>
      <c r="E17" s="411" t="n">
        <v>242</v>
      </c>
      <c r="F17" s="411" t="n">
        <v>313</v>
      </c>
    </row>
    <row r="18" customFormat="false" ht="18" hidden="false" customHeight="true" outlineLevel="0" collapsed="false">
      <c r="A18" s="430" t="s">
        <v>361</v>
      </c>
      <c r="B18" s="413" t="n">
        <v>17</v>
      </c>
      <c r="C18" s="413" t="n">
        <v>29</v>
      </c>
      <c r="D18" s="413" t="n">
        <v>53</v>
      </c>
      <c r="E18" s="413" t="n">
        <v>51</v>
      </c>
      <c r="F18" s="413" t="n">
        <v>69</v>
      </c>
    </row>
    <row r="19" customFormat="false" ht="18" hidden="false" customHeight="true" outlineLevel="0" collapsed="false">
      <c r="A19" s="431" t="s">
        <v>362</v>
      </c>
      <c r="B19" s="411" t="n">
        <v>10</v>
      </c>
      <c r="C19" s="411" t="n">
        <v>18</v>
      </c>
      <c r="D19" s="411" t="n">
        <v>21</v>
      </c>
      <c r="E19" s="411" t="n">
        <v>16</v>
      </c>
      <c r="F19" s="411" t="n">
        <v>22</v>
      </c>
    </row>
    <row r="21" customFormat="false" ht="15" hidden="false" customHeight="true" outlineLevel="0" collapsed="false">
      <c r="A21" s="432" t="s">
        <v>365</v>
      </c>
      <c r="B21" s="432"/>
      <c r="C21" s="432"/>
      <c r="D21" s="432"/>
      <c r="E21" s="432"/>
      <c r="F21" s="432"/>
    </row>
    <row r="22" customFormat="false" ht="15" hidden="false" customHeight="false" outlineLevel="0" collapsed="false">
      <c r="A22" s="408" t="s">
        <v>359</v>
      </c>
      <c r="B22" s="428" t="s">
        <v>366</v>
      </c>
      <c r="C22" s="428" t="s">
        <v>243</v>
      </c>
      <c r="D22" s="428" t="s">
        <v>244</v>
      </c>
      <c r="E22" s="428" t="s">
        <v>367</v>
      </c>
      <c r="F22" s="428" t="s">
        <v>368</v>
      </c>
    </row>
    <row r="23" customFormat="false" ht="18" hidden="false" customHeight="true" outlineLevel="0" collapsed="false">
      <c r="A23" s="429" t="s">
        <v>369</v>
      </c>
      <c r="B23" s="411" t="n">
        <v>11360</v>
      </c>
      <c r="C23" s="420" t="n">
        <v>36.3</v>
      </c>
      <c r="D23" s="420" t="n">
        <v>7.4</v>
      </c>
      <c r="E23" s="414" t="n">
        <v>0.215</v>
      </c>
      <c r="F23" s="414" t="n">
        <v>0.212</v>
      </c>
    </row>
    <row r="24" customFormat="false" ht="18" hidden="false" customHeight="true" outlineLevel="0" collapsed="false">
      <c r="A24" s="430" t="s">
        <v>370</v>
      </c>
      <c r="B24" s="413" t="n">
        <v>3309</v>
      </c>
      <c r="C24" s="417" t="n">
        <v>27.9</v>
      </c>
      <c r="D24" s="417" t="n">
        <v>4.8</v>
      </c>
      <c r="E24" s="412" t="n">
        <v>0.169</v>
      </c>
      <c r="F24" s="412" t="n">
        <v>0.137</v>
      </c>
    </row>
    <row r="25" customFormat="false" ht="18" hidden="false" customHeight="true" outlineLevel="0" collapsed="false">
      <c r="A25" s="431" t="s">
        <v>371</v>
      </c>
      <c r="B25" s="411" t="n">
        <v>420</v>
      </c>
      <c r="C25" s="420" t="n">
        <v>19.1</v>
      </c>
      <c r="D25" s="420" t="n">
        <v>2.1</v>
      </c>
      <c r="E25" s="414" t="n">
        <v>0.085</v>
      </c>
      <c r="F25" s="414" t="n">
        <v>0.072</v>
      </c>
    </row>
    <row r="70" customFormat="false" ht="15" hidden="false" customHeight="false" outlineLevel="0" collapsed="false">
      <c r="A70" s="422" t="s">
        <v>275</v>
      </c>
      <c r="B70" s="422" t="s">
        <v>372</v>
      </c>
      <c r="C70" s="422" t="s">
        <v>370</v>
      </c>
      <c r="D70" s="422" t="s">
        <v>373</v>
      </c>
    </row>
    <row r="71" customFormat="false" ht="15" hidden="false" customHeight="false" outlineLevel="0" collapsed="false">
      <c r="A71" s="1" t="s">
        <v>276</v>
      </c>
      <c r="B71" s="1" t="n">
        <v>1410</v>
      </c>
      <c r="C71" s="1" t="n">
        <v>841</v>
      </c>
      <c r="D71" s="1" t="n">
        <v>460</v>
      </c>
    </row>
    <row r="72" customFormat="false" ht="15" hidden="false" customHeight="false" outlineLevel="0" collapsed="false">
      <c r="A72" s="1" t="s">
        <v>43</v>
      </c>
      <c r="B72" s="1" t="n">
        <v>2216</v>
      </c>
      <c r="C72" s="1" t="n">
        <v>1380</v>
      </c>
      <c r="D72" s="1" t="n">
        <v>720</v>
      </c>
    </row>
    <row r="73" customFormat="false" ht="15" hidden="false" customHeight="false" outlineLevel="0" collapsed="false">
      <c r="A73" s="1" t="s">
        <v>44</v>
      </c>
      <c r="B73" s="1" t="n">
        <v>2801</v>
      </c>
      <c r="C73" s="1" t="n">
        <v>1700</v>
      </c>
      <c r="D73" s="1" t="n">
        <v>820</v>
      </c>
    </row>
    <row r="74" customFormat="false" ht="15" hidden="false" customHeight="false" outlineLevel="0" collapsed="false">
      <c r="A74" s="1" t="s">
        <v>45</v>
      </c>
      <c r="B74" s="1" t="n">
        <v>3161</v>
      </c>
      <c r="C74" s="1" t="n">
        <v>1525</v>
      </c>
      <c r="D74" s="1" t="n">
        <v>695</v>
      </c>
    </row>
    <row r="75" customFormat="false" ht="15" hidden="false" customHeight="false" outlineLevel="0" collapsed="false">
      <c r="A75" s="1" t="s">
        <v>46</v>
      </c>
      <c r="B75" s="1" t="n">
        <v>3869</v>
      </c>
      <c r="C75" s="1" t="n">
        <v>2028</v>
      </c>
      <c r="D75" s="1" t="n">
        <v>780</v>
      </c>
    </row>
    <row r="78" customFormat="false" ht="15" hidden="false" customHeight="false" outlineLevel="0" collapsed="false">
      <c r="A78" s="422" t="s">
        <v>275</v>
      </c>
      <c r="B78" s="422" t="s">
        <v>374</v>
      </c>
      <c r="C78" s="422" t="s">
        <v>375</v>
      </c>
      <c r="D78" s="422" t="s">
        <v>376</v>
      </c>
    </row>
    <row r="79" customFormat="false" ht="15" hidden="false" customHeight="false" outlineLevel="0" collapsed="false">
      <c r="A79" s="1" t="s">
        <v>276</v>
      </c>
      <c r="B79" s="1" t="n">
        <v>8.6</v>
      </c>
      <c r="C79" s="1" t="n">
        <v>4.5</v>
      </c>
      <c r="D79" s="1" t="n">
        <v>5.4</v>
      </c>
    </row>
    <row r="80" customFormat="false" ht="15" hidden="false" customHeight="false" outlineLevel="0" collapsed="false">
      <c r="A80" s="1" t="s">
        <v>43</v>
      </c>
      <c r="B80" s="1" t="n">
        <v>9.8</v>
      </c>
      <c r="C80" s="1" t="n">
        <v>4.5</v>
      </c>
      <c r="D80" s="1" t="n">
        <v>5.6</v>
      </c>
    </row>
    <row r="81" customFormat="false" ht="15" hidden="false" customHeight="false" outlineLevel="0" collapsed="false">
      <c r="A81" s="1" t="s">
        <v>44</v>
      </c>
      <c r="B81" s="1" t="n">
        <v>7.4</v>
      </c>
      <c r="C81" s="1" t="n">
        <v>4.8</v>
      </c>
      <c r="D81" s="1" t="n">
        <v>5.1</v>
      </c>
    </row>
    <row r="82" customFormat="false" ht="15" hidden="false" customHeight="false" outlineLevel="0" collapsed="false">
      <c r="A82" s="1" t="s">
        <v>45</v>
      </c>
      <c r="B82" s="1" t="n">
        <v>9.1</v>
      </c>
      <c r="C82" s="1" t="n">
        <v>4.8</v>
      </c>
      <c r="D82" s="1" t="n">
        <v>5</v>
      </c>
    </row>
    <row r="83" customFormat="false" ht="15" hidden="false" customHeight="false" outlineLevel="0" collapsed="false">
      <c r="A83" s="1" t="s">
        <v>46</v>
      </c>
      <c r="B83" s="1" t="n">
        <v>8.5</v>
      </c>
      <c r="C83" s="1" t="n">
        <v>5.1</v>
      </c>
      <c r="D83" s="1" t="n">
        <v>6.2</v>
      </c>
    </row>
  </sheetData>
  <mergeCells count="6">
    <mergeCell ref="A1:I1"/>
    <mergeCell ref="A2:I2"/>
    <mergeCell ref="A3:I3"/>
    <mergeCell ref="A9:I9"/>
    <mergeCell ref="A15:I15"/>
    <mergeCell ref="A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35"/>
    <col collapsed="false" customWidth="true" hidden="false" outlineLevel="0" max="3" min="3" style="1" width="20"/>
    <col collapsed="false" customWidth="true" hidden="false" outlineLevel="0" max="5" min="4" style="1" width="18"/>
  </cols>
  <sheetData>
    <row r="1" customFormat="false" ht="27.75" hidden="false" customHeight="true" outlineLevel="0" collapsed="false">
      <c r="A1" s="421" t="s">
        <v>377</v>
      </c>
      <c r="B1" s="421"/>
      <c r="C1" s="421"/>
      <c r="D1" s="421"/>
      <c r="E1" s="421"/>
    </row>
    <row r="2" customFormat="false" ht="15" hidden="false" customHeight="true" outlineLevel="0" collapsed="false">
      <c r="A2" s="432" t="s">
        <v>378</v>
      </c>
      <c r="B2" s="432"/>
      <c r="C2" s="432"/>
      <c r="D2" s="432"/>
      <c r="E2" s="432"/>
    </row>
    <row r="3" customFormat="false" ht="15" hidden="false" customHeight="false" outlineLevel="0" collapsed="false">
      <c r="A3" s="408" t="s">
        <v>379</v>
      </c>
      <c r="B3" s="408" t="s">
        <v>380</v>
      </c>
      <c r="C3" s="408" t="s">
        <v>381</v>
      </c>
      <c r="D3" s="408" t="s">
        <v>382</v>
      </c>
      <c r="E3" s="408" t="s">
        <v>383</v>
      </c>
    </row>
    <row r="4" customFormat="false" ht="19.5" hidden="false" customHeight="true" outlineLevel="0" collapsed="false">
      <c r="A4" s="433" t="s">
        <v>384</v>
      </c>
      <c r="B4" s="433" t="s">
        <v>385</v>
      </c>
      <c r="C4" s="434" t="s">
        <v>386</v>
      </c>
      <c r="D4" s="435" t="s">
        <v>387</v>
      </c>
      <c r="E4" s="435" t="s">
        <v>290</v>
      </c>
    </row>
    <row r="5" customFormat="false" ht="19.5" hidden="false" customHeight="true" outlineLevel="0" collapsed="false">
      <c r="A5" s="436" t="s">
        <v>388</v>
      </c>
      <c r="B5" s="436" t="s">
        <v>389</v>
      </c>
      <c r="C5" s="434" t="s">
        <v>386</v>
      </c>
      <c r="D5" s="437" t="s">
        <v>390</v>
      </c>
      <c r="E5" s="437" t="s">
        <v>298</v>
      </c>
    </row>
    <row r="6" customFormat="false" ht="19.5" hidden="false" customHeight="true" outlineLevel="0" collapsed="false">
      <c r="A6" s="433" t="s">
        <v>391</v>
      </c>
      <c r="B6" s="433" t="s">
        <v>392</v>
      </c>
      <c r="C6" s="438" t="s">
        <v>393</v>
      </c>
      <c r="D6" s="435" t="s">
        <v>394</v>
      </c>
      <c r="E6" s="435" t="s">
        <v>395</v>
      </c>
    </row>
    <row r="7" customFormat="false" ht="19.5" hidden="false" customHeight="true" outlineLevel="0" collapsed="false">
      <c r="A7" s="436" t="s">
        <v>396</v>
      </c>
      <c r="B7" s="436" t="s">
        <v>392</v>
      </c>
      <c r="C7" s="438" t="s">
        <v>393</v>
      </c>
      <c r="D7" s="437" t="s">
        <v>397</v>
      </c>
      <c r="E7" s="437" t="s">
        <v>314</v>
      </c>
    </row>
    <row r="8" customFormat="false" ht="19.5" hidden="false" customHeight="true" outlineLevel="0" collapsed="false">
      <c r="A8" s="433" t="s">
        <v>398</v>
      </c>
      <c r="B8" s="433" t="s">
        <v>392</v>
      </c>
      <c r="C8" s="438" t="s">
        <v>393</v>
      </c>
      <c r="D8" s="435" t="s">
        <v>399</v>
      </c>
      <c r="E8" s="435" t="s">
        <v>400</v>
      </c>
    </row>
    <row r="9" customFormat="false" ht="19.5" hidden="false" customHeight="true" outlineLevel="0" collapsed="false">
      <c r="A9" s="436" t="s">
        <v>401</v>
      </c>
      <c r="B9" s="436" t="s">
        <v>402</v>
      </c>
      <c r="C9" s="438" t="s">
        <v>393</v>
      </c>
      <c r="D9" s="437" t="s">
        <v>403</v>
      </c>
      <c r="E9" s="437" t="s">
        <v>322</v>
      </c>
    </row>
    <row r="10" customFormat="false" ht="19.5" hidden="false" customHeight="true" outlineLevel="0" collapsed="false">
      <c r="A10" s="433" t="s">
        <v>404</v>
      </c>
      <c r="B10" s="433" t="s">
        <v>405</v>
      </c>
      <c r="C10" s="439" t="s">
        <v>406</v>
      </c>
      <c r="D10" s="435" t="s">
        <v>407</v>
      </c>
      <c r="E10" s="435" t="s">
        <v>326</v>
      </c>
    </row>
    <row r="12" customFormat="false" ht="15" hidden="false" customHeight="true" outlineLevel="0" collapsed="false">
      <c r="A12" s="427" t="s">
        <v>408</v>
      </c>
      <c r="B12" s="427"/>
      <c r="C12" s="427"/>
      <c r="D12" s="427"/>
      <c r="E12" s="427"/>
    </row>
    <row r="13" customFormat="false" ht="15" hidden="false" customHeight="false" outlineLevel="0" collapsed="false">
      <c r="A13" s="408" t="s">
        <v>409</v>
      </c>
      <c r="B13" s="408" t="s">
        <v>410</v>
      </c>
      <c r="C13" s="408" t="s">
        <v>411</v>
      </c>
      <c r="D13" s="408" t="s">
        <v>412</v>
      </c>
      <c r="E13" s="408" t="s">
        <v>413</v>
      </c>
    </row>
    <row r="14" customFormat="false" ht="18" hidden="false" customHeight="true" outlineLevel="0" collapsed="false">
      <c r="A14" s="410" t="s">
        <v>414</v>
      </c>
      <c r="B14" s="412" t="n">
        <v>0.729</v>
      </c>
      <c r="C14" s="412" t="n">
        <v>0.685</v>
      </c>
      <c r="D14" s="412" t="n">
        <v>0.612</v>
      </c>
      <c r="E14" s="412" t="n">
        <v>0.559</v>
      </c>
    </row>
    <row r="15" customFormat="false" ht="18" hidden="false" customHeight="true" outlineLevel="0" collapsed="false">
      <c r="A15" s="410" t="s">
        <v>415</v>
      </c>
      <c r="B15" s="414" t="n">
        <v>0.068</v>
      </c>
      <c r="C15" s="414" t="n">
        <v>0.092</v>
      </c>
      <c r="D15" s="414" t="n">
        <v>0.115</v>
      </c>
      <c r="E15" s="414" t="n">
        <v>0.163</v>
      </c>
    </row>
    <row r="16" customFormat="false" ht="18" hidden="false" customHeight="true" outlineLevel="0" collapsed="false">
      <c r="A16" s="410" t="s">
        <v>416</v>
      </c>
      <c r="B16" s="412" t="n">
        <v>0.052</v>
      </c>
      <c r="C16" s="412" t="n">
        <v>0.071</v>
      </c>
      <c r="D16" s="412" t="n">
        <v>0.108</v>
      </c>
      <c r="E16" s="412" t="n">
        <v>0.124</v>
      </c>
    </row>
    <row r="17" customFormat="false" ht="18" hidden="false" customHeight="true" outlineLevel="0" collapsed="false">
      <c r="A17" s="410" t="s">
        <v>417</v>
      </c>
      <c r="B17" s="414" t="n">
        <v>0.151</v>
      </c>
      <c r="C17" s="414" t="n">
        <v>0.152</v>
      </c>
      <c r="D17" s="414" t="n">
        <v>0.165</v>
      </c>
      <c r="E17" s="414" t="n">
        <v>0.154</v>
      </c>
    </row>
    <row r="19" customFormat="false" ht="15" hidden="false" customHeight="true" outlineLevel="0" collapsed="false">
      <c r="A19" s="432" t="s">
        <v>418</v>
      </c>
      <c r="B19" s="432"/>
      <c r="C19" s="432"/>
      <c r="D19" s="432"/>
      <c r="E19" s="432"/>
    </row>
    <row r="20" customFormat="false" ht="15" hidden="false" customHeight="false" outlineLevel="0" collapsed="false">
      <c r="A20" s="408" t="s">
        <v>419</v>
      </c>
      <c r="B20" s="408" t="s">
        <v>43</v>
      </c>
      <c r="C20" s="408" t="s">
        <v>44</v>
      </c>
      <c r="D20" s="408" t="s">
        <v>45</v>
      </c>
      <c r="E20" s="408" t="s">
        <v>46</v>
      </c>
    </row>
    <row r="21" customFormat="false" ht="19.5" hidden="false" customHeight="true" outlineLevel="0" collapsed="false">
      <c r="A21" s="410" t="s">
        <v>420</v>
      </c>
      <c r="B21" s="437" t="s">
        <v>421</v>
      </c>
      <c r="C21" s="437" t="s">
        <v>421</v>
      </c>
      <c r="D21" s="437" t="s">
        <v>421</v>
      </c>
      <c r="E21" s="437" t="s">
        <v>421</v>
      </c>
    </row>
    <row r="22" customFormat="false" ht="19.5" hidden="false" customHeight="true" outlineLevel="0" collapsed="false">
      <c r="A22" s="410" t="s">
        <v>422</v>
      </c>
      <c r="B22" s="419" t="n">
        <v>7</v>
      </c>
      <c r="C22" s="419" t="n">
        <v>7</v>
      </c>
      <c r="D22" s="419" t="n">
        <v>7</v>
      </c>
      <c r="E22" s="419" t="n">
        <v>7</v>
      </c>
    </row>
    <row r="23" customFormat="false" ht="19.5" hidden="false" customHeight="true" outlineLevel="0" collapsed="false">
      <c r="A23" s="410" t="s">
        <v>198</v>
      </c>
      <c r="B23" s="418" t="n">
        <v>4</v>
      </c>
      <c r="C23" s="418" t="n">
        <v>4</v>
      </c>
      <c r="D23" s="418" t="n">
        <v>4</v>
      </c>
      <c r="E23" s="418" t="n">
        <v>4</v>
      </c>
    </row>
    <row r="24" customFormat="false" ht="19.5" hidden="false" customHeight="true" outlineLevel="0" collapsed="false">
      <c r="A24" s="410" t="s">
        <v>423</v>
      </c>
      <c r="B24" s="419" t="n">
        <v>1</v>
      </c>
      <c r="C24" s="419" t="n">
        <v>1</v>
      </c>
      <c r="D24" s="419" t="n">
        <v>1</v>
      </c>
      <c r="E24" s="419" t="n">
        <v>1</v>
      </c>
    </row>
    <row r="25" customFormat="false" ht="19.5" hidden="false" customHeight="true" outlineLevel="0" collapsed="false">
      <c r="A25" s="410" t="s">
        <v>424</v>
      </c>
      <c r="B25" s="418" t="n">
        <v>3.2</v>
      </c>
      <c r="C25" s="418" t="n">
        <v>4.5</v>
      </c>
      <c r="D25" s="418" t="n">
        <v>6.8</v>
      </c>
      <c r="E25" s="418" t="n">
        <v>9.2</v>
      </c>
    </row>
    <row r="26" customFormat="false" ht="19.5" hidden="false" customHeight="true" outlineLevel="0" collapsed="false">
      <c r="A26" s="410" t="s">
        <v>425</v>
      </c>
      <c r="B26" s="440" t="n">
        <v>0.28</v>
      </c>
      <c r="C26" s="440" t="n">
        <v>0.32</v>
      </c>
      <c r="D26" s="440" t="n">
        <v>0.42</v>
      </c>
      <c r="E26" s="440" t="n">
        <v>0.55</v>
      </c>
    </row>
    <row r="27" customFormat="false" ht="19.5" hidden="false" customHeight="true" outlineLevel="0" collapsed="false">
      <c r="A27" s="410" t="s">
        <v>426</v>
      </c>
      <c r="B27" s="441" t="n">
        <v>0.06</v>
      </c>
      <c r="C27" s="441" t="n">
        <v>0.08</v>
      </c>
      <c r="D27" s="441" t="n">
        <v>0.1</v>
      </c>
      <c r="E27" s="441" t="n">
        <v>0.12</v>
      </c>
    </row>
    <row r="28" customFormat="false" ht="19.5" hidden="false" customHeight="true" outlineLevel="0" collapsed="false">
      <c r="A28" s="410" t="s">
        <v>427</v>
      </c>
      <c r="B28" s="435" t="s">
        <v>428</v>
      </c>
      <c r="C28" s="435" t="s">
        <v>428</v>
      </c>
      <c r="D28" s="435" t="s">
        <v>428</v>
      </c>
      <c r="E28" s="435" t="s">
        <v>428</v>
      </c>
    </row>
    <row r="29" customFormat="false" ht="19.5" hidden="false" customHeight="true" outlineLevel="0" collapsed="false">
      <c r="A29" s="410" t="s">
        <v>429</v>
      </c>
      <c r="B29" s="437" t="s">
        <v>430</v>
      </c>
      <c r="C29" s="437" t="s">
        <v>430</v>
      </c>
      <c r="D29" s="437" t="s">
        <v>430</v>
      </c>
      <c r="E29" s="437" t="s">
        <v>430</v>
      </c>
    </row>
    <row r="30" customFormat="false" ht="19.5" hidden="false" customHeight="true" outlineLevel="0" collapsed="false">
      <c r="A30" s="410" t="s">
        <v>431</v>
      </c>
      <c r="B30" s="413" t="n">
        <v>28</v>
      </c>
      <c r="C30" s="413" t="n">
        <v>35</v>
      </c>
      <c r="D30" s="413" t="n">
        <v>52</v>
      </c>
      <c r="E30" s="413" t="n">
        <v>68</v>
      </c>
    </row>
  </sheetData>
  <mergeCells count="4">
    <mergeCell ref="A1:E1"/>
    <mergeCell ref="A2:E2"/>
    <mergeCell ref="A12:E12"/>
    <mergeCell ref="A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8" min="2" style="1" width="13"/>
  </cols>
  <sheetData>
    <row r="1" customFormat="false" ht="27.75" hidden="false" customHeight="true" outlineLevel="0" collapsed="false">
      <c r="A1" s="421" t="s">
        <v>432</v>
      </c>
      <c r="B1" s="421"/>
      <c r="C1" s="421"/>
      <c r="D1" s="421"/>
      <c r="E1" s="421"/>
      <c r="F1" s="421"/>
      <c r="G1" s="421"/>
      <c r="H1" s="421"/>
    </row>
    <row r="2" customFormat="false" ht="15" hidden="false" customHeight="true" outlineLevel="0" collapsed="false">
      <c r="A2" s="406" t="s">
        <v>433</v>
      </c>
      <c r="B2" s="406"/>
      <c r="C2" s="406"/>
      <c r="D2" s="406"/>
      <c r="E2" s="406"/>
      <c r="F2" s="406"/>
      <c r="G2" s="406"/>
      <c r="H2" s="406"/>
    </row>
    <row r="3" customFormat="false" ht="21.75" hidden="false" customHeight="true" outlineLevel="0" collapsed="false">
      <c r="A3" s="407" t="s">
        <v>216</v>
      </c>
      <c r="B3" s="408" t="s">
        <v>217</v>
      </c>
      <c r="C3" s="408" t="s">
        <v>2</v>
      </c>
      <c r="D3" s="408" t="s">
        <v>3</v>
      </c>
      <c r="E3" s="408" t="s">
        <v>218</v>
      </c>
      <c r="F3" s="408" t="s">
        <v>219</v>
      </c>
      <c r="G3" s="442" t="s">
        <v>188</v>
      </c>
      <c r="H3" s="442" t="s">
        <v>189</v>
      </c>
      <c r="I3" s="442" t="s">
        <v>190</v>
      </c>
    </row>
    <row r="4" customFormat="false" ht="18" hidden="false" customHeight="true" outlineLevel="0" collapsed="false">
      <c r="A4" s="409" t="s">
        <v>434</v>
      </c>
      <c r="B4" s="409"/>
      <c r="C4" s="409"/>
      <c r="D4" s="409"/>
      <c r="E4" s="409"/>
      <c r="F4" s="409"/>
      <c r="G4" s="409"/>
      <c r="H4" s="409"/>
    </row>
    <row r="5" customFormat="false" ht="18" hidden="false" customHeight="true" outlineLevel="0" collapsed="false">
      <c r="A5" s="410" t="s">
        <v>7</v>
      </c>
      <c r="B5" s="411" t="n">
        <v>1410</v>
      </c>
      <c r="C5" s="411" t="n">
        <v>2216</v>
      </c>
      <c r="D5" s="411" t="n">
        <v>2801</v>
      </c>
      <c r="E5" s="411" t="n">
        <v>3161</v>
      </c>
      <c r="F5" s="411" t="n">
        <v>3869</v>
      </c>
      <c r="G5" s="443" t="n">
        <v>4600</v>
      </c>
      <c r="H5" s="443" t="n">
        <v>5520</v>
      </c>
      <c r="I5" s="443" t="n">
        <v>6480</v>
      </c>
    </row>
    <row r="6" customFormat="false" ht="18" hidden="false" customHeight="true" outlineLevel="0" collapsed="false">
      <c r="A6" s="410" t="s">
        <v>435</v>
      </c>
      <c r="B6" s="412"/>
      <c r="C6" s="412" t="n">
        <v>0.571631205673759</v>
      </c>
      <c r="D6" s="412" t="n">
        <v>0.26398916967509</v>
      </c>
      <c r="E6" s="412" t="n">
        <v>0.128525526597644</v>
      </c>
      <c r="F6" s="412" t="n">
        <v>0.223979753242645</v>
      </c>
      <c r="G6" s="444" t="n">
        <v>0.188937710002585</v>
      </c>
      <c r="H6" s="444" t="n">
        <v>0.2</v>
      </c>
      <c r="I6" s="444" t="n">
        <v>0.173913043478261</v>
      </c>
    </row>
    <row r="7" customFormat="false" ht="18" hidden="false" customHeight="true" outlineLevel="0" collapsed="false">
      <c r="A7" s="410" t="s">
        <v>436</v>
      </c>
      <c r="B7" s="411" t="n">
        <v>352</v>
      </c>
      <c r="C7" s="411" t="n">
        <v>554</v>
      </c>
      <c r="D7" s="411" t="n">
        <v>700</v>
      </c>
      <c r="E7" s="411" t="n">
        <v>790</v>
      </c>
      <c r="F7" s="411" t="n">
        <v>967</v>
      </c>
      <c r="G7" s="443" t="n">
        <v>1150</v>
      </c>
      <c r="H7" s="443" t="n">
        <v>1380</v>
      </c>
      <c r="I7" s="443" t="n">
        <v>1620</v>
      </c>
    </row>
    <row r="8" customFormat="false" ht="18" hidden="false" customHeight="true" outlineLevel="0" collapsed="false">
      <c r="A8" s="410" t="s">
        <v>437</v>
      </c>
      <c r="B8" s="412" t="n">
        <v>0.25</v>
      </c>
      <c r="C8" s="412" t="n">
        <v>0.25</v>
      </c>
      <c r="D8" s="412" t="n">
        <v>0.25</v>
      </c>
      <c r="E8" s="412" t="n">
        <v>0.25</v>
      </c>
      <c r="F8" s="412" t="n">
        <v>0.25</v>
      </c>
      <c r="G8" s="444" t="n">
        <v>0.25</v>
      </c>
      <c r="H8" s="444" t="n">
        <v>0.25</v>
      </c>
      <c r="I8" s="444" t="n">
        <v>0.25</v>
      </c>
    </row>
    <row r="9" customFormat="false" ht="18" hidden="false" customHeight="true" outlineLevel="0" collapsed="false">
      <c r="A9" s="410" t="s">
        <v>8</v>
      </c>
      <c r="B9" s="411" t="n">
        <v>121</v>
      </c>
      <c r="C9" s="411" t="n">
        <v>217</v>
      </c>
      <c r="D9" s="411" t="n">
        <v>207</v>
      </c>
      <c r="E9" s="411" t="n">
        <v>287</v>
      </c>
      <c r="F9" s="411" t="n">
        <v>328</v>
      </c>
      <c r="G9" s="443" t="n">
        <v>460</v>
      </c>
      <c r="H9" s="443" t="n">
        <v>564</v>
      </c>
      <c r="I9" s="443" t="n">
        <v>686</v>
      </c>
    </row>
    <row r="10" customFormat="false" ht="18" hidden="false" customHeight="true" outlineLevel="0" collapsed="false">
      <c r="A10" s="410" t="s">
        <v>438</v>
      </c>
      <c r="B10" s="412" t="n">
        <v>0.0858156028368794</v>
      </c>
      <c r="C10" s="412" t="n">
        <v>0.0979241877256318</v>
      </c>
      <c r="D10" s="412" t="n">
        <v>0.0739021777936451</v>
      </c>
      <c r="E10" s="412" t="n">
        <v>0.0907940525150269</v>
      </c>
      <c r="F10" s="412" t="n">
        <v>0.0847764280175756</v>
      </c>
      <c r="G10" s="444" t="n">
        <v>0.1</v>
      </c>
      <c r="H10" s="444" t="n">
        <v>0.102173913043478</v>
      </c>
      <c r="I10" s="444" t="n">
        <v>0.105864197530864</v>
      </c>
    </row>
    <row r="11" customFormat="false" ht="18" hidden="false" customHeight="true" outlineLevel="0" collapsed="false">
      <c r="A11" s="410" t="s">
        <v>439</v>
      </c>
      <c r="B11" s="414"/>
      <c r="C11" s="414" t="n">
        <v>0.793388429752066</v>
      </c>
      <c r="D11" s="445" t="n">
        <v>-0.0460829493087558</v>
      </c>
      <c r="E11" s="414" t="n">
        <v>0.386473429951691</v>
      </c>
      <c r="F11" s="414" t="n">
        <v>0.142857142857143</v>
      </c>
      <c r="G11" s="444" t="n">
        <v>0.402439024390244</v>
      </c>
      <c r="H11" s="444" t="n">
        <v>0.226086956521739</v>
      </c>
      <c r="I11" s="444" t="n">
        <v>0.216312056737589</v>
      </c>
    </row>
    <row r="12" customFormat="false" ht="18" hidden="false" customHeight="true" outlineLevel="0" collapsed="false">
      <c r="A12" s="410" t="s">
        <v>111</v>
      </c>
      <c r="B12" s="413" t="n">
        <v>20</v>
      </c>
      <c r="C12" s="413" t="n">
        <v>21</v>
      </c>
      <c r="D12" s="413" t="n">
        <v>24</v>
      </c>
      <c r="E12" s="413" t="n">
        <v>38</v>
      </c>
      <c r="F12" s="413" t="n">
        <v>29</v>
      </c>
      <c r="G12" s="443" t="n">
        <v>38</v>
      </c>
      <c r="H12" s="443" t="n">
        <v>48</v>
      </c>
      <c r="I12" s="443" t="n">
        <v>58</v>
      </c>
    </row>
    <row r="13" customFormat="false" ht="18" hidden="false" customHeight="true" outlineLevel="0" collapsed="false">
      <c r="A13" s="410" t="s">
        <v>222</v>
      </c>
      <c r="B13" s="411" t="n">
        <v>101</v>
      </c>
      <c r="C13" s="411" t="n">
        <v>196</v>
      </c>
      <c r="D13" s="411" t="n">
        <v>183</v>
      </c>
      <c r="E13" s="411" t="n">
        <v>249</v>
      </c>
      <c r="F13" s="411" t="n">
        <v>299</v>
      </c>
      <c r="G13" s="443" t="n">
        <v>422</v>
      </c>
      <c r="H13" s="443" t="n">
        <v>516</v>
      </c>
      <c r="I13" s="443" t="n">
        <v>628</v>
      </c>
    </row>
    <row r="14" customFormat="false" ht="18" hidden="false" customHeight="true" outlineLevel="0" collapsed="false">
      <c r="A14" s="410" t="s">
        <v>440</v>
      </c>
      <c r="B14" s="413" t="n">
        <v>31</v>
      </c>
      <c r="C14" s="413" t="n">
        <v>38</v>
      </c>
      <c r="D14" s="413" t="n">
        <v>44</v>
      </c>
      <c r="E14" s="413" t="n">
        <v>52</v>
      </c>
      <c r="F14" s="413" t="n">
        <v>46</v>
      </c>
      <c r="G14" s="443" t="n">
        <v>38</v>
      </c>
      <c r="H14" s="443" t="n">
        <v>35</v>
      </c>
      <c r="I14" s="443" t="n">
        <v>32</v>
      </c>
    </row>
    <row r="15" customFormat="false" ht="18" hidden="false" customHeight="true" outlineLevel="0" collapsed="false">
      <c r="A15" s="410" t="s">
        <v>110</v>
      </c>
      <c r="B15" s="411" t="n">
        <v>1</v>
      </c>
      <c r="C15" s="411" t="n">
        <v>6</v>
      </c>
      <c r="D15" s="411" t="n">
        <v>88</v>
      </c>
      <c r="E15" s="411" t="n">
        <v>76</v>
      </c>
      <c r="F15" s="411" t="n">
        <v>111</v>
      </c>
      <c r="G15" s="443" t="n">
        <v>60</v>
      </c>
      <c r="H15" s="443" t="n">
        <v>50</v>
      </c>
      <c r="I15" s="443" t="n">
        <v>45</v>
      </c>
    </row>
    <row r="16" customFormat="false" ht="18" hidden="false" customHeight="true" outlineLevel="0" collapsed="false">
      <c r="A16" s="410" t="s">
        <v>113</v>
      </c>
      <c r="B16" s="413" t="n">
        <v>71</v>
      </c>
      <c r="C16" s="413" t="n">
        <v>165</v>
      </c>
      <c r="D16" s="413" t="n">
        <v>228</v>
      </c>
      <c r="E16" s="413" t="n">
        <v>274</v>
      </c>
      <c r="F16" s="413" t="n">
        <v>363</v>
      </c>
      <c r="G16" s="443" t="n">
        <v>457</v>
      </c>
      <c r="H16" s="443" t="n">
        <v>563</v>
      </c>
      <c r="I16" s="443" t="n">
        <v>693</v>
      </c>
    </row>
    <row r="17" customFormat="false" ht="18" hidden="false" customHeight="true" outlineLevel="0" collapsed="false">
      <c r="A17" s="410" t="s">
        <v>114</v>
      </c>
      <c r="B17" s="411" t="n">
        <v>14</v>
      </c>
      <c r="C17" s="411" t="n">
        <v>16</v>
      </c>
      <c r="D17" s="411" t="n">
        <v>23</v>
      </c>
      <c r="E17" s="411" t="n">
        <v>33</v>
      </c>
      <c r="F17" s="411" t="n">
        <v>50</v>
      </c>
      <c r="G17" s="443" t="n">
        <v>64</v>
      </c>
      <c r="H17" s="443" t="n">
        <v>79</v>
      </c>
      <c r="I17" s="443" t="n">
        <v>97</v>
      </c>
    </row>
    <row r="18" customFormat="false" ht="18" hidden="false" customHeight="true" outlineLevel="0" collapsed="false">
      <c r="A18" s="410" t="s">
        <v>441</v>
      </c>
      <c r="B18" s="412" t="n">
        <v>0.197183098591549</v>
      </c>
      <c r="C18" s="412" t="n">
        <v>0.096969696969697</v>
      </c>
      <c r="D18" s="412" t="n">
        <v>0.100877192982456</v>
      </c>
      <c r="E18" s="412" t="n">
        <v>0.12043795620438</v>
      </c>
      <c r="F18" s="412" t="n">
        <v>0.137741046831956</v>
      </c>
      <c r="G18" s="444" t="n">
        <v>0.140043763676149</v>
      </c>
      <c r="H18" s="444" t="n">
        <v>0.140319715808171</v>
      </c>
      <c r="I18" s="444" t="n">
        <v>0.13997113997114</v>
      </c>
    </row>
    <row r="19" customFormat="false" ht="18" hidden="false" customHeight="true" outlineLevel="0" collapsed="false">
      <c r="A19" s="410" t="s">
        <v>224</v>
      </c>
      <c r="B19" s="411" t="n">
        <v>57</v>
      </c>
      <c r="C19" s="411" t="n">
        <v>148</v>
      </c>
      <c r="D19" s="411" t="n">
        <v>204</v>
      </c>
      <c r="E19" s="411" t="n">
        <v>242</v>
      </c>
      <c r="F19" s="411" t="n">
        <v>313</v>
      </c>
      <c r="G19" s="443" t="n">
        <v>385</v>
      </c>
      <c r="H19" s="443" t="n">
        <v>478</v>
      </c>
      <c r="I19" s="443" t="n">
        <v>590</v>
      </c>
    </row>
    <row r="20" customFormat="false" ht="18" hidden="false" customHeight="true" outlineLevel="0" collapsed="false">
      <c r="A20" s="410" t="s">
        <v>226</v>
      </c>
      <c r="B20" s="412"/>
      <c r="C20" s="412" t="n">
        <v>1.59649122807018</v>
      </c>
      <c r="D20" s="412" t="n">
        <v>0.378378378378378</v>
      </c>
      <c r="E20" s="412" t="n">
        <v>0.186274509803922</v>
      </c>
      <c r="F20" s="412" t="n">
        <v>0.293388429752066</v>
      </c>
      <c r="G20" s="444" t="n">
        <v>0.230031948881789</v>
      </c>
      <c r="H20" s="444" t="n">
        <v>0.241558441558442</v>
      </c>
      <c r="I20" s="444" t="n">
        <v>0.234309623430962</v>
      </c>
    </row>
    <row r="21" customFormat="false" ht="18" hidden="false" customHeight="true" outlineLevel="0" collapsed="false">
      <c r="A21" s="410" t="s">
        <v>442</v>
      </c>
      <c r="B21" s="414" t="n">
        <v>0.0404255319148936</v>
      </c>
      <c r="C21" s="414" t="n">
        <v>0.0667870036101083</v>
      </c>
      <c r="D21" s="414" t="n">
        <v>0.0728311317386648</v>
      </c>
      <c r="E21" s="414" t="n">
        <v>0.0765580512496046</v>
      </c>
      <c r="F21" s="414" t="n">
        <v>0.0808994572240889</v>
      </c>
      <c r="G21" s="444" t="n">
        <v>0.0836956521739131</v>
      </c>
      <c r="H21" s="444" t="n">
        <v>0.0865942028985507</v>
      </c>
      <c r="I21" s="444" t="n">
        <v>0.0910493827160494</v>
      </c>
    </row>
    <row r="22" customFormat="false" ht="18" hidden="false" customHeight="true" outlineLevel="0" collapsed="false"/>
    <row r="23" customFormat="false" ht="18" hidden="false" customHeight="true" outlineLevel="0" collapsed="false">
      <c r="A23" s="409" t="s">
        <v>443</v>
      </c>
      <c r="B23" s="409"/>
      <c r="C23" s="409"/>
      <c r="D23" s="409"/>
      <c r="E23" s="409"/>
      <c r="F23" s="409"/>
      <c r="G23" s="409"/>
      <c r="H23" s="409"/>
    </row>
    <row r="24" customFormat="false" ht="18" hidden="false" customHeight="true" outlineLevel="0" collapsed="false">
      <c r="A24" s="410" t="s">
        <v>227</v>
      </c>
      <c r="B24" s="415" t="n">
        <v>7.6</v>
      </c>
      <c r="C24" s="415" t="n">
        <v>20.19</v>
      </c>
      <c r="D24" s="415" t="n">
        <v>29.13</v>
      </c>
      <c r="E24" s="415" t="n">
        <v>34.65</v>
      </c>
      <c r="F24" s="415" t="n">
        <v>42.32</v>
      </c>
      <c r="G24" s="446" t="n">
        <v>52.2</v>
      </c>
      <c r="H24" s="446" t="n">
        <v>64.8</v>
      </c>
      <c r="I24" s="446" t="n">
        <v>79.9</v>
      </c>
    </row>
    <row r="25" customFormat="false" ht="18" hidden="false" customHeight="true" outlineLevel="0" collapsed="false">
      <c r="A25" s="410" t="s">
        <v>444</v>
      </c>
      <c r="B25" s="414"/>
      <c r="C25" s="414" t="n">
        <v>1.65657894736842</v>
      </c>
      <c r="D25" s="414" t="n">
        <v>0.442793462109955</v>
      </c>
      <c r="E25" s="414" t="n">
        <v>0.189495365602472</v>
      </c>
      <c r="F25" s="414" t="n">
        <v>0.221356421356421</v>
      </c>
      <c r="G25" s="444" t="n">
        <v>0.233459357277883</v>
      </c>
      <c r="H25" s="444" t="n">
        <v>0.241379310344827</v>
      </c>
      <c r="I25" s="444" t="n">
        <v>0.233024691358025</v>
      </c>
    </row>
    <row r="26" customFormat="false" ht="18" hidden="false" customHeight="true" outlineLevel="0" collapsed="false">
      <c r="A26" s="410" t="s">
        <v>228</v>
      </c>
      <c r="B26" s="415" t="n">
        <v>1</v>
      </c>
      <c r="C26" s="415" t="n">
        <v>3</v>
      </c>
      <c r="D26" s="415" t="n">
        <v>4</v>
      </c>
      <c r="E26" s="415" t="n">
        <v>5</v>
      </c>
      <c r="F26" s="415" t="n">
        <v>6</v>
      </c>
      <c r="G26" s="446" t="n">
        <v>7</v>
      </c>
      <c r="H26" s="446" t="n">
        <v>9</v>
      </c>
      <c r="I26" s="446" t="n">
        <v>11</v>
      </c>
    </row>
    <row r="27" customFormat="false" ht="18" hidden="false" customHeight="true" outlineLevel="0" collapsed="false">
      <c r="A27" s="410" t="s">
        <v>445</v>
      </c>
      <c r="B27" s="418" t="n">
        <v>3644</v>
      </c>
      <c r="C27" s="418" t="n">
        <v>5243</v>
      </c>
      <c r="D27" s="418" t="n">
        <v>7981</v>
      </c>
      <c r="E27" s="418" t="n">
        <v>11355</v>
      </c>
      <c r="F27" s="418" t="n">
        <v>28048</v>
      </c>
      <c r="G27" s="447" t="n">
        <v>32113</v>
      </c>
      <c r="H27" s="447" t="n">
        <v>37398</v>
      </c>
      <c r="I27" s="447" t="n">
        <v>43631</v>
      </c>
    </row>
    <row r="28" customFormat="false" ht="18" hidden="false" customHeight="true" outlineLevel="0" collapsed="false"/>
    <row r="29" customFormat="false" ht="18" hidden="false" customHeight="true" outlineLevel="0" collapsed="false">
      <c r="A29" s="409" t="s">
        <v>446</v>
      </c>
      <c r="B29" s="409"/>
      <c r="C29" s="409"/>
      <c r="D29" s="409"/>
      <c r="E29" s="409"/>
      <c r="F29" s="409"/>
      <c r="G29" s="409"/>
      <c r="H29" s="409"/>
    </row>
    <row r="30" customFormat="false" ht="18" hidden="false" customHeight="true" outlineLevel="0" collapsed="false">
      <c r="A30" s="410" t="s">
        <v>447</v>
      </c>
      <c r="B30" s="412"/>
      <c r="C30" s="412" t="n">
        <v>0.53</v>
      </c>
      <c r="D30" s="412" t="n">
        <v>0.15</v>
      </c>
      <c r="E30" s="412" t="n">
        <v>0.06</v>
      </c>
      <c r="F30" s="412" t="n">
        <v>0.12</v>
      </c>
      <c r="G30" s="444" t="n">
        <v>0.16</v>
      </c>
      <c r="H30" s="444" t="n">
        <v>0.16</v>
      </c>
      <c r="I30" s="444" t="n">
        <v>0.18</v>
      </c>
    </row>
    <row r="31" customFormat="false" ht="18" hidden="false" customHeight="true" outlineLevel="0" collapsed="false">
      <c r="A31" s="410" t="s">
        <v>448</v>
      </c>
      <c r="B31" s="414"/>
      <c r="C31" s="414" t="n">
        <v>0.08</v>
      </c>
      <c r="D31" s="414" t="n">
        <v>0.04</v>
      </c>
      <c r="E31" s="414" t="n">
        <v>0.13</v>
      </c>
      <c r="F31" s="414" t="n">
        <v>0.09</v>
      </c>
      <c r="G31" s="444" t="n">
        <v>0.02</v>
      </c>
      <c r="H31" s="444" t="n">
        <v>0.03</v>
      </c>
      <c r="I31" s="448" t="n">
        <v>-0.01</v>
      </c>
    </row>
    <row r="32" customFormat="false" ht="18" hidden="false" customHeight="true" outlineLevel="0" collapsed="false">
      <c r="A32" s="410" t="s">
        <v>449</v>
      </c>
      <c r="B32" s="412"/>
      <c r="C32" s="412" t="n">
        <v>0.571631205673759</v>
      </c>
      <c r="D32" s="412" t="n">
        <v>0.26398916967509</v>
      </c>
      <c r="E32" s="412" t="n">
        <v>0.128525526597644</v>
      </c>
      <c r="F32" s="412" t="n">
        <v>0.223979753242645</v>
      </c>
      <c r="G32" s="444" t="n">
        <v>0.188937710002585</v>
      </c>
      <c r="H32" s="444" t="n">
        <v>0.2</v>
      </c>
      <c r="I32" s="444" t="n">
        <v>0.173913043478261</v>
      </c>
    </row>
    <row r="33" customFormat="false" ht="18" hidden="false" customHeight="true" outlineLevel="0" collapsed="false">
      <c r="A33" s="410" t="s">
        <v>450</v>
      </c>
      <c r="B33" s="414" t="n">
        <v>0.0858156028368794</v>
      </c>
      <c r="C33" s="414" t="n">
        <v>0.0979241877256318</v>
      </c>
      <c r="D33" s="414" t="n">
        <v>0.0739021777936451</v>
      </c>
      <c r="E33" s="414" t="n">
        <v>0.0907940525150269</v>
      </c>
      <c r="F33" s="414" t="n">
        <v>0.0847764280175756</v>
      </c>
      <c r="G33" s="444" t="n">
        <v>0.1</v>
      </c>
      <c r="H33" s="444" t="n">
        <v>0.102173913043478</v>
      </c>
      <c r="I33" s="444" t="n">
        <v>0.105864197530864</v>
      </c>
    </row>
    <row r="34" customFormat="false" ht="18" hidden="false" customHeight="true" outlineLevel="0" collapsed="false">
      <c r="A34" s="410" t="s">
        <v>451</v>
      </c>
      <c r="B34" s="413" t="n">
        <v>19</v>
      </c>
      <c r="C34" s="413" t="n">
        <v>69</v>
      </c>
      <c r="D34" s="413" t="n">
        <v>105</v>
      </c>
      <c r="E34" s="413" t="n">
        <v>158</v>
      </c>
      <c r="F34" s="413" t="n">
        <v>145</v>
      </c>
      <c r="G34" s="443" t="n">
        <v>120</v>
      </c>
      <c r="H34" s="443" t="n">
        <v>100</v>
      </c>
      <c r="I34" s="443" t="n">
        <v>90</v>
      </c>
    </row>
    <row r="35" customFormat="false" ht="18" hidden="false" customHeight="true" outlineLevel="0" collapsed="false">
      <c r="A35" s="410" t="s">
        <v>452</v>
      </c>
      <c r="B35" s="418" t="n">
        <v>130</v>
      </c>
      <c r="C35" s="418" t="n">
        <v>83</v>
      </c>
      <c r="D35" s="418" t="n">
        <v>89</v>
      </c>
      <c r="E35" s="418" t="n">
        <v>99</v>
      </c>
      <c r="F35" s="418" t="n">
        <v>85</v>
      </c>
      <c r="G35" s="447" t="n">
        <v>80</v>
      </c>
      <c r="H35" s="447" t="n">
        <v>74</v>
      </c>
      <c r="I35" s="447" t="n">
        <v>70</v>
      </c>
    </row>
  </sheetData>
  <mergeCells count="5">
    <mergeCell ref="A1:H1"/>
    <mergeCell ref="A2:H2"/>
    <mergeCell ref="A4:H4"/>
    <mergeCell ref="A23:H23"/>
    <mergeCell ref="A29:H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8" min="2" style="1" width="13"/>
  </cols>
  <sheetData>
    <row r="1" customFormat="false" ht="27.75" hidden="false" customHeight="true" outlineLevel="0" collapsed="false">
      <c r="A1" s="421" t="s">
        <v>453</v>
      </c>
      <c r="B1" s="421"/>
      <c r="C1" s="421"/>
      <c r="D1" s="421"/>
      <c r="E1" s="421"/>
      <c r="F1" s="421"/>
      <c r="G1" s="421"/>
      <c r="H1" s="421"/>
    </row>
    <row r="2" customFormat="false" ht="19.5" hidden="false" customHeight="true" outlineLevel="0" collapsed="false">
      <c r="A2" s="407" t="s">
        <v>216</v>
      </c>
      <c r="B2" s="408" t="s">
        <v>217</v>
      </c>
      <c r="C2" s="408" t="s">
        <v>2</v>
      </c>
      <c r="D2" s="408" t="s">
        <v>3</v>
      </c>
      <c r="E2" s="408" t="s">
        <v>218</v>
      </c>
      <c r="F2" s="408" t="s">
        <v>219</v>
      </c>
      <c r="G2" s="442" t="s">
        <v>188</v>
      </c>
      <c r="H2" s="442" t="s">
        <v>189</v>
      </c>
      <c r="I2" s="442" t="s">
        <v>190</v>
      </c>
    </row>
    <row r="3" customFormat="false" ht="18" hidden="false" customHeight="true" outlineLevel="0" collapsed="false">
      <c r="A3" s="449" t="s">
        <v>454</v>
      </c>
      <c r="B3" s="449"/>
      <c r="C3" s="449"/>
      <c r="D3" s="449"/>
      <c r="E3" s="449"/>
      <c r="F3" s="449"/>
      <c r="G3" s="449"/>
      <c r="H3" s="449"/>
    </row>
    <row r="4" customFormat="false" ht="18" hidden="false" customHeight="true" outlineLevel="0" collapsed="false">
      <c r="A4" s="410" t="s">
        <v>7</v>
      </c>
      <c r="B4" s="413" t="n">
        <v>1410</v>
      </c>
      <c r="C4" s="413" t="n">
        <v>2216</v>
      </c>
      <c r="D4" s="413" t="n">
        <v>2801</v>
      </c>
      <c r="E4" s="413" t="n">
        <v>3161</v>
      </c>
      <c r="F4" s="413" t="n">
        <v>3869</v>
      </c>
      <c r="G4" s="443" t="n">
        <v>4600</v>
      </c>
      <c r="H4" s="443" t="n">
        <v>5520</v>
      </c>
      <c r="I4" s="443" t="n">
        <v>6480</v>
      </c>
    </row>
    <row r="5" customFormat="false" ht="18" hidden="false" customHeight="true" outlineLevel="0" collapsed="false">
      <c r="A5" s="410" t="s">
        <v>455</v>
      </c>
      <c r="B5" s="411" t="n">
        <v>972</v>
      </c>
      <c r="C5" s="411" t="n">
        <v>1529</v>
      </c>
      <c r="D5" s="411" t="n">
        <v>1932</v>
      </c>
      <c r="E5" s="411" t="n">
        <v>2181</v>
      </c>
      <c r="F5" s="411" t="n">
        <v>2669</v>
      </c>
      <c r="G5" s="443" t="n">
        <v>3173</v>
      </c>
      <c r="H5" s="443" t="n">
        <v>3808</v>
      </c>
      <c r="I5" s="443" t="n">
        <v>4471</v>
      </c>
    </row>
    <row r="6" customFormat="false" ht="18" hidden="false" customHeight="true" outlineLevel="0" collapsed="false">
      <c r="A6" s="410" t="s">
        <v>456</v>
      </c>
      <c r="B6" s="413" t="n">
        <v>84</v>
      </c>
      <c r="C6" s="413" t="n">
        <v>132</v>
      </c>
      <c r="D6" s="413" t="n">
        <v>168</v>
      </c>
      <c r="E6" s="413" t="n">
        <v>189</v>
      </c>
      <c r="F6" s="413" t="n">
        <v>232</v>
      </c>
      <c r="G6" s="443" t="n">
        <v>276</v>
      </c>
      <c r="H6" s="443" t="n">
        <v>331</v>
      </c>
      <c r="I6" s="443" t="n">
        <v>388</v>
      </c>
    </row>
    <row r="7" customFormat="false" ht="18" hidden="false" customHeight="true" outlineLevel="0" collapsed="false">
      <c r="A7" s="410" t="s">
        <v>457</v>
      </c>
      <c r="B7" s="411" t="n">
        <v>211</v>
      </c>
      <c r="C7" s="411" t="n">
        <v>332</v>
      </c>
      <c r="D7" s="411" t="n">
        <v>420</v>
      </c>
      <c r="E7" s="411" t="n">
        <v>474</v>
      </c>
      <c r="F7" s="411" t="n">
        <v>580</v>
      </c>
      <c r="G7" s="443" t="n">
        <v>690</v>
      </c>
      <c r="H7" s="443" t="n">
        <v>828</v>
      </c>
      <c r="I7" s="443" t="n">
        <v>972</v>
      </c>
    </row>
    <row r="8" customFormat="false" ht="18" hidden="false" customHeight="true" outlineLevel="0" collapsed="false">
      <c r="A8" s="410" t="s">
        <v>8</v>
      </c>
      <c r="B8" s="413" t="n">
        <v>121</v>
      </c>
      <c r="C8" s="413" t="n">
        <v>217</v>
      </c>
      <c r="D8" s="413" t="n">
        <v>207</v>
      </c>
      <c r="E8" s="413" t="n">
        <v>287</v>
      </c>
      <c r="F8" s="413" t="n">
        <v>328</v>
      </c>
      <c r="G8" s="443" t="n">
        <v>460</v>
      </c>
      <c r="H8" s="443" t="n">
        <v>564</v>
      </c>
      <c r="I8" s="443" t="n">
        <v>686</v>
      </c>
    </row>
    <row r="9" customFormat="false" ht="18" hidden="false" customHeight="true" outlineLevel="0" collapsed="false">
      <c r="A9" s="410" t="s">
        <v>438</v>
      </c>
      <c r="B9" s="414" t="n">
        <v>0.0858156028368794</v>
      </c>
      <c r="C9" s="414" t="n">
        <v>0.0979241877256318</v>
      </c>
      <c r="D9" s="414" t="n">
        <v>0.0739021777936451</v>
      </c>
      <c r="E9" s="414" t="n">
        <v>0.0907940525150269</v>
      </c>
      <c r="F9" s="414" t="n">
        <v>0.0847764280175756</v>
      </c>
      <c r="G9" s="444" t="n">
        <v>0.1</v>
      </c>
      <c r="H9" s="444" t="n">
        <v>0.102173913043478</v>
      </c>
      <c r="I9" s="444" t="n">
        <v>0.105864197530864</v>
      </c>
    </row>
    <row r="10" customFormat="false" ht="18" hidden="false" customHeight="true" outlineLevel="0" collapsed="false">
      <c r="A10" s="410" t="s">
        <v>111</v>
      </c>
      <c r="B10" s="413" t="n">
        <v>20</v>
      </c>
      <c r="C10" s="413" t="n">
        <v>21</v>
      </c>
      <c r="D10" s="413" t="n">
        <v>24</v>
      </c>
      <c r="E10" s="413" t="n">
        <v>38</v>
      </c>
      <c r="F10" s="413" t="n">
        <v>29</v>
      </c>
      <c r="G10" s="443" t="n">
        <v>38</v>
      </c>
      <c r="H10" s="443" t="n">
        <v>48</v>
      </c>
      <c r="I10" s="443" t="n">
        <v>58</v>
      </c>
    </row>
    <row r="11" customFormat="false" ht="18" hidden="false" customHeight="true" outlineLevel="0" collapsed="false">
      <c r="A11" s="410" t="s">
        <v>222</v>
      </c>
      <c r="B11" s="411" t="n">
        <v>101</v>
      </c>
      <c r="C11" s="411" t="n">
        <v>196</v>
      </c>
      <c r="D11" s="411" t="n">
        <v>183</v>
      </c>
      <c r="E11" s="411" t="n">
        <v>249</v>
      </c>
      <c r="F11" s="411" t="n">
        <v>299</v>
      </c>
      <c r="G11" s="443" t="n">
        <v>422</v>
      </c>
      <c r="H11" s="443" t="n">
        <v>516</v>
      </c>
      <c r="I11" s="443" t="n">
        <v>628</v>
      </c>
    </row>
    <row r="12" customFormat="false" ht="18" hidden="false" customHeight="true" outlineLevel="0" collapsed="false">
      <c r="A12" s="410" t="s">
        <v>112</v>
      </c>
      <c r="B12" s="413" t="n">
        <v>31</v>
      </c>
      <c r="C12" s="413" t="n">
        <v>38</v>
      </c>
      <c r="D12" s="413" t="n">
        <v>44</v>
      </c>
      <c r="E12" s="413" t="n">
        <v>52</v>
      </c>
      <c r="F12" s="413" t="n">
        <v>46</v>
      </c>
      <c r="G12" s="443" t="n">
        <v>38</v>
      </c>
      <c r="H12" s="443" t="n">
        <v>35</v>
      </c>
      <c r="I12" s="443" t="n">
        <v>32</v>
      </c>
    </row>
    <row r="13" customFormat="false" ht="18" hidden="false" customHeight="true" outlineLevel="0" collapsed="false">
      <c r="A13" s="410" t="s">
        <v>110</v>
      </c>
      <c r="B13" s="411" t="n">
        <v>1</v>
      </c>
      <c r="C13" s="411" t="n">
        <v>6</v>
      </c>
      <c r="D13" s="411" t="n">
        <v>88</v>
      </c>
      <c r="E13" s="411" t="n">
        <v>76</v>
      </c>
      <c r="F13" s="411" t="n">
        <v>111</v>
      </c>
      <c r="G13" s="443" t="n">
        <v>60</v>
      </c>
      <c r="H13" s="443" t="n">
        <v>50</v>
      </c>
      <c r="I13" s="443" t="n">
        <v>45</v>
      </c>
    </row>
    <row r="14" customFormat="false" ht="18" hidden="false" customHeight="true" outlineLevel="0" collapsed="false">
      <c r="A14" s="410" t="s">
        <v>113</v>
      </c>
      <c r="B14" s="413" t="n">
        <v>71</v>
      </c>
      <c r="C14" s="413" t="n">
        <v>165</v>
      </c>
      <c r="D14" s="413" t="n">
        <v>228</v>
      </c>
      <c r="E14" s="413" t="n">
        <v>274</v>
      </c>
      <c r="F14" s="413" t="n">
        <v>363</v>
      </c>
      <c r="G14" s="443" t="n">
        <v>457</v>
      </c>
      <c r="H14" s="443" t="n">
        <v>563</v>
      </c>
      <c r="I14" s="443" t="n">
        <v>693</v>
      </c>
    </row>
    <row r="15" customFormat="false" ht="18" hidden="false" customHeight="true" outlineLevel="0" collapsed="false">
      <c r="A15" s="410" t="s">
        <v>114</v>
      </c>
      <c r="B15" s="411" t="n">
        <v>14</v>
      </c>
      <c r="C15" s="411" t="n">
        <v>16</v>
      </c>
      <c r="D15" s="411" t="n">
        <v>23</v>
      </c>
      <c r="E15" s="411" t="n">
        <v>33</v>
      </c>
      <c r="F15" s="411" t="n">
        <v>50</v>
      </c>
      <c r="G15" s="443" t="n">
        <v>64</v>
      </c>
      <c r="H15" s="443" t="n">
        <v>79</v>
      </c>
      <c r="I15" s="443" t="n">
        <v>97</v>
      </c>
    </row>
    <row r="16" customFormat="false" ht="18" hidden="false" customHeight="true" outlineLevel="0" collapsed="false">
      <c r="A16" s="410" t="s">
        <v>11</v>
      </c>
      <c r="B16" s="413" t="n">
        <v>57</v>
      </c>
      <c r="C16" s="413" t="n">
        <v>148</v>
      </c>
      <c r="D16" s="413" t="n">
        <v>204</v>
      </c>
      <c r="E16" s="413" t="n">
        <v>242</v>
      </c>
      <c r="F16" s="413" t="n">
        <v>313</v>
      </c>
      <c r="G16" s="443" t="n">
        <v>385</v>
      </c>
      <c r="H16" s="443" t="n">
        <v>478</v>
      </c>
      <c r="I16" s="443" t="n">
        <v>590</v>
      </c>
    </row>
    <row r="17" customFormat="false" ht="18" hidden="false" customHeight="true" outlineLevel="0" collapsed="false">
      <c r="A17" s="410" t="s">
        <v>227</v>
      </c>
      <c r="B17" s="416" t="n">
        <v>7.6</v>
      </c>
      <c r="C17" s="416" t="n">
        <v>20.19</v>
      </c>
      <c r="D17" s="416" t="n">
        <v>29.13</v>
      </c>
      <c r="E17" s="416" t="n">
        <v>34.65</v>
      </c>
      <c r="F17" s="416" t="n">
        <v>42.32</v>
      </c>
      <c r="G17" s="446" t="n">
        <v>52.2</v>
      </c>
      <c r="H17" s="446" t="n">
        <v>64.8</v>
      </c>
      <c r="I17" s="446" t="n">
        <v>79.9</v>
      </c>
    </row>
    <row r="18" customFormat="false" ht="18" hidden="false" customHeight="true" outlineLevel="0" collapsed="false"/>
    <row r="19" customFormat="false" ht="18" hidden="false" customHeight="true" outlineLevel="0" collapsed="false">
      <c r="A19" s="449" t="s">
        <v>128</v>
      </c>
      <c r="B19" s="449"/>
      <c r="C19" s="449"/>
      <c r="D19" s="449"/>
      <c r="E19" s="449"/>
      <c r="F19" s="449"/>
      <c r="G19" s="449"/>
      <c r="H19" s="449"/>
    </row>
    <row r="20" customFormat="false" ht="18" hidden="false" customHeight="true" outlineLevel="0" collapsed="false">
      <c r="A20" s="410" t="s">
        <v>458</v>
      </c>
      <c r="B20" s="413" t="n">
        <v>14</v>
      </c>
      <c r="C20" s="413" t="n">
        <v>14</v>
      </c>
      <c r="D20" s="413" t="n">
        <v>14</v>
      </c>
      <c r="E20" s="413" t="n">
        <v>14</v>
      </c>
      <c r="F20" s="413" t="n">
        <v>15</v>
      </c>
      <c r="G20" s="443" t="n">
        <v>15</v>
      </c>
      <c r="H20" s="443" t="n">
        <v>15</v>
      </c>
      <c r="I20" s="443" t="n">
        <v>15</v>
      </c>
    </row>
    <row r="21" customFormat="false" ht="18" hidden="false" customHeight="true" outlineLevel="0" collapsed="false">
      <c r="A21" s="410" t="s">
        <v>459</v>
      </c>
      <c r="B21" s="411" t="n">
        <v>255</v>
      </c>
      <c r="C21" s="411" t="n">
        <v>373</v>
      </c>
      <c r="D21" s="411" t="n">
        <v>575</v>
      </c>
      <c r="E21" s="411" t="n">
        <v>824</v>
      </c>
      <c r="F21" s="411" t="n">
        <v>2056</v>
      </c>
      <c r="G21" s="443" t="n">
        <v>2356</v>
      </c>
      <c r="H21" s="443" t="n">
        <v>2746</v>
      </c>
      <c r="I21" s="443" t="n">
        <v>3206</v>
      </c>
    </row>
    <row r="22" customFormat="false" ht="18" hidden="false" customHeight="true" outlineLevel="0" collapsed="false">
      <c r="A22" s="410" t="s">
        <v>229</v>
      </c>
      <c r="B22" s="413" t="n">
        <v>269</v>
      </c>
      <c r="C22" s="413" t="n">
        <v>387</v>
      </c>
      <c r="D22" s="413" t="n">
        <v>589</v>
      </c>
      <c r="E22" s="413" t="n">
        <v>838</v>
      </c>
      <c r="F22" s="413" t="n">
        <v>2070</v>
      </c>
      <c r="G22" s="443" t="n">
        <v>2370</v>
      </c>
      <c r="H22" s="443" t="n">
        <v>2760</v>
      </c>
      <c r="I22" s="443" t="n">
        <v>3220</v>
      </c>
    </row>
    <row r="23" customFormat="false" ht="18" hidden="false" customHeight="true" outlineLevel="0" collapsed="false">
      <c r="A23" s="410" t="s">
        <v>130</v>
      </c>
      <c r="B23" s="411" t="n">
        <v>261</v>
      </c>
      <c r="C23" s="411" t="n">
        <v>392</v>
      </c>
      <c r="D23" s="411" t="n">
        <v>348</v>
      </c>
      <c r="E23" s="411" t="n">
        <v>548</v>
      </c>
      <c r="F23" s="411" t="n">
        <v>286</v>
      </c>
      <c r="G23" s="443" t="n">
        <v>250</v>
      </c>
      <c r="H23" s="443" t="n">
        <v>200</v>
      </c>
      <c r="I23" s="443" t="n">
        <v>160</v>
      </c>
    </row>
    <row r="24" customFormat="false" ht="18" hidden="false" customHeight="true" outlineLevel="0" collapsed="false">
      <c r="A24" s="410" t="s">
        <v>460</v>
      </c>
      <c r="B24" s="413" t="n">
        <v>196</v>
      </c>
      <c r="C24" s="413" t="n">
        <v>219</v>
      </c>
      <c r="D24" s="413" t="n">
        <v>268</v>
      </c>
      <c r="E24" s="413" t="n">
        <v>217</v>
      </c>
      <c r="F24" s="413" t="n">
        <v>159</v>
      </c>
      <c r="G24" s="443" t="n">
        <v>155</v>
      </c>
      <c r="H24" s="443" t="n">
        <v>150</v>
      </c>
      <c r="I24" s="443" t="n">
        <v>145</v>
      </c>
    </row>
    <row r="25" customFormat="false" ht="18" hidden="false" customHeight="true" outlineLevel="0" collapsed="false">
      <c r="A25" s="410" t="s">
        <v>461</v>
      </c>
      <c r="B25" s="411" t="n">
        <v>726</v>
      </c>
      <c r="C25" s="411" t="n">
        <v>998</v>
      </c>
      <c r="D25" s="411" t="n">
        <v>1205</v>
      </c>
      <c r="E25" s="411" t="n">
        <v>1603</v>
      </c>
      <c r="F25" s="411" t="n">
        <v>2515</v>
      </c>
      <c r="G25" s="443" t="n">
        <v>2775</v>
      </c>
      <c r="H25" s="443" t="n">
        <v>3110</v>
      </c>
      <c r="I25" s="443" t="n">
        <v>3525</v>
      </c>
    </row>
    <row r="26" customFormat="false" ht="18" hidden="false" customHeight="true" outlineLevel="0" collapsed="false">
      <c r="A26" s="410" t="s">
        <v>231</v>
      </c>
      <c r="B26" s="413" t="n">
        <v>172</v>
      </c>
      <c r="C26" s="413" t="n">
        <v>191</v>
      </c>
      <c r="D26" s="413" t="n">
        <v>273</v>
      </c>
      <c r="E26" s="413" t="n">
        <v>348</v>
      </c>
      <c r="F26" s="413" t="n">
        <v>436</v>
      </c>
      <c r="G26" s="443" t="n">
        <v>520</v>
      </c>
      <c r="H26" s="443" t="n">
        <v>600</v>
      </c>
      <c r="I26" s="443" t="n">
        <v>680</v>
      </c>
    </row>
    <row r="27" customFormat="false" ht="18" hidden="false" customHeight="true" outlineLevel="0" collapsed="false">
      <c r="A27" s="410" t="s">
        <v>134</v>
      </c>
      <c r="B27" s="411" t="n">
        <v>13</v>
      </c>
      <c r="C27" s="411" t="n">
        <v>42</v>
      </c>
      <c r="D27" s="411" t="n">
        <v>46</v>
      </c>
      <c r="E27" s="411" t="n">
        <v>43</v>
      </c>
      <c r="F27" s="411" t="n">
        <v>39</v>
      </c>
      <c r="G27" s="443" t="n">
        <v>50</v>
      </c>
      <c r="H27" s="443" t="n">
        <v>45</v>
      </c>
      <c r="I27" s="443" t="n">
        <v>40</v>
      </c>
    </row>
    <row r="28" customFormat="false" ht="18" hidden="false" customHeight="true" outlineLevel="0" collapsed="false">
      <c r="A28" s="410" t="s">
        <v>135</v>
      </c>
      <c r="B28" s="413" t="n">
        <v>0</v>
      </c>
      <c r="C28" s="413" t="n">
        <v>0</v>
      </c>
      <c r="D28" s="413" t="n">
        <v>1</v>
      </c>
      <c r="E28" s="413" t="n">
        <v>16</v>
      </c>
      <c r="F28" s="413" t="n">
        <v>528</v>
      </c>
      <c r="G28" s="443" t="n">
        <v>580</v>
      </c>
      <c r="H28" s="443" t="n">
        <v>620</v>
      </c>
      <c r="I28" s="443" t="n">
        <v>650</v>
      </c>
    </row>
    <row r="29" customFormat="false" ht="18" hidden="false" customHeight="true" outlineLevel="0" collapsed="false">
      <c r="A29" s="410" t="s">
        <v>462</v>
      </c>
      <c r="B29" s="411" t="n">
        <v>279</v>
      </c>
      <c r="C29" s="411" t="n">
        <v>393</v>
      </c>
      <c r="D29" s="411" t="n">
        <v>470</v>
      </c>
      <c r="E29" s="411" t="n">
        <v>500</v>
      </c>
      <c r="F29" s="411" t="n">
        <v>460</v>
      </c>
      <c r="G29" s="443" t="n">
        <v>520</v>
      </c>
      <c r="H29" s="443" t="n">
        <v>590</v>
      </c>
      <c r="I29" s="443" t="n">
        <v>660</v>
      </c>
    </row>
    <row r="30" customFormat="false" ht="18" hidden="false" customHeight="true" outlineLevel="0" collapsed="false">
      <c r="A30" s="410" t="s">
        <v>463</v>
      </c>
      <c r="B30" s="413" t="n">
        <v>726</v>
      </c>
      <c r="C30" s="413" t="n">
        <v>998</v>
      </c>
      <c r="D30" s="413" t="n">
        <v>1205</v>
      </c>
      <c r="E30" s="413" t="n">
        <v>1603</v>
      </c>
      <c r="F30" s="413" t="n">
        <v>2515</v>
      </c>
      <c r="G30" s="443" t="n">
        <v>2775</v>
      </c>
      <c r="H30" s="443" t="n">
        <v>3110</v>
      </c>
      <c r="I30" s="443" t="n">
        <v>3525</v>
      </c>
    </row>
    <row r="31" customFormat="false" ht="18" hidden="false" customHeight="true" outlineLevel="0" collapsed="false"/>
    <row r="32" customFormat="false" ht="18" hidden="false" customHeight="true" outlineLevel="0" collapsed="false">
      <c r="A32" s="449" t="s">
        <v>464</v>
      </c>
      <c r="B32" s="449"/>
      <c r="C32" s="449"/>
      <c r="D32" s="449"/>
      <c r="E32" s="449"/>
      <c r="F32" s="449"/>
      <c r="G32" s="449"/>
      <c r="H32" s="449"/>
    </row>
    <row r="33" customFormat="false" ht="18" hidden="false" customHeight="true" outlineLevel="0" collapsed="false">
      <c r="A33" s="410" t="s">
        <v>58</v>
      </c>
      <c r="B33" s="411" t="n">
        <v>77</v>
      </c>
      <c r="C33" s="411" t="n">
        <v>10</v>
      </c>
      <c r="D33" s="411" t="n">
        <v>200</v>
      </c>
      <c r="E33" s="411" t="n">
        <v>42</v>
      </c>
      <c r="F33" s="411" t="n">
        <v>282</v>
      </c>
      <c r="G33" s="443" t="n">
        <v>310</v>
      </c>
      <c r="H33" s="443" t="n">
        <v>370</v>
      </c>
      <c r="I33" s="443" t="n">
        <v>440</v>
      </c>
    </row>
    <row r="34" customFormat="false" ht="18" hidden="false" customHeight="true" outlineLevel="0" collapsed="false">
      <c r="A34" s="410" t="s">
        <v>465</v>
      </c>
      <c r="B34" s="450" t="n">
        <v>-19</v>
      </c>
      <c r="C34" s="450" t="n">
        <v>-69</v>
      </c>
      <c r="D34" s="450" t="n">
        <v>-105</v>
      </c>
      <c r="E34" s="450" t="n">
        <v>-158</v>
      </c>
      <c r="F34" s="450" t="n">
        <v>-864</v>
      </c>
      <c r="G34" s="451" t="n">
        <v>-140</v>
      </c>
      <c r="H34" s="451" t="n">
        <v>-115</v>
      </c>
      <c r="I34" s="451" t="n">
        <v>-100</v>
      </c>
    </row>
    <row r="35" customFormat="false" ht="18" hidden="false" customHeight="true" outlineLevel="0" collapsed="false">
      <c r="A35" s="410" t="s">
        <v>466</v>
      </c>
      <c r="B35" s="452" t="n">
        <v>-57</v>
      </c>
      <c r="C35" s="411" t="n">
        <v>72</v>
      </c>
      <c r="D35" s="452" t="n">
        <v>-87</v>
      </c>
      <c r="E35" s="411" t="n">
        <v>121</v>
      </c>
      <c r="F35" s="411" t="n">
        <v>640</v>
      </c>
      <c r="G35" s="451" t="n">
        <v>-50</v>
      </c>
      <c r="H35" s="451" t="n">
        <v>-30</v>
      </c>
      <c r="I35" s="451" t="n">
        <v>-25</v>
      </c>
    </row>
    <row r="36" customFormat="false" ht="18" hidden="false" customHeight="true" outlineLevel="0" collapsed="false">
      <c r="A36" s="410" t="s">
        <v>467</v>
      </c>
      <c r="B36" s="413" t="n">
        <v>1</v>
      </c>
      <c r="C36" s="413" t="n">
        <v>12</v>
      </c>
      <c r="D36" s="413" t="n">
        <v>7</v>
      </c>
      <c r="E36" s="413" t="n">
        <v>5</v>
      </c>
      <c r="F36" s="413" t="n">
        <v>59</v>
      </c>
      <c r="G36" s="443" t="n">
        <v>120</v>
      </c>
      <c r="H36" s="443" t="n">
        <v>225</v>
      </c>
      <c r="I36" s="443" t="n">
        <v>315</v>
      </c>
    </row>
    <row r="37" customFormat="false" ht="18" hidden="false" customHeight="true" outlineLevel="0" collapsed="false">
      <c r="A37" s="410" t="s">
        <v>60</v>
      </c>
      <c r="B37" s="411" t="n">
        <v>19</v>
      </c>
      <c r="C37" s="411" t="n">
        <v>69</v>
      </c>
      <c r="D37" s="411" t="n">
        <v>105</v>
      </c>
      <c r="E37" s="411" t="n">
        <v>158</v>
      </c>
      <c r="F37" s="411" t="n">
        <v>145</v>
      </c>
      <c r="G37" s="443" t="n">
        <v>120</v>
      </c>
      <c r="H37" s="443" t="n">
        <v>100</v>
      </c>
      <c r="I37" s="443" t="n">
        <v>90</v>
      </c>
    </row>
    <row r="38" customFormat="false" ht="18" hidden="false" customHeight="true" outlineLevel="0" collapsed="false">
      <c r="A38" s="410" t="s">
        <v>235</v>
      </c>
      <c r="B38" s="413" t="n">
        <v>58</v>
      </c>
      <c r="C38" s="450" t="n">
        <v>-59</v>
      </c>
      <c r="D38" s="413" t="n">
        <v>95</v>
      </c>
      <c r="E38" s="450" t="n">
        <v>-116</v>
      </c>
      <c r="F38" s="413" t="n">
        <v>137</v>
      </c>
      <c r="G38" s="443" t="n">
        <v>190</v>
      </c>
      <c r="H38" s="443" t="n">
        <v>270</v>
      </c>
      <c r="I38" s="443" t="n">
        <v>350</v>
      </c>
    </row>
    <row r="39" customFormat="false" ht="18" hidden="false" customHeight="true" outlineLevel="0" collapsed="false"/>
    <row r="40" customFormat="false" ht="18" hidden="false" customHeight="true" outlineLevel="0" collapsed="false">
      <c r="A40" s="449" t="s">
        <v>237</v>
      </c>
      <c r="B40" s="449"/>
      <c r="C40" s="449"/>
      <c r="D40" s="449"/>
      <c r="E40" s="449"/>
      <c r="F40" s="449"/>
      <c r="G40" s="449"/>
      <c r="H40" s="449"/>
    </row>
    <row r="41" customFormat="false" ht="18" hidden="false" customHeight="true" outlineLevel="0" collapsed="false">
      <c r="A41" s="410" t="s">
        <v>437</v>
      </c>
      <c r="B41" s="414" t="n">
        <v>0.31</v>
      </c>
      <c r="C41" s="414" t="n">
        <v>0.31</v>
      </c>
      <c r="D41" s="414" t="n">
        <v>0.31</v>
      </c>
      <c r="E41" s="414" t="n">
        <v>0.31</v>
      </c>
      <c r="F41" s="414" t="n">
        <v>0.31</v>
      </c>
      <c r="G41" s="444" t="n">
        <v>0.31</v>
      </c>
      <c r="H41" s="444" t="n">
        <v>0.31</v>
      </c>
      <c r="I41" s="444" t="n">
        <v>0.31</v>
      </c>
    </row>
    <row r="42" customFormat="false" ht="18" hidden="false" customHeight="true" outlineLevel="0" collapsed="false">
      <c r="A42" s="410" t="s">
        <v>438</v>
      </c>
      <c r="B42" s="412" t="n">
        <v>0.0858156028368794</v>
      </c>
      <c r="C42" s="412" t="n">
        <v>0.0979241877256318</v>
      </c>
      <c r="D42" s="412" t="n">
        <v>0.0739021777936451</v>
      </c>
      <c r="E42" s="412" t="n">
        <v>0.0907940525150269</v>
      </c>
      <c r="F42" s="412" t="n">
        <v>0.0847764280175756</v>
      </c>
      <c r="G42" s="444" t="n">
        <v>0.1</v>
      </c>
      <c r="H42" s="444" t="n">
        <v>0.102173913043478</v>
      </c>
      <c r="I42" s="444" t="n">
        <v>0.105864197530864</v>
      </c>
    </row>
    <row r="43" customFormat="false" ht="18" hidden="false" customHeight="true" outlineLevel="0" collapsed="false">
      <c r="A43" s="410" t="s">
        <v>442</v>
      </c>
      <c r="B43" s="414" t="n">
        <v>0.0404255319148936</v>
      </c>
      <c r="C43" s="414" t="n">
        <v>0.0667870036101083</v>
      </c>
      <c r="D43" s="414" t="n">
        <v>0.0728311317386648</v>
      </c>
      <c r="E43" s="414" t="n">
        <v>0.0765580512496046</v>
      </c>
      <c r="F43" s="414" t="n">
        <v>0.0808994572240889</v>
      </c>
      <c r="G43" s="444" t="n">
        <v>0.0836956521739131</v>
      </c>
      <c r="H43" s="444" t="n">
        <v>0.0865942028985507</v>
      </c>
      <c r="I43" s="444" t="n">
        <v>0.0910493827160494</v>
      </c>
    </row>
    <row r="44" customFormat="false" ht="18" hidden="false" customHeight="true" outlineLevel="0" collapsed="false">
      <c r="A44" s="410" t="s">
        <v>368</v>
      </c>
      <c r="B44" s="412" t="n">
        <v>0.212</v>
      </c>
      <c r="C44" s="412" t="n">
        <v>0.382</v>
      </c>
      <c r="D44" s="412" t="n">
        <v>0.346</v>
      </c>
      <c r="E44" s="412" t="n">
        <v>0.289</v>
      </c>
      <c r="F44" s="412" t="n">
        <v>0.151</v>
      </c>
      <c r="G44" s="444" t="n">
        <v>0.162</v>
      </c>
      <c r="H44" s="444" t="n">
        <v>0.173</v>
      </c>
      <c r="I44" s="444" t="n">
        <v>0.183</v>
      </c>
    </row>
    <row r="45" customFormat="false" ht="18" hidden="false" customHeight="true" outlineLevel="0" collapsed="false">
      <c r="A45" s="410" t="s">
        <v>367</v>
      </c>
      <c r="B45" s="414" t="n">
        <v>0.164</v>
      </c>
      <c r="C45" s="414" t="n">
        <v>0.365</v>
      </c>
      <c r="D45" s="414" t="n">
        <v>0.264</v>
      </c>
      <c r="E45" s="414" t="n">
        <v>0.225</v>
      </c>
      <c r="F45" s="414" t="n">
        <v>0.215</v>
      </c>
      <c r="G45" s="444" t="n">
        <v>0.22</v>
      </c>
      <c r="H45" s="444" t="n">
        <v>0.235</v>
      </c>
      <c r="I45" s="444" t="n">
        <v>0.25</v>
      </c>
    </row>
    <row r="46" customFormat="false" ht="18" hidden="false" customHeight="true" outlineLevel="0" collapsed="false">
      <c r="A46" s="410" t="s">
        <v>468</v>
      </c>
      <c r="B46" s="417" t="n">
        <v>0.970260223048327</v>
      </c>
      <c r="C46" s="417" t="n">
        <v>1.01291989664083</v>
      </c>
      <c r="D46" s="417" t="n">
        <v>0.590831918505942</v>
      </c>
      <c r="E46" s="417" t="n">
        <v>0.653937947494033</v>
      </c>
      <c r="F46" s="417" t="n">
        <v>0.13816425120773</v>
      </c>
      <c r="G46" s="453" t="n">
        <v>0.105485232067511</v>
      </c>
      <c r="H46" s="453" t="n">
        <v>0.072463768115942</v>
      </c>
      <c r="I46" s="453" t="n">
        <v>0.0496894409937888</v>
      </c>
    </row>
    <row r="47" customFormat="false" ht="18" hidden="false" customHeight="true" outlineLevel="0" collapsed="false">
      <c r="A47" s="410" t="s">
        <v>469</v>
      </c>
      <c r="B47" s="420" t="n">
        <v>3.25806451612903</v>
      </c>
      <c r="C47" s="420" t="n">
        <v>5.15789473684211</v>
      </c>
      <c r="D47" s="420" t="n">
        <v>4.15909090909091</v>
      </c>
      <c r="E47" s="420" t="n">
        <v>4.78846153846154</v>
      </c>
      <c r="F47" s="420" t="n">
        <v>6.5</v>
      </c>
      <c r="G47" s="453" t="n">
        <v>11.1052631578947</v>
      </c>
      <c r="H47" s="453" t="n">
        <v>14.7428571428571</v>
      </c>
      <c r="I47" s="453" t="n">
        <v>19.625</v>
      </c>
    </row>
    <row r="48" customFormat="false" ht="18" hidden="false" customHeight="true" outlineLevel="0" collapsed="false">
      <c r="A48" s="410" t="s">
        <v>470</v>
      </c>
      <c r="B48" s="417" t="n">
        <v>2.66037735849057</v>
      </c>
      <c r="C48" s="417" t="n">
        <v>2.84467265725289</v>
      </c>
      <c r="D48" s="417" t="n">
        <v>2.98932764140875</v>
      </c>
      <c r="E48" s="417" t="n">
        <v>2.28066378066378</v>
      </c>
      <c r="F48" s="417" t="n">
        <v>1.64219015280136</v>
      </c>
      <c r="G48" s="453" t="n">
        <v>1.7557251908397</v>
      </c>
      <c r="H48" s="453" t="n">
        <v>1.86486486486487</v>
      </c>
      <c r="I48" s="453" t="n">
        <v>1.91715976331361</v>
      </c>
    </row>
    <row r="49" customFormat="false" ht="18" hidden="false" customHeight="true" outlineLevel="0" collapsed="false">
      <c r="A49" s="410" t="s">
        <v>240</v>
      </c>
      <c r="B49" s="418" t="n">
        <v>15</v>
      </c>
      <c r="C49" s="418" t="n">
        <v>18</v>
      </c>
      <c r="D49" s="418" t="n">
        <v>18</v>
      </c>
      <c r="E49" s="418" t="n">
        <v>31</v>
      </c>
      <c r="F49" s="418" t="n">
        <v>26</v>
      </c>
      <c r="G49" s="447" t="n">
        <v>25</v>
      </c>
      <c r="H49" s="447" t="n">
        <v>22</v>
      </c>
      <c r="I49" s="447" t="n">
        <v>20</v>
      </c>
    </row>
    <row r="50" customFormat="false" ht="18" hidden="false" customHeight="true" outlineLevel="0" collapsed="false">
      <c r="A50" s="410" t="s">
        <v>241</v>
      </c>
      <c r="B50" s="419" t="n">
        <v>115</v>
      </c>
      <c r="C50" s="419" t="n">
        <v>65</v>
      </c>
      <c r="D50" s="419" t="n">
        <v>71</v>
      </c>
      <c r="E50" s="419" t="n">
        <v>68</v>
      </c>
      <c r="F50" s="419" t="n">
        <v>59</v>
      </c>
      <c r="G50" s="447" t="n">
        <v>55</v>
      </c>
      <c r="H50" s="447" t="n">
        <v>52</v>
      </c>
      <c r="I50" s="447" t="n">
        <v>50</v>
      </c>
    </row>
    <row r="51" customFormat="false" ht="18" hidden="false" customHeight="true" outlineLevel="0" collapsed="false">
      <c r="A51" s="410" t="s">
        <v>471</v>
      </c>
      <c r="B51" s="414" t="n">
        <v>0.636363636363636</v>
      </c>
      <c r="C51" s="414" t="n">
        <v>0.0460829493087558</v>
      </c>
      <c r="D51" s="414" t="n">
        <v>0.966183574879227</v>
      </c>
      <c r="E51" s="414" t="n">
        <v>0.146341463414634</v>
      </c>
      <c r="F51" s="414" t="n">
        <v>0.859756097560976</v>
      </c>
      <c r="G51" s="444" t="n">
        <v>0.673913043478261</v>
      </c>
      <c r="H51" s="444" t="n">
        <v>0.656028368794326</v>
      </c>
      <c r="I51" s="444" t="n">
        <v>0.641399416909621</v>
      </c>
    </row>
  </sheetData>
  <mergeCells count="5">
    <mergeCell ref="A1:H1"/>
    <mergeCell ref="A3:H3"/>
    <mergeCell ref="A19:H19"/>
    <mergeCell ref="A32:H32"/>
    <mergeCell ref="A40:H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8" min="2" style="1" width="14"/>
  </cols>
  <sheetData>
    <row r="1" customFormat="false" ht="27.75" hidden="false" customHeight="true" outlineLevel="0" collapsed="false">
      <c r="A1" s="421" t="s">
        <v>472</v>
      </c>
      <c r="B1" s="421"/>
      <c r="C1" s="421"/>
      <c r="D1" s="421"/>
      <c r="E1" s="421"/>
      <c r="F1" s="421"/>
      <c r="G1" s="421"/>
      <c r="H1" s="421"/>
    </row>
    <row r="2" customFormat="false" ht="15" hidden="false" customHeight="true" outlineLevel="0" collapsed="false">
      <c r="A2" s="406" t="s">
        <v>473</v>
      </c>
      <c r="B2" s="406"/>
      <c r="C2" s="406"/>
      <c r="D2" s="406"/>
      <c r="E2" s="406"/>
      <c r="F2" s="406"/>
      <c r="G2" s="406"/>
      <c r="H2" s="406"/>
    </row>
    <row r="3" customFormat="false" ht="19.5" hidden="false" customHeight="true" outlineLevel="0" collapsed="false">
      <c r="A3" s="407" t="s">
        <v>474</v>
      </c>
      <c r="B3" s="408" t="s">
        <v>217</v>
      </c>
      <c r="C3" s="408" t="s">
        <v>2</v>
      </c>
      <c r="D3" s="408" t="s">
        <v>3</v>
      </c>
      <c r="E3" s="408" t="s">
        <v>218</v>
      </c>
      <c r="F3" s="408" t="s">
        <v>219</v>
      </c>
      <c r="G3" s="442" t="s">
        <v>188</v>
      </c>
      <c r="H3" s="442" t="s">
        <v>189</v>
      </c>
      <c r="I3" s="442" t="s">
        <v>190</v>
      </c>
    </row>
    <row r="4" customFormat="false" ht="18" hidden="false" customHeight="true" outlineLevel="0" collapsed="false">
      <c r="A4" s="409" t="s">
        <v>475</v>
      </c>
      <c r="B4" s="409"/>
      <c r="C4" s="409"/>
      <c r="D4" s="409"/>
      <c r="E4" s="409"/>
      <c r="F4" s="409"/>
      <c r="G4" s="409"/>
      <c r="H4" s="409"/>
    </row>
    <row r="5" customFormat="false" ht="18" hidden="false" customHeight="true" outlineLevel="0" collapsed="false">
      <c r="A5" s="410" t="s">
        <v>476</v>
      </c>
      <c r="B5" s="411"/>
      <c r="C5" s="411"/>
      <c r="D5" s="411"/>
      <c r="E5" s="411"/>
      <c r="F5" s="411"/>
      <c r="G5" s="443" t="n">
        <v>1539</v>
      </c>
      <c r="H5" s="443" t="n">
        <v>1539</v>
      </c>
      <c r="I5" s="443" t="n">
        <v>1539</v>
      </c>
    </row>
    <row r="6" customFormat="false" ht="18" hidden="false" customHeight="true" outlineLevel="0" collapsed="false">
      <c r="A6" s="410" t="s">
        <v>477</v>
      </c>
      <c r="B6" s="413"/>
      <c r="C6" s="413"/>
      <c r="D6" s="413"/>
      <c r="E6" s="413"/>
      <c r="F6" s="413"/>
      <c r="G6" s="443" t="n">
        <v>11360</v>
      </c>
      <c r="H6" s="443" t="n">
        <v>11360</v>
      </c>
      <c r="I6" s="443" t="n">
        <v>11360</v>
      </c>
    </row>
    <row r="7" customFormat="false" ht="18" hidden="false" customHeight="true" outlineLevel="0" collapsed="false">
      <c r="A7" s="410" t="s">
        <v>478</v>
      </c>
      <c r="B7" s="411" t="n">
        <v>11518</v>
      </c>
      <c r="C7" s="411" t="n">
        <v>11649</v>
      </c>
      <c r="D7" s="411" t="n">
        <v>11605</v>
      </c>
      <c r="E7" s="411" t="n">
        <v>11805</v>
      </c>
      <c r="F7" s="411" t="n">
        <v>11543</v>
      </c>
      <c r="G7" s="443" t="n">
        <v>11507</v>
      </c>
      <c r="H7" s="443" t="n">
        <v>11457</v>
      </c>
      <c r="I7" s="443" t="n">
        <v>11417</v>
      </c>
    </row>
    <row r="8" customFormat="false" ht="18" hidden="false" customHeight="true" outlineLevel="0" collapsed="false"/>
    <row r="9" customFormat="false" ht="18" hidden="false" customHeight="true" outlineLevel="0" collapsed="false">
      <c r="A9" s="409" t="s">
        <v>479</v>
      </c>
      <c r="B9" s="409"/>
      <c r="C9" s="409"/>
      <c r="D9" s="409"/>
      <c r="E9" s="409"/>
      <c r="F9" s="409"/>
      <c r="G9" s="409"/>
      <c r="H9" s="409"/>
    </row>
    <row r="10" customFormat="false" ht="18" hidden="false" customHeight="true" outlineLevel="0" collapsed="false">
      <c r="A10" s="410" t="s">
        <v>243</v>
      </c>
      <c r="B10" s="417" t="n">
        <v>202.5</v>
      </c>
      <c r="C10" s="417" t="n">
        <v>76.2258543833581</v>
      </c>
      <c r="D10" s="417" t="n">
        <v>52.832131822863</v>
      </c>
      <c r="E10" s="417" t="n">
        <v>44.4155844155844</v>
      </c>
      <c r="F10" s="417" t="n">
        <v>36.3657844990548</v>
      </c>
      <c r="G10" s="453" t="n">
        <v>29.4827586206897</v>
      </c>
      <c r="H10" s="453" t="n">
        <v>23.75</v>
      </c>
      <c r="I10" s="453" t="n">
        <v>19.261576971214</v>
      </c>
    </row>
    <row r="11" customFormat="false" ht="18" hidden="false" customHeight="true" outlineLevel="0" collapsed="false">
      <c r="A11" s="410" t="s">
        <v>244</v>
      </c>
      <c r="B11" s="420" t="n">
        <v>0.422338090010977</v>
      </c>
      <c r="C11" s="420" t="n">
        <v>0.293534236124356</v>
      </c>
      <c r="D11" s="420" t="n">
        <v>0.192832978323518</v>
      </c>
      <c r="E11" s="420" t="n">
        <v>0.13553500660502</v>
      </c>
      <c r="F11" s="420" t="n">
        <v>0.0548702224757559</v>
      </c>
      <c r="G11" s="453" t="n">
        <v>0.0479245165509295</v>
      </c>
      <c r="H11" s="453" t="n">
        <v>0.041151933258463</v>
      </c>
      <c r="I11" s="453" t="n">
        <v>0.0352730856501112</v>
      </c>
    </row>
    <row r="12" customFormat="false" ht="18" hidden="false" customHeight="true" outlineLevel="0" collapsed="false">
      <c r="A12" s="410" t="s">
        <v>480</v>
      </c>
      <c r="B12" s="417" t="n">
        <v>8.0551914893617</v>
      </c>
      <c r="C12" s="417" t="n">
        <v>5.12537003610108</v>
      </c>
      <c r="D12" s="417" t="n">
        <v>4.05491610139236</v>
      </c>
      <c r="E12" s="417" t="n">
        <v>3.59310977538754</v>
      </c>
      <c r="F12" s="417" t="n">
        <v>2.9355957611786</v>
      </c>
      <c r="G12" s="453" t="n">
        <v>2.46909130434783</v>
      </c>
      <c r="H12" s="453" t="n">
        <v>2.05757608695652</v>
      </c>
      <c r="I12" s="453" t="n">
        <v>1.75275</v>
      </c>
    </row>
    <row r="13" customFormat="false" ht="18" hidden="false" customHeight="true" outlineLevel="0" collapsed="false">
      <c r="A13" s="410" t="s">
        <v>246</v>
      </c>
      <c r="B13" s="420" t="n">
        <v>95.1900826446281</v>
      </c>
      <c r="C13" s="420" t="n">
        <v>53.6820276497696</v>
      </c>
      <c r="D13" s="420" t="n">
        <v>56.0628019323672</v>
      </c>
      <c r="E13" s="420" t="n">
        <v>41.1324041811847</v>
      </c>
      <c r="F13" s="420" t="n">
        <v>35.1920731707317</v>
      </c>
      <c r="G13" s="453" t="n">
        <v>25.0152173913044</v>
      </c>
      <c r="H13" s="453" t="n">
        <v>20.313829787234</v>
      </c>
      <c r="I13" s="453" t="n">
        <v>16.6428571428571</v>
      </c>
    </row>
    <row r="14" customFormat="false" ht="18" hidden="false" customHeight="true" outlineLevel="0" collapsed="false">
      <c r="A14" s="410" t="s">
        <v>481</v>
      </c>
      <c r="B14" s="417" t="n">
        <v>8.16879432624114</v>
      </c>
      <c r="C14" s="417" t="n">
        <v>5.25676895306859</v>
      </c>
      <c r="D14" s="417" t="n">
        <v>4.14316315601571</v>
      </c>
      <c r="E14" s="417" t="n">
        <v>3.73457766529579</v>
      </c>
      <c r="F14" s="417" t="n">
        <v>2.98345825794779</v>
      </c>
      <c r="G14" s="453" t="n">
        <v>2.50152173913044</v>
      </c>
      <c r="H14" s="453" t="n">
        <v>2.07554347826087</v>
      </c>
      <c r="I14" s="453" t="n">
        <v>1.76188271604938</v>
      </c>
    </row>
    <row r="15" customFormat="false" ht="18" hidden="false" customHeight="true" outlineLevel="0" collapsed="false">
      <c r="A15" s="410" t="s">
        <v>482</v>
      </c>
      <c r="B15" s="420" t="n">
        <v>114.039603960396</v>
      </c>
      <c r="C15" s="420" t="n">
        <v>59.4336734693878</v>
      </c>
      <c r="D15" s="420" t="n">
        <v>63.4153005464481</v>
      </c>
      <c r="E15" s="420" t="n">
        <v>47.4096385542169</v>
      </c>
      <c r="F15" s="420" t="n">
        <v>38.6053511705686</v>
      </c>
      <c r="G15" s="453" t="n">
        <v>27.2677725118483</v>
      </c>
      <c r="H15" s="453" t="n">
        <v>22.203488372093</v>
      </c>
      <c r="I15" s="453" t="n">
        <v>18.1799363057325</v>
      </c>
    </row>
    <row r="16" customFormat="false" ht="18" hidden="false" customHeight="true" outlineLevel="0" collapsed="false"/>
    <row r="17" customFormat="false" ht="18" hidden="false" customHeight="true" outlineLevel="0" collapsed="false">
      <c r="A17" s="409" t="s">
        <v>483</v>
      </c>
      <c r="B17" s="409"/>
      <c r="C17" s="409"/>
      <c r="D17" s="409"/>
      <c r="E17" s="409"/>
      <c r="F17" s="409"/>
      <c r="G17" s="409"/>
      <c r="H17" s="409"/>
    </row>
    <row r="18" customFormat="false" ht="18" hidden="false" customHeight="true" outlineLevel="0" collapsed="false">
      <c r="A18" s="410" t="s">
        <v>227</v>
      </c>
      <c r="B18" s="415" t="n">
        <v>7.6</v>
      </c>
      <c r="C18" s="415" t="n">
        <v>20.19</v>
      </c>
      <c r="D18" s="415" t="n">
        <v>29.13</v>
      </c>
      <c r="E18" s="415" t="n">
        <v>34.65</v>
      </c>
      <c r="F18" s="415" t="n">
        <v>42.32</v>
      </c>
      <c r="G18" s="446" t="n">
        <v>52.2</v>
      </c>
      <c r="H18" s="446" t="n">
        <v>64.8</v>
      </c>
      <c r="I18" s="446" t="n">
        <v>79.9</v>
      </c>
    </row>
    <row r="19" customFormat="false" ht="18" hidden="false" customHeight="true" outlineLevel="0" collapsed="false">
      <c r="A19" s="410" t="s">
        <v>445</v>
      </c>
      <c r="B19" s="418" t="n">
        <v>3644</v>
      </c>
      <c r="C19" s="418" t="n">
        <v>5243</v>
      </c>
      <c r="D19" s="418" t="n">
        <v>7981</v>
      </c>
      <c r="E19" s="418" t="n">
        <v>11355</v>
      </c>
      <c r="F19" s="418" t="n">
        <v>28048</v>
      </c>
      <c r="G19" s="447" t="n">
        <v>32113</v>
      </c>
      <c r="H19" s="447" t="n">
        <v>37398</v>
      </c>
      <c r="I19" s="447" t="n">
        <v>43631</v>
      </c>
    </row>
    <row r="20" customFormat="false" ht="18" hidden="false" customHeight="true" outlineLevel="0" collapsed="false">
      <c r="A20" s="410" t="s">
        <v>484</v>
      </c>
      <c r="B20" s="419" t="n">
        <v>191</v>
      </c>
      <c r="C20" s="419" t="n">
        <v>300</v>
      </c>
      <c r="D20" s="419" t="n">
        <v>379</v>
      </c>
      <c r="E20" s="419" t="n">
        <v>428</v>
      </c>
      <c r="F20" s="419" t="n">
        <v>524</v>
      </c>
      <c r="G20" s="447" t="n">
        <v>623</v>
      </c>
      <c r="H20" s="447" t="n">
        <v>747</v>
      </c>
      <c r="I20" s="447" t="n">
        <v>878</v>
      </c>
    </row>
    <row r="21" customFormat="false" ht="18" hidden="false" customHeight="true" outlineLevel="0" collapsed="false">
      <c r="A21" s="410" t="s">
        <v>485</v>
      </c>
      <c r="B21" s="418" t="n">
        <v>1043</v>
      </c>
      <c r="C21" s="418" t="n">
        <v>135</v>
      </c>
      <c r="D21" s="418" t="n">
        <v>2710</v>
      </c>
      <c r="E21" s="418" t="n">
        <v>569</v>
      </c>
      <c r="F21" s="418" t="n">
        <v>3821</v>
      </c>
      <c r="G21" s="447" t="n">
        <v>4200</v>
      </c>
      <c r="H21" s="447" t="n">
        <v>5013</v>
      </c>
      <c r="I21" s="447" t="n">
        <v>5962</v>
      </c>
    </row>
    <row r="22" customFormat="false" ht="18" hidden="false" customHeight="true" outlineLevel="0" collapsed="false">
      <c r="A22" s="410" t="s">
        <v>228</v>
      </c>
      <c r="B22" s="415" t="n">
        <v>1</v>
      </c>
      <c r="C22" s="415" t="n">
        <v>3</v>
      </c>
      <c r="D22" s="415" t="n">
        <v>4</v>
      </c>
      <c r="E22" s="415" t="n">
        <v>5</v>
      </c>
      <c r="F22" s="415" t="n">
        <v>6</v>
      </c>
      <c r="G22" s="446" t="n">
        <v>7</v>
      </c>
      <c r="H22" s="446" t="n">
        <v>9</v>
      </c>
      <c r="I22" s="446" t="n">
        <v>11</v>
      </c>
    </row>
    <row r="23" customFormat="false" ht="18" hidden="false" customHeight="true" outlineLevel="0" collapsed="false"/>
    <row r="24" customFormat="false" ht="18" hidden="false" customHeight="true" outlineLevel="0" collapsed="false">
      <c r="A24" s="409" t="s">
        <v>486</v>
      </c>
      <c r="B24" s="409"/>
      <c r="C24" s="409"/>
      <c r="D24" s="409"/>
      <c r="E24" s="409"/>
      <c r="F24" s="409"/>
      <c r="G24" s="409"/>
      <c r="H24" s="409"/>
    </row>
    <row r="25" customFormat="false" ht="18" hidden="false" customHeight="true" outlineLevel="0" collapsed="false">
      <c r="A25" s="410" t="s">
        <v>238</v>
      </c>
      <c r="B25" s="414" t="n">
        <v>0.212</v>
      </c>
      <c r="C25" s="414" t="n">
        <v>0.382</v>
      </c>
      <c r="D25" s="414" t="n">
        <v>0.346</v>
      </c>
      <c r="E25" s="414" t="n">
        <v>0.289</v>
      </c>
      <c r="F25" s="414" t="n">
        <v>0.151</v>
      </c>
      <c r="G25" s="444" t="n">
        <v>0.162</v>
      </c>
      <c r="H25" s="444" t="n">
        <v>0.173</v>
      </c>
      <c r="I25" s="444" t="n">
        <v>0.183</v>
      </c>
    </row>
    <row r="26" customFormat="false" ht="18" hidden="false" customHeight="true" outlineLevel="0" collapsed="false">
      <c r="A26" s="410" t="s">
        <v>239</v>
      </c>
      <c r="B26" s="412" t="n">
        <v>0.164</v>
      </c>
      <c r="C26" s="412" t="n">
        <v>0.365</v>
      </c>
      <c r="D26" s="412" t="n">
        <v>0.264</v>
      </c>
      <c r="E26" s="412" t="n">
        <v>0.225</v>
      </c>
      <c r="F26" s="412" t="n">
        <v>0.215</v>
      </c>
      <c r="G26" s="444" t="n">
        <v>0.22</v>
      </c>
      <c r="H26" s="444" t="n">
        <v>0.235</v>
      </c>
      <c r="I26" s="444" t="n">
        <v>0.25</v>
      </c>
    </row>
    <row r="27" customFormat="false" ht="18" hidden="false" customHeight="true" outlineLevel="0" collapsed="false">
      <c r="A27" s="410" t="s">
        <v>487</v>
      </c>
      <c r="B27" s="414" t="n">
        <v>0.00493827160493827</v>
      </c>
      <c r="C27" s="414" t="n">
        <v>0.0131189083820663</v>
      </c>
      <c r="D27" s="414" t="n">
        <v>0.0189278752436647</v>
      </c>
      <c r="E27" s="414" t="n">
        <v>0.0225146198830409</v>
      </c>
      <c r="F27" s="414" t="n">
        <v>0.027498375568551</v>
      </c>
      <c r="G27" s="444" t="n">
        <v>0.0339181286549708</v>
      </c>
      <c r="H27" s="444" t="n">
        <v>0.0421052631578947</v>
      </c>
      <c r="I27" s="444" t="n">
        <v>0.0519168291098116</v>
      </c>
    </row>
    <row r="28" customFormat="false" ht="18" hidden="false" customHeight="true" outlineLevel="0" collapsed="false">
      <c r="A28" s="410" t="s">
        <v>488</v>
      </c>
      <c r="B28" s="412" t="n">
        <v>0.000649772579597141</v>
      </c>
      <c r="C28" s="412" t="n">
        <v>0.00194931773879142</v>
      </c>
      <c r="D28" s="412" t="n">
        <v>0.00259909031838856</v>
      </c>
      <c r="E28" s="412" t="n">
        <v>0.00324886289798571</v>
      </c>
      <c r="F28" s="412" t="n">
        <v>0.00389863547758285</v>
      </c>
      <c r="G28" s="444" t="n">
        <v>0.00454840805717999</v>
      </c>
      <c r="H28" s="444" t="n">
        <v>0.00584795321637427</v>
      </c>
      <c r="I28" s="444" t="n">
        <v>0.00714749837556855</v>
      </c>
    </row>
    <row r="29" customFormat="false" ht="18" hidden="false" customHeight="true" outlineLevel="0" collapsed="false">
      <c r="A29" s="410" t="s">
        <v>489</v>
      </c>
      <c r="B29" s="414" t="n">
        <v>0.00510661376919162</v>
      </c>
      <c r="C29" s="414" t="n">
        <v>-0.00519465883417769</v>
      </c>
      <c r="D29" s="414" t="n">
        <v>0.00836428117367593</v>
      </c>
      <c r="E29" s="414" t="n">
        <v>-0.0102132275383833</v>
      </c>
      <c r="F29" s="414" t="n">
        <v>0.0120621739030906</v>
      </c>
      <c r="G29" s="444" t="n">
        <v>0.0167285623473519</v>
      </c>
      <c r="H29" s="444" t="n">
        <v>0.0237721675462369</v>
      </c>
      <c r="I29" s="444" t="n">
        <v>0.0308157727451219</v>
      </c>
    </row>
    <row r="30" customFormat="false" ht="18" hidden="false" customHeight="true" outlineLevel="0" collapsed="false"/>
    <row r="31" customFormat="false" ht="18" hidden="false" customHeight="true" outlineLevel="0" collapsed="false">
      <c r="A31" s="409" t="s">
        <v>490</v>
      </c>
      <c r="B31" s="409"/>
      <c r="C31" s="409"/>
      <c r="D31" s="409"/>
      <c r="E31" s="409"/>
      <c r="F31" s="409"/>
      <c r="G31" s="409"/>
      <c r="H31" s="409"/>
    </row>
    <row r="32" customFormat="false" ht="18" hidden="false" customHeight="true" outlineLevel="0" collapsed="false">
      <c r="A32" s="410" t="s">
        <v>491</v>
      </c>
      <c r="B32" s="412"/>
      <c r="C32" s="412"/>
      <c r="D32" s="412"/>
      <c r="E32" s="412"/>
      <c r="F32" s="412"/>
      <c r="G32" s="444" t="n">
        <v>0.07</v>
      </c>
      <c r="H32" s="444" t="n">
        <v>0.07</v>
      </c>
      <c r="I32" s="444" t="n">
        <v>0.07</v>
      </c>
    </row>
    <row r="33" customFormat="false" ht="18" hidden="false" customHeight="true" outlineLevel="0" collapsed="false">
      <c r="A33" s="410" t="s">
        <v>492</v>
      </c>
      <c r="B33" s="414"/>
      <c r="C33" s="414"/>
      <c r="D33" s="414"/>
      <c r="E33" s="414"/>
      <c r="F33" s="414"/>
      <c r="G33" s="444" t="n">
        <v>0.05</v>
      </c>
      <c r="H33" s="444" t="n">
        <v>0.05</v>
      </c>
      <c r="I33" s="444" t="n">
        <v>0.05</v>
      </c>
    </row>
    <row r="34" customFormat="false" ht="18" hidden="false" customHeight="true" outlineLevel="0" collapsed="false">
      <c r="A34" s="410" t="s">
        <v>493</v>
      </c>
      <c r="B34" s="454"/>
      <c r="C34" s="454"/>
      <c r="D34" s="454"/>
      <c r="E34" s="454"/>
      <c r="F34" s="454"/>
      <c r="G34" s="455" t="n">
        <v>1.1</v>
      </c>
      <c r="H34" s="455" t="n">
        <v>1.1</v>
      </c>
      <c r="I34" s="455" t="n">
        <v>1.1</v>
      </c>
    </row>
    <row r="35" customFormat="false" ht="18" hidden="false" customHeight="true" outlineLevel="0" collapsed="false">
      <c r="A35" s="410" t="s">
        <v>494</v>
      </c>
      <c r="B35" s="414"/>
      <c r="C35" s="414"/>
      <c r="D35" s="414"/>
      <c r="E35" s="414"/>
      <c r="F35" s="414"/>
      <c r="G35" s="444" t="n">
        <v>0.125</v>
      </c>
      <c r="H35" s="444" t="n">
        <v>0.125</v>
      </c>
      <c r="I35" s="444" t="n">
        <v>0.125</v>
      </c>
    </row>
    <row r="36" customFormat="false" ht="18" hidden="false" customHeight="true" outlineLevel="0" collapsed="false">
      <c r="A36" s="410" t="s">
        <v>495</v>
      </c>
      <c r="B36" s="412"/>
      <c r="C36" s="412"/>
      <c r="D36" s="412"/>
      <c r="E36" s="412"/>
      <c r="F36" s="412"/>
      <c r="G36" s="444" t="n">
        <v>0.115</v>
      </c>
      <c r="H36" s="444" t="n">
        <v>0.115</v>
      </c>
      <c r="I36" s="444" t="n">
        <v>0.115</v>
      </c>
    </row>
    <row r="37" customFormat="false" ht="18" hidden="false" customHeight="true" outlineLevel="0" collapsed="false">
      <c r="A37" s="410" t="s">
        <v>496</v>
      </c>
      <c r="B37" s="414"/>
      <c r="C37" s="414"/>
      <c r="D37" s="414"/>
      <c r="E37" s="414"/>
      <c r="F37" s="414"/>
      <c r="G37" s="444" t="n">
        <v>0.05</v>
      </c>
      <c r="H37" s="444" t="n">
        <v>0.05</v>
      </c>
      <c r="I37" s="444" t="n">
        <v>0.05</v>
      </c>
    </row>
    <row r="38" customFormat="false" ht="18" hidden="false" customHeight="true" outlineLevel="0" collapsed="false">
      <c r="A38" s="410" t="s">
        <v>497</v>
      </c>
      <c r="B38" s="413"/>
      <c r="C38" s="413"/>
      <c r="D38" s="413"/>
      <c r="E38" s="413"/>
      <c r="F38" s="413"/>
      <c r="G38" s="443" t="n">
        <v>1720</v>
      </c>
      <c r="H38" s="443"/>
      <c r="I38" s="443"/>
    </row>
    <row r="39" customFormat="false" ht="18" hidden="false" customHeight="true" outlineLevel="0" collapsed="false">
      <c r="A39" s="410" t="s">
        <v>498</v>
      </c>
      <c r="B39" s="414"/>
      <c r="C39" s="414"/>
      <c r="D39" s="414"/>
      <c r="E39" s="414"/>
      <c r="F39" s="414"/>
      <c r="G39" s="444" t="n">
        <v>0.118</v>
      </c>
      <c r="H39" s="444"/>
      <c r="I39" s="444"/>
    </row>
  </sheetData>
  <mergeCells count="7">
    <mergeCell ref="A1:H1"/>
    <mergeCell ref="A2:H2"/>
    <mergeCell ref="A4:H4"/>
    <mergeCell ref="A9:H9"/>
    <mergeCell ref="A17:H17"/>
    <mergeCell ref="A24:H24"/>
    <mergeCell ref="A31:H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22"/>
    <col collapsed="false" customWidth="true" hidden="false" outlineLevel="0" max="4" min="4" style="1" width="45"/>
    <col collapsed="false" customWidth="true" hidden="false" outlineLevel="0" max="5" min="5" style="1" width="35"/>
    <col collapsed="false" customWidth="true" hidden="false" outlineLevel="0" max="8" min="6" style="1" width="14"/>
  </cols>
  <sheetData>
    <row r="1" customFormat="false" ht="27.75" hidden="false" customHeight="true" outlineLevel="0" collapsed="false">
      <c r="A1" s="421" t="s">
        <v>499</v>
      </c>
      <c r="B1" s="421"/>
      <c r="C1" s="421"/>
      <c r="D1" s="421"/>
      <c r="E1" s="421"/>
      <c r="F1" s="421"/>
      <c r="G1" s="421"/>
      <c r="H1" s="421"/>
    </row>
    <row r="2" customFormat="false" ht="15" hidden="false" customHeight="true" outlineLevel="0" collapsed="false">
      <c r="A2" s="406" t="s">
        <v>500</v>
      </c>
      <c r="B2" s="406"/>
      <c r="C2" s="406"/>
      <c r="D2" s="406"/>
      <c r="E2" s="406"/>
      <c r="F2" s="406"/>
      <c r="G2" s="406"/>
      <c r="H2" s="406"/>
    </row>
    <row r="3" customFormat="false" ht="19.5" hidden="false" customHeight="true" outlineLevel="0" collapsed="false">
      <c r="A3" s="407" t="s">
        <v>501</v>
      </c>
      <c r="B3" s="407" t="s">
        <v>502</v>
      </c>
      <c r="C3" s="407" t="s">
        <v>503</v>
      </c>
      <c r="D3" s="407" t="s">
        <v>288</v>
      </c>
      <c r="E3" s="407" t="s">
        <v>504</v>
      </c>
      <c r="F3" s="407" t="s">
        <v>505</v>
      </c>
      <c r="G3" s="407" t="s">
        <v>289</v>
      </c>
      <c r="H3" s="407" t="s">
        <v>506</v>
      </c>
    </row>
    <row r="4" customFormat="false" ht="54.75" hidden="false" customHeight="true" outlineLevel="0" collapsed="false">
      <c r="A4" s="407" t="n">
        <v>1</v>
      </c>
      <c r="B4" s="408" t="s">
        <v>507</v>
      </c>
      <c r="C4" s="456" t="s">
        <v>508</v>
      </c>
      <c r="D4" s="457" t="s">
        <v>509</v>
      </c>
      <c r="E4" s="458" t="s">
        <v>510</v>
      </c>
      <c r="F4" s="459" t="s">
        <v>511</v>
      </c>
      <c r="G4" s="460" t="s">
        <v>512</v>
      </c>
      <c r="H4" s="461" t="s">
        <v>513</v>
      </c>
    </row>
    <row r="5" customFormat="false" ht="54.75" hidden="false" customHeight="true" outlineLevel="0" collapsed="false">
      <c r="A5" s="407" t="n">
        <v>2</v>
      </c>
      <c r="B5" s="408" t="s">
        <v>514</v>
      </c>
      <c r="C5" s="462" t="s">
        <v>515</v>
      </c>
      <c r="D5" s="463" t="s">
        <v>516</v>
      </c>
      <c r="E5" s="464" t="s">
        <v>517</v>
      </c>
      <c r="F5" s="459" t="s">
        <v>511</v>
      </c>
      <c r="G5" s="460" t="s">
        <v>512</v>
      </c>
      <c r="H5" s="461" t="s">
        <v>513</v>
      </c>
    </row>
    <row r="6" customFormat="false" ht="54.75" hidden="false" customHeight="true" outlineLevel="0" collapsed="false">
      <c r="A6" s="407" t="n">
        <v>3</v>
      </c>
      <c r="B6" s="408" t="s">
        <v>518</v>
      </c>
      <c r="C6" s="456" t="s">
        <v>519</v>
      </c>
      <c r="D6" s="457" t="s">
        <v>520</v>
      </c>
      <c r="E6" s="458" t="s">
        <v>521</v>
      </c>
      <c r="F6" s="465" t="s">
        <v>522</v>
      </c>
      <c r="G6" s="460" t="s">
        <v>512</v>
      </c>
      <c r="H6" s="442" t="s">
        <v>523</v>
      </c>
    </row>
    <row r="7" customFormat="false" ht="54.75" hidden="false" customHeight="true" outlineLevel="0" collapsed="false">
      <c r="A7" s="407" t="n">
        <v>4</v>
      </c>
      <c r="B7" s="408" t="s">
        <v>524</v>
      </c>
      <c r="C7" s="462" t="s">
        <v>525</v>
      </c>
      <c r="D7" s="463" t="s">
        <v>526</v>
      </c>
      <c r="E7" s="464" t="s">
        <v>527</v>
      </c>
      <c r="F7" s="459" t="s">
        <v>511</v>
      </c>
      <c r="G7" s="459" t="s">
        <v>511</v>
      </c>
      <c r="H7" s="442" t="s">
        <v>523</v>
      </c>
    </row>
    <row r="8" customFormat="false" ht="54.75" hidden="false" customHeight="true" outlineLevel="0" collapsed="false">
      <c r="A8" s="407" t="n">
        <v>5</v>
      </c>
      <c r="B8" s="408" t="s">
        <v>528</v>
      </c>
      <c r="C8" s="456" t="s">
        <v>529</v>
      </c>
      <c r="D8" s="457" t="s">
        <v>530</v>
      </c>
      <c r="E8" s="458" t="s">
        <v>531</v>
      </c>
      <c r="F8" s="459" t="s">
        <v>511</v>
      </c>
      <c r="G8" s="460" t="s">
        <v>512</v>
      </c>
      <c r="H8" s="461" t="s">
        <v>513</v>
      </c>
    </row>
    <row r="9" customFormat="false" ht="54.75" hidden="false" customHeight="true" outlineLevel="0" collapsed="false">
      <c r="A9" s="407" t="n">
        <v>6</v>
      </c>
      <c r="B9" s="408" t="s">
        <v>532</v>
      </c>
      <c r="C9" s="462" t="s">
        <v>533</v>
      </c>
      <c r="D9" s="463" t="s">
        <v>534</v>
      </c>
      <c r="E9" s="464" t="s">
        <v>535</v>
      </c>
      <c r="F9" s="459" t="s">
        <v>511</v>
      </c>
      <c r="G9" s="459" t="s">
        <v>511</v>
      </c>
      <c r="H9" s="442" t="s">
        <v>523</v>
      </c>
    </row>
    <row r="10" customFormat="false" ht="54.75" hidden="false" customHeight="true" outlineLevel="0" collapsed="false">
      <c r="A10" s="407" t="n">
        <v>7</v>
      </c>
      <c r="B10" s="408" t="s">
        <v>536</v>
      </c>
      <c r="C10" s="456" t="s">
        <v>537</v>
      </c>
      <c r="D10" s="457" t="s">
        <v>538</v>
      </c>
      <c r="E10" s="458" t="s">
        <v>539</v>
      </c>
      <c r="F10" s="465" t="s">
        <v>522</v>
      </c>
      <c r="G10" s="459" t="s">
        <v>511</v>
      </c>
      <c r="H10" s="466" t="s">
        <v>540</v>
      </c>
    </row>
    <row r="11" customFormat="false" ht="54.75" hidden="false" customHeight="true" outlineLevel="0" collapsed="false">
      <c r="A11" s="407" t="n">
        <v>8</v>
      </c>
      <c r="B11" s="408" t="s">
        <v>541</v>
      </c>
      <c r="C11" s="462" t="s">
        <v>542</v>
      </c>
      <c r="D11" s="463" t="s">
        <v>543</v>
      </c>
      <c r="E11" s="464" t="s">
        <v>544</v>
      </c>
      <c r="F11" s="459" t="s">
        <v>511</v>
      </c>
      <c r="G11" s="459" t="s">
        <v>511</v>
      </c>
      <c r="H11" s="442" t="s">
        <v>523</v>
      </c>
    </row>
    <row r="12" customFormat="false" ht="54.75" hidden="false" customHeight="true" outlineLevel="0" collapsed="false">
      <c r="A12" s="407" t="n">
        <v>9</v>
      </c>
      <c r="B12" s="408" t="s">
        <v>545</v>
      </c>
      <c r="C12" s="456" t="s">
        <v>546</v>
      </c>
      <c r="D12" s="457" t="s">
        <v>547</v>
      </c>
      <c r="E12" s="458" t="s">
        <v>548</v>
      </c>
      <c r="F12" s="465" t="s">
        <v>522</v>
      </c>
      <c r="G12" s="459" t="s">
        <v>511</v>
      </c>
      <c r="H12" s="466" t="s">
        <v>540</v>
      </c>
    </row>
    <row r="13" customFormat="false" ht="54.75" hidden="false" customHeight="true" outlineLevel="0" collapsed="false">
      <c r="A13" s="407" t="n">
        <v>10</v>
      </c>
      <c r="B13" s="408" t="s">
        <v>549</v>
      </c>
      <c r="C13" s="462" t="s">
        <v>550</v>
      </c>
      <c r="D13" s="463" t="s">
        <v>551</v>
      </c>
      <c r="E13" s="464" t="s">
        <v>552</v>
      </c>
      <c r="F13" s="459" t="s">
        <v>511</v>
      </c>
      <c r="G13" s="459" t="s">
        <v>511</v>
      </c>
      <c r="H13" s="442" t="s">
        <v>523</v>
      </c>
    </row>
    <row r="14" customFormat="false" ht="54.75" hidden="false" customHeight="true" outlineLevel="0" collapsed="false">
      <c r="A14" s="407" t="n">
        <v>11</v>
      </c>
      <c r="B14" s="408" t="s">
        <v>553</v>
      </c>
      <c r="C14" s="456" t="s">
        <v>554</v>
      </c>
      <c r="D14" s="457" t="s">
        <v>555</v>
      </c>
      <c r="E14" s="458" t="s">
        <v>556</v>
      </c>
      <c r="F14" s="465" t="s">
        <v>522</v>
      </c>
      <c r="G14" s="460" t="s">
        <v>512</v>
      </c>
      <c r="H14" s="442" t="s">
        <v>523</v>
      </c>
    </row>
    <row r="15" customFormat="false" ht="54.75" hidden="false" customHeight="true" outlineLevel="0" collapsed="false">
      <c r="A15" s="407" t="n">
        <v>12</v>
      </c>
      <c r="B15" s="408" t="s">
        <v>557</v>
      </c>
      <c r="C15" s="462" t="s">
        <v>558</v>
      </c>
      <c r="D15" s="463" t="s">
        <v>559</v>
      </c>
      <c r="E15" s="464" t="s">
        <v>560</v>
      </c>
      <c r="F15" s="459" t="s">
        <v>511</v>
      </c>
      <c r="G15" s="460" t="s">
        <v>512</v>
      </c>
      <c r="H15" s="461" t="s">
        <v>513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C8" activeCellId="0" sqref="C8"/>
    </sheetView>
  </sheetViews>
  <sheetFormatPr defaultColWidth="8.859375" defaultRowHeight="15" zeroHeight="false" outlineLevelRow="0" outlineLevelCol="0"/>
  <cols>
    <col collapsed="false" customWidth="false" hidden="false" outlineLevel="0" max="1" min="1" style="140" width="8.86"/>
    <col collapsed="false" customWidth="true" hidden="false" outlineLevel="0" max="2" min="2" style="1" width="10.42"/>
    <col collapsed="false" customWidth="true" hidden="false" outlineLevel="0" max="3" min="3" style="467" width="13.42"/>
    <col collapsed="false" customWidth="true" hidden="false" outlineLevel="0" max="6" min="6" style="1" width="6.85"/>
  </cols>
  <sheetData>
    <row r="1" customFormat="false" ht="21" hidden="false" customHeight="true" outlineLevel="0" collapsed="false">
      <c r="A1" s="468" t="s">
        <v>561</v>
      </c>
    </row>
    <row r="3" customFormat="false" ht="15" hidden="false" customHeight="false" outlineLevel="0" collapsed="false">
      <c r="A3" s="140" t="s">
        <v>562</v>
      </c>
    </row>
    <row r="4" customFormat="false" ht="15" hidden="false" customHeight="false" outlineLevel="0" collapsed="false">
      <c r="B4" s="469" t="s">
        <v>563</v>
      </c>
    </row>
    <row r="5" customFormat="false" ht="15" hidden="false" customHeight="false" outlineLevel="0" collapsed="false">
      <c r="B5" s="469" t="s">
        <v>564</v>
      </c>
    </row>
    <row r="7" customFormat="false" ht="15" hidden="false" customHeight="false" outlineLevel="0" collapsed="false">
      <c r="A7" s="140" t="s">
        <v>565</v>
      </c>
    </row>
    <row r="8" customFormat="false" ht="15" hidden="false" customHeight="false" outlineLevel="0" collapsed="false">
      <c r="B8" s="469" t="s">
        <v>566</v>
      </c>
      <c r="C8" s="470" t="s">
        <v>567</v>
      </c>
    </row>
    <row r="10" customFormat="false" ht="15" hidden="false" customHeight="false" outlineLevel="0" collapsed="false">
      <c r="A10" s="140" t="s">
        <v>568</v>
      </c>
    </row>
    <row r="11" customFormat="false" ht="15" hidden="false" customHeight="false" outlineLevel="0" collapsed="false">
      <c r="B11" s="469" t="s">
        <v>569</v>
      </c>
    </row>
    <row r="14" customFormat="false" ht="15" hidden="false" customHeight="false" outlineLevel="0" collapsed="false">
      <c r="A14" s="140" t="s">
        <v>570</v>
      </c>
    </row>
    <row r="15" customFormat="false" ht="15" hidden="false" customHeight="false" outlineLevel="0" collapsed="false">
      <c r="B15" s="469" t="s">
        <v>571</v>
      </c>
    </row>
    <row r="16" customFormat="false" ht="15" hidden="false" customHeight="false" outlineLevel="0" collapsed="false">
      <c r="B16" s="469" t="s">
        <v>572</v>
      </c>
      <c r="G16" s="471" t="s">
        <v>573</v>
      </c>
    </row>
  </sheetData>
  <hyperlinks>
    <hyperlink ref="C8" r:id="rId1" display=" https://www.screener.in/excel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6" activeCellId="0" sqref="A6"/>
    </sheetView>
  </sheetViews>
  <sheetFormatPr defaultColWidth="8.859375" defaultRowHeight="15" zeroHeight="false" outlineLevelRow="0" outlineLevelCol="0"/>
  <cols>
    <col collapsed="false" customWidth="true" hidden="false" outlineLevel="0" max="1" min="1" style="472" width="27.57"/>
    <col collapsed="false" customWidth="true" hidden="false" outlineLevel="0" max="11" min="2" style="472" width="13.42"/>
    <col collapsed="false" customWidth="false" hidden="false" outlineLevel="0" max="16384" min="12" style="472" width="8.86"/>
  </cols>
  <sheetData>
    <row r="1" s="473" customFormat="true" ht="15" hidden="false" customHeight="false" outlineLevel="0" collapsed="false">
      <c r="A1" s="473" t="s">
        <v>574</v>
      </c>
      <c r="B1" s="473" t="s">
        <v>575</v>
      </c>
      <c r="E1" s="474" t="str">
        <f aca="false">IF(B2&lt;&gt;B3, "A NEW VERSION OF THE WORKSHEET IS AVAILABLE", "")</f>
        <v/>
      </c>
      <c r="F1" s="474"/>
      <c r="G1" s="474"/>
      <c r="H1" s="474"/>
      <c r="I1" s="474"/>
      <c r="J1" s="474"/>
      <c r="K1" s="474"/>
    </row>
    <row r="2" customFormat="false" ht="15" hidden="false" customHeight="false" outlineLevel="0" collapsed="false">
      <c r="A2" s="473" t="s">
        <v>576</v>
      </c>
      <c r="B2" s="472" t="n">
        <v>2.1</v>
      </c>
      <c r="E2" s="475" t="s">
        <v>577</v>
      </c>
      <c r="F2" s="475"/>
      <c r="G2" s="475"/>
      <c r="H2" s="475"/>
      <c r="I2" s="475"/>
      <c r="J2" s="475"/>
      <c r="K2" s="475"/>
    </row>
    <row r="3" customFormat="false" ht="15" hidden="false" customHeight="false" outlineLevel="0" collapsed="false">
      <c r="A3" s="473" t="s">
        <v>578</v>
      </c>
      <c r="B3" s="472" t="n">
        <v>2.1</v>
      </c>
    </row>
    <row r="4" customFormat="false" ht="15" hidden="false" customHeight="false" outlineLevel="0" collapsed="false">
      <c r="A4" s="473"/>
    </row>
    <row r="5" customFormat="false" ht="15" hidden="false" customHeight="false" outlineLevel="0" collapsed="false">
      <c r="A5" s="473" t="s">
        <v>579</v>
      </c>
    </row>
    <row r="6" customFormat="false" ht="15" hidden="false" customHeight="false" outlineLevel="0" collapsed="false">
      <c r="A6" s="472" t="s">
        <v>580</v>
      </c>
      <c r="B6" s="472" t="n">
        <f aca="false">IF(B9&gt;0, B9/B8, 0)</f>
        <v>7.38084028937117</v>
      </c>
    </row>
    <row r="7" customFormat="false" ht="15" hidden="false" customHeight="false" outlineLevel="0" collapsed="false">
      <c r="A7" s="472" t="s">
        <v>581</v>
      </c>
      <c r="B7" s="472" t="n">
        <v>2</v>
      </c>
    </row>
    <row r="8" customFormat="false" ht="15" hidden="false" customHeight="false" outlineLevel="0" collapsed="false">
      <c r="A8" s="472" t="s">
        <v>582</v>
      </c>
      <c r="B8" s="472" t="n">
        <v>1797</v>
      </c>
    </row>
    <row r="9" customFormat="false" ht="15" hidden="false" customHeight="false" outlineLevel="0" collapsed="false">
      <c r="A9" s="472" t="s">
        <v>583</v>
      </c>
      <c r="B9" s="472" t="n">
        <v>13263.37</v>
      </c>
    </row>
    <row r="15" customFormat="false" ht="15" hidden="false" customHeight="false" outlineLevel="0" collapsed="false">
      <c r="A15" s="473" t="s">
        <v>584</v>
      </c>
    </row>
    <row r="16" s="478" customFormat="true" ht="15" hidden="false" customHeight="false" outlineLevel="0" collapsed="false">
      <c r="A16" s="476" t="s">
        <v>585</v>
      </c>
      <c r="B16" s="477" t="n">
        <v>42825</v>
      </c>
      <c r="C16" s="477" t="n">
        <v>43190</v>
      </c>
      <c r="D16" s="477" t="n">
        <v>43555</v>
      </c>
      <c r="E16" s="477" t="n">
        <v>43921</v>
      </c>
      <c r="F16" s="477" t="n">
        <v>44286</v>
      </c>
      <c r="G16" s="477" t="n">
        <v>44651</v>
      </c>
      <c r="H16" s="477" t="n">
        <v>45016</v>
      </c>
      <c r="I16" s="477" t="n">
        <v>45382</v>
      </c>
      <c r="J16" s="477" t="n">
        <v>45747</v>
      </c>
      <c r="K16" s="477" t="n">
        <v>46112</v>
      </c>
    </row>
    <row r="17" customFormat="false" ht="15" hidden="false" customHeight="false" outlineLevel="0" collapsed="false">
      <c r="A17" s="472" t="s">
        <v>586</v>
      </c>
      <c r="B17" s="472" t="n">
        <v>654.84</v>
      </c>
      <c r="C17" s="472" t="n">
        <v>1017.4</v>
      </c>
      <c r="D17" s="472" t="n">
        <v>1241.73</v>
      </c>
      <c r="E17" s="472" t="n">
        <v>1347.8</v>
      </c>
      <c r="F17" s="472" t="n">
        <v>1409.75</v>
      </c>
      <c r="G17" s="472" t="n">
        <v>2215.87</v>
      </c>
      <c r="H17" s="472" t="n">
        <v>2800.6</v>
      </c>
      <c r="I17" s="472" t="n">
        <v>3160.75</v>
      </c>
      <c r="J17" s="472" t="n">
        <v>3868.77</v>
      </c>
      <c r="K17" s="472" t="n">
        <v>4265.27</v>
      </c>
    </row>
    <row r="18" customFormat="false" ht="15" hidden="false" customHeight="false" outlineLevel="0" collapsed="false">
      <c r="A18" s="472" t="s">
        <v>455</v>
      </c>
      <c r="B18" s="472" t="n">
        <v>519.38</v>
      </c>
      <c r="C18" s="472" t="n">
        <v>852.76</v>
      </c>
      <c r="D18" s="472" t="n">
        <v>1023.13</v>
      </c>
      <c r="E18" s="472" t="n">
        <v>1114.82</v>
      </c>
      <c r="F18" s="472" t="n">
        <v>1214.89</v>
      </c>
      <c r="G18" s="472" t="n">
        <v>1798.12</v>
      </c>
      <c r="H18" s="472" t="n">
        <v>2316.19</v>
      </c>
      <c r="I18" s="472" t="n">
        <v>2572.29</v>
      </c>
      <c r="J18" s="472" t="n">
        <v>3189.73</v>
      </c>
      <c r="K18" s="472" t="n">
        <v>3591.87</v>
      </c>
    </row>
    <row r="19" customFormat="false" ht="15" hidden="false" customHeight="false" outlineLevel="0" collapsed="false">
      <c r="A19" s="472" t="s">
        <v>587</v>
      </c>
      <c r="B19" s="472" t="n">
        <v>4.17</v>
      </c>
      <c r="C19" s="472" t="n">
        <v>44.22</v>
      </c>
      <c r="D19" s="472" t="n">
        <v>-12.31</v>
      </c>
      <c r="E19" s="472" t="n">
        <v>23.75</v>
      </c>
      <c r="F19" s="472" t="n">
        <v>82.48</v>
      </c>
      <c r="G19" s="472" t="n">
        <v>54.59</v>
      </c>
      <c r="H19" s="472" t="n">
        <v>34.17</v>
      </c>
      <c r="I19" s="472" t="n">
        <v>11.1</v>
      </c>
      <c r="J19" s="472" t="n">
        <v>16.93</v>
      </c>
      <c r="K19" s="472" t="n">
        <v>173.92</v>
      </c>
    </row>
    <row r="20" customFormat="false" ht="15" hidden="false" customHeight="false" outlineLevel="0" collapsed="false">
      <c r="A20" s="472" t="s">
        <v>588</v>
      </c>
      <c r="B20" s="472" t="n">
        <v>5.05</v>
      </c>
      <c r="C20" s="472" t="n">
        <v>8.27</v>
      </c>
      <c r="D20" s="472" t="n">
        <v>10.83</v>
      </c>
      <c r="E20" s="472" t="n">
        <v>13.37</v>
      </c>
      <c r="F20" s="472" t="n">
        <v>14.49</v>
      </c>
      <c r="G20" s="472" t="n">
        <v>16.77</v>
      </c>
      <c r="H20" s="472" t="n">
        <v>17.8</v>
      </c>
      <c r="I20" s="472" t="n">
        <v>23.98</v>
      </c>
      <c r="J20" s="472" t="n">
        <v>25.73</v>
      </c>
    </row>
    <row r="21" customFormat="false" ht="15" hidden="false" customHeight="false" outlineLevel="0" collapsed="false">
      <c r="A21" s="472" t="s">
        <v>589</v>
      </c>
      <c r="B21" s="472" t="n">
        <v>18.06</v>
      </c>
      <c r="C21" s="472" t="n">
        <v>26.34</v>
      </c>
      <c r="D21" s="472" t="n">
        <v>36.08</v>
      </c>
      <c r="E21" s="472" t="n">
        <v>39.34</v>
      </c>
      <c r="F21" s="472" t="n">
        <v>44.07</v>
      </c>
      <c r="G21" s="472" t="n">
        <v>71.7</v>
      </c>
      <c r="H21" s="472" t="n">
        <v>97.42</v>
      </c>
      <c r="I21" s="472" t="n">
        <v>96.29</v>
      </c>
      <c r="J21" s="472" t="n">
        <v>114.36</v>
      </c>
    </row>
    <row r="22" customFormat="false" ht="15" hidden="false" customHeight="false" outlineLevel="0" collapsed="false">
      <c r="A22" s="472" t="s">
        <v>456</v>
      </c>
      <c r="B22" s="472" t="n">
        <v>35.81</v>
      </c>
      <c r="C22" s="472" t="n">
        <v>52.06</v>
      </c>
      <c r="D22" s="472" t="n">
        <v>63.47</v>
      </c>
      <c r="E22" s="472" t="n">
        <v>65.94</v>
      </c>
      <c r="F22" s="472" t="n">
        <v>72.9</v>
      </c>
      <c r="G22" s="472" t="n">
        <v>102.75</v>
      </c>
      <c r="H22" s="472" t="n">
        <v>133.56</v>
      </c>
      <c r="I22" s="472" t="n">
        <v>131.24</v>
      </c>
      <c r="J22" s="472" t="n">
        <v>159.49</v>
      </c>
      <c r="K22" s="472" t="n">
        <v>181.77</v>
      </c>
    </row>
    <row r="23" customFormat="false" ht="15" hidden="false" customHeight="false" outlineLevel="0" collapsed="false">
      <c r="A23" s="472" t="s">
        <v>590</v>
      </c>
      <c r="B23" s="472" t="n">
        <v>14.05</v>
      </c>
      <c r="C23" s="472" t="n">
        <v>21.77</v>
      </c>
      <c r="D23" s="472" t="n">
        <v>22.25</v>
      </c>
      <c r="E23" s="472" t="n">
        <v>16.23</v>
      </c>
      <c r="F23" s="472" t="n">
        <v>19.15</v>
      </c>
      <c r="G23" s="472" t="n">
        <v>30.78</v>
      </c>
      <c r="H23" s="472" t="n">
        <v>39.39</v>
      </c>
      <c r="I23" s="472" t="n">
        <v>39.72</v>
      </c>
      <c r="J23" s="472" t="n">
        <v>46.99</v>
      </c>
    </row>
    <row r="24" customFormat="false" ht="15" hidden="false" customHeight="false" outlineLevel="0" collapsed="false">
      <c r="A24" s="472" t="s">
        <v>591</v>
      </c>
      <c r="B24" s="472" t="n">
        <v>8.15</v>
      </c>
      <c r="C24" s="472" t="n">
        <v>8.81</v>
      </c>
      <c r="D24" s="472" t="n">
        <v>11.8</v>
      </c>
      <c r="E24" s="472" t="n">
        <v>13.12</v>
      </c>
      <c r="F24" s="472" t="n">
        <v>5.46</v>
      </c>
      <c r="G24" s="472" t="n">
        <v>32.86</v>
      </c>
      <c r="H24" s="472" t="n">
        <v>23.42</v>
      </c>
      <c r="I24" s="472" t="n">
        <v>20.88</v>
      </c>
      <c r="J24" s="472" t="n">
        <v>21.15</v>
      </c>
      <c r="K24" s="472" t="n">
        <v>230.62</v>
      </c>
    </row>
    <row r="25" customFormat="false" ht="15" hidden="false" customHeight="false" outlineLevel="0" collapsed="false">
      <c r="A25" s="472" t="s">
        <v>110</v>
      </c>
      <c r="B25" s="472" t="n">
        <v>1.45</v>
      </c>
      <c r="C25" s="472" t="n">
        <v>1.59</v>
      </c>
      <c r="D25" s="472" t="n">
        <v>5.45</v>
      </c>
      <c r="E25" s="472" t="n">
        <v>-12.24</v>
      </c>
      <c r="F25" s="472" t="n">
        <v>0.9</v>
      </c>
      <c r="G25" s="472" t="n">
        <v>5.71</v>
      </c>
      <c r="H25" s="472" t="n">
        <v>88.06</v>
      </c>
      <c r="I25" s="472" t="n">
        <v>76.45</v>
      </c>
      <c r="J25" s="472" t="n">
        <v>110.73</v>
      </c>
      <c r="K25" s="472" t="n">
        <v>76.93</v>
      </c>
    </row>
    <row r="26" customFormat="false" ht="15" hidden="false" customHeight="false" outlineLevel="0" collapsed="false">
      <c r="A26" s="472" t="s">
        <v>111</v>
      </c>
      <c r="B26" s="472" t="n">
        <v>5.85</v>
      </c>
      <c r="C26" s="472" t="n">
        <v>8.69</v>
      </c>
      <c r="D26" s="472" t="n">
        <v>11.56</v>
      </c>
      <c r="E26" s="472" t="n">
        <v>18.13</v>
      </c>
      <c r="F26" s="472" t="n">
        <v>20.3</v>
      </c>
      <c r="G26" s="472" t="n">
        <v>20.56</v>
      </c>
      <c r="H26" s="472" t="n">
        <v>23.96</v>
      </c>
      <c r="I26" s="472" t="n">
        <v>37.99</v>
      </c>
      <c r="J26" s="472" t="n">
        <v>29.09</v>
      </c>
      <c r="K26" s="472" t="n">
        <v>38.83</v>
      </c>
    </row>
    <row r="27" customFormat="false" ht="15" hidden="false" customHeight="false" outlineLevel="0" collapsed="false">
      <c r="A27" s="472" t="s">
        <v>112</v>
      </c>
      <c r="B27" s="472" t="n">
        <v>10.58</v>
      </c>
      <c r="C27" s="472" t="n">
        <v>20.32</v>
      </c>
      <c r="D27" s="472" t="n">
        <v>26.16</v>
      </c>
      <c r="E27" s="472" t="n">
        <v>31.43</v>
      </c>
      <c r="F27" s="472" t="n">
        <v>30.97</v>
      </c>
      <c r="G27" s="472" t="n">
        <v>37.99</v>
      </c>
      <c r="H27" s="472" t="n">
        <v>43.5</v>
      </c>
      <c r="I27" s="472" t="n">
        <v>51.76</v>
      </c>
      <c r="J27" s="472" t="n">
        <v>46.43</v>
      </c>
      <c r="K27" s="472" t="n">
        <v>24.78</v>
      </c>
    </row>
    <row r="28" customFormat="false" ht="15" hidden="false" customHeight="false" outlineLevel="0" collapsed="false">
      <c r="A28" s="472" t="s">
        <v>592</v>
      </c>
      <c r="B28" s="472" t="n">
        <v>43.53</v>
      </c>
      <c r="C28" s="472" t="n">
        <v>64.19</v>
      </c>
      <c r="D28" s="472" t="n">
        <v>29.59</v>
      </c>
      <c r="E28" s="472" t="n">
        <v>46.93</v>
      </c>
      <c r="F28" s="472" t="n">
        <v>70.9</v>
      </c>
      <c r="G28" s="472" t="n">
        <v>164.64</v>
      </c>
      <c r="H28" s="472" t="n">
        <v>227.59</v>
      </c>
      <c r="I28" s="472" t="n">
        <v>274.15</v>
      </c>
      <c r="J28" s="472" t="n">
        <v>363.46</v>
      </c>
      <c r="K28" s="472" t="n">
        <v>448.25</v>
      </c>
    </row>
    <row r="29" customFormat="false" ht="15" hidden="false" customHeight="false" outlineLevel="0" collapsed="false">
      <c r="A29" s="472" t="s">
        <v>114</v>
      </c>
      <c r="B29" s="472" t="n">
        <v>8.38</v>
      </c>
      <c r="C29" s="472" t="n">
        <v>16.55</v>
      </c>
      <c r="D29" s="472" t="n">
        <v>10.2</v>
      </c>
      <c r="E29" s="472" t="n">
        <v>10.35</v>
      </c>
      <c r="F29" s="472" t="n">
        <v>14.08</v>
      </c>
      <c r="G29" s="472" t="n">
        <v>16.19</v>
      </c>
      <c r="H29" s="472" t="n">
        <v>23.5</v>
      </c>
      <c r="I29" s="472" t="n">
        <v>31.87</v>
      </c>
      <c r="J29" s="472" t="n">
        <v>50.56</v>
      </c>
      <c r="K29" s="472" t="n">
        <v>69.92</v>
      </c>
    </row>
    <row r="30" customFormat="false" ht="15" hidden="false" customHeight="false" outlineLevel="0" collapsed="false">
      <c r="A30" s="472" t="s">
        <v>593</v>
      </c>
      <c r="B30" s="472" t="n">
        <v>32.7</v>
      </c>
      <c r="C30" s="472" t="n">
        <v>44.09</v>
      </c>
      <c r="D30" s="472" t="n">
        <v>15.49</v>
      </c>
      <c r="E30" s="472" t="n">
        <v>33.18</v>
      </c>
      <c r="F30" s="472" t="n">
        <v>52.47</v>
      </c>
      <c r="G30" s="472" t="n">
        <v>139.39</v>
      </c>
      <c r="H30" s="472" t="n">
        <v>201.1</v>
      </c>
      <c r="I30" s="472" t="n">
        <v>239.19</v>
      </c>
      <c r="J30" s="472" t="n">
        <v>312.39</v>
      </c>
      <c r="K30" s="472" t="n">
        <v>378.8</v>
      </c>
    </row>
    <row r="31" customFormat="false" ht="15" hidden="false" customHeight="false" outlineLevel="0" collapsed="false">
      <c r="A31" s="472" t="s">
        <v>594</v>
      </c>
      <c r="B31" s="472" t="n">
        <v>4.11</v>
      </c>
      <c r="C31" s="472" t="n">
        <v>4.81</v>
      </c>
      <c r="D31" s="472" t="n">
        <v>2.06</v>
      </c>
      <c r="E31" s="472" t="n">
        <v>4.83</v>
      </c>
      <c r="F31" s="472" t="n">
        <v>7.6</v>
      </c>
      <c r="G31" s="472" t="n">
        <v>20.72</v>
      </c>
      <c r="H31" s="472" t="n">
        <v>30.04</v>
      </c>
      <c r="I31" s="472" t="n">
        <v>35.91</v>
      </c>
      <c r="J31" s="472" t="n">
        <v>46.86</v>
      </c>
    </row>
    <row r="40" customFormat="false" ht="15" hidden="false" customHeight="false" outlineLevel="0" collapsed="false">
      <c r="A40" s="473" t="s">
        <v>595</v>
      </c>
    </row>
    <row r="41" s="478" customFormat="true" ht="15" hidden="false" customHeight="false" outlineLevel="0" collapsed="false">
      <c r="A41" s="476" t="s">
        <v>585</v>
      </c>
      <c r="B41" s="477" t="n">
        <v>45291</v>
      </c>
      <c r="C41" s="477" t="n">
        <v>45382</v>
      </c>
      <c r="D41" s="477" t="n">
        <v>45473</v>
      </c>
      <c r="E41" s="477" t="n">
        <v>45565</v>
      </c>
      <c r="F41" s="477" t="n">
        <v>45657</v>
      </c>
      <c r="G41" s="477" t="n">
        <v>45747</v>
      </c>
      <c r="H41" s="477" t="n">
        <v>45838</v>
      </c>
      <c r="I41" s="477" t="n">
        <v>45930</v>
      </c>
      <c r="J41" s="477" t="n">
        <v>46022</v>
      </c>
      <c r="K41" s="477" t="n">
        <v>46112</v>
      </c>
    </row>
    <row r="42" customFormat="false" ht="15" hidden="false" customHeight="false" outlineLevel="0" collapsed="false">
      <c r="A42" s="472" t="s">
        <v>586</v>
      </c>
      <c r="B42" s="472" t="n">
        <v>757.77</v>
      </c>
      <c r="C42" s="472" t="n">
        <v>863.41</v>
      </c>
      <c r="D42" s="472" t="n">
        <v>907.86</v>
      </c>
      <c r="E42" s="472" t="n">
        <v>927.42</v>
      </c>
      <c r="F42" s="472" t="n">
        <v>996.42</v>
      </c>
      <c r="G42" s="472" t="n">
        <v>1037.07</v>
      </c>
      <c r="H42" s="472" t="n">
        <v>1039.94</v>
      </c>
      <c r="I42" s="472" t="n">
        <v>1035.5</v>
      </c>
      <c r="J42" s="472" t="n">
        <v>1017.07</v>
      </c>
      <c r="K42" s="472" t="n">
        <v>1172.76</v>
      </c>
    </row>
    <row r="43" customFormat="false" ht="15" hidden="false" customHeight="false" outlineLevel="0" collapsed="false">
      <c r="A43" s="472" t="s">
        <v>596</v>
      </c>
      <c r="B43" s="472" t="n">
        <v>677.42</v>
      </c>
      <c r="C43" s="472" t="n">
        <v>791.25</v>
      </c>
      <c r="D43" s="472" t="n">
        <v>820.19</v>
      </c>
      <c r="E43" s="472" t="n">
        <v>863.93</v>
      </c>
      <c r="F43" s="472" t="n">
        <v>915.69</v>
      </c>
      <c r="G43" s="472" t="n">
        <v>944.88</v>
      </c>
      <c r="H43" s="472" t="n">
        <v>939.31</v>
      </c>
      <c r="I43" s="472" t="n">
        <v>933.49</v>
      </c>
      <c r="J43" s="472" t="n">
        <v>897.29</v>
      </c>
      <c r="K43" s="472" t="n">
        <v>1060.25</v>
      </c>
    </row>
    <row r="44" customFormat="false" ht="15" hidden="false" customHeight="false" outlineLevel="0" collapsed="false">
      <c r="A44" s="472" t="s">
        <v>110</v>
      </c>
      <c r="B44" s="472" t="n">
        <v>15.44</v>
      </c>
      <c r="C44" s="472" t="n">
        <v>24.89</v>
      </c>
      <c r="D44" s="472" t="n">
        <v>6.87</v>
      </c>
      <c r="E44" s="472" t="n">
        <v>40.36</v>
      </c>
      <c r="F44" s="472" t="n">
        <v>28.86</v>
      </c>
      <c r="G44" s="472" t="n">
        <v>35.75</v>
      </c>
      <c r="H44" s="472" t="n">
        <v>30.06</v>
      </c>
      <c r="I44" s="472" t="n">
        <v>26.32</v>
      </c>
      <c r="J44" s="472" t="n">
        <v>11.69</v>
      </c>
      <c r="K44" s="472" t="n">
        <v>8.86</v>
      </c>
    </row>
    <row r="45" customFormat="false" ht="15" hidden="false" customHeight="false" outlineLevel="0" collapsed="false">
      <c r="A45" s="472" t="s">
        <v>111</v>
      </c>
      <c r="B45" s="472" t="n">
        <v>9.02</v>
      </c>
      <c r="C45" s="472" t="n">
        <v>12.48</v>
      </c>
      <c r="D45" s="472" t="n">
        <v>6.52</v>
      </c>
      <c r="E45" s="472" t="n">
        <v>7.18</v>
      </c>
      <c r="F45" s="472" t="n">
        <v>7.64</v>
      </c>
      <c r="G45" s="472" t="n">
        <v>7.75</v>
      </c>
      <c r="H45" s="472" t="n">
        <v>8.71</v>
      </c>
      <c r="I45" s="472" t="n">
        <v>9.23</v>
      </c>
      <c r="J45" s="472" t="n">
        <v>9.84</v>
      </c>
      <c r="K45" s="472" t="n">
        <v>11.05</v>
      </c>
    </row>
    <row r="46" customFormat="false" ht="15" hidden="false" customHeight="false" outlineLevel="0" collapsed="false">
      <c r="A46" s="472" t="s">
        <v>112</v>
      </c>
      <c r="B46" s="472" t="n">
        <v>13</v>
      </c>
      <c r="C46" s="472" t="n">
        <v>12.35</v>
      </c>
      <c r="D46" s="472" t="n">
        <v>12.96</v>
      </c>
      <c r="E46" s="472" t="n">
        <v>11.95</v>
      </c>
      <c r="F46" s="472" t="n">
        <v>12.84</v>
      </c>
      <c r="G46" s="472" t="n">
        <v>5.62</v>
      </c>
      <c r="H46" s="472" t="n">
        <v>6.05</v>
      </c>
      <c r="I46" s="472" t="n">
        <v>7.82</v>
      </c>
      <c r="J46" s="472" t="n">
        <v>6.54</v>
      </c>
      <c r="K46" s="472" t="n">
        <v>4.37</v>
      </c>
    </row>
    <row r="47" customFormat="false" ht="15" hidden="false" customHeight="false" outlineLevel="0" collapsed="false">
      <c r="A47" s="472" t="s">
        <v>592</v>
      </c>
      <c r="B47" s="472" t="n">
        <v>73.77</v>
      </c>
      <c r="C47" s="472" t="n">
        <v>72.22</v>
      </c>
      <c r="D47" s="472" t="n">
        <v>75.06</v>
      </c>
      <c r="E47" s="472" t="n">
        <v>84.72</v>
      </c>
      <c r="F47" s="472" t="n">
        <v>89.11</v>
      </c>
      <c r="G47" s="472" t="n">
        <v>114.57</v>
      </c>
      <c r="H47" s="472" t="n">
        <v>115.93</v>
      </c>
      <c r="I47" s="472" t="n">
        <v>111.28</v>
      </c>
      <c r="J47" s="472" t="n">
        <v>115.09</v>
      </c>
      <c r="K47" s="472" t="n">
        <v>105.95</v>
      </c>
    </row>
    <row r="48" customFormat="false" ht="15" hidden="false" customHeight="false" outlineLevel="0" collapsed="false">
      <c r="A48" s="472" t="s">
        <v>114</v>
      </c>
      <c r="B48" s="472" t="n">
        <v>12.3</v>
      </c>
      <c r="C48" s="472" t="n">
        <v>2.8</v>
      </c>
      <c r="D48" s="472" t="n">
        <v>7.06</v>
      </c>
      <c r="E48" s="472" t="n">
        <v>12.8</v>
      </c>
      <c r="F48" s="472" t="n">
        <v>11.05</v>
      </c>
      <c r="G48" s="472" t="n">
        <v>19.65</v>
      </c>
      <c r="H48" s="472" t="n">
        <v>22.87</v>
      </c>
      <c r="I48" s="472" t="n">
        <v>15.31</v>
      </c>
      <c r="J48" s="472" t="n">
        <v>17.6</v>
      </c>
      <c r="K48" s="472" t="n">
        <v>14.14</v>
      </c>
    </row>
    <row r="49" customFormat="false" ht="15" hidden="false" customHeight="false" outlineLevel="0" collapsed="false">
      <c r="A49" s="472" t="s">
        <v>593</v>
      </c>
      <c r="B49" s="472" t="n">
        <v>60.27</v>
      </c>
      <c r="C49" s="472" t="n">
        <v>68.98</v>
      </c>
      <c r="D49" s="472" t="n">
        <v>67.33</v>
      </c>
      <c r="E49" s="472" t="n">
        <v>72</v>
      </c>
      <c r="F49" s="472" t="n">
        <v>77.93</v>
      </c>
      <c r="G49" s="472" t="n">
        <v>95.13</v>
      </c>
      <c r="H49" s="472" t="n">
        <v>93.26</v>
      </c>
      <c r="I49" s="472" t="n">
        <v>95.99</v>
      </c>
      <c r="J49" s="472" t="n">
        <v>97.67</v>
      </c>
      <c r="K49" s="472" t="n">
        <v>91.88</v>
      </c>
    </row>
    <row r="50" customFormat="false" ht="15" hidden="false" customHeight="false" outlineLevel="0" collapsed="false">
      <c r="A50" s="472" t="s">
        <v>597</v>
      </c>
      <c r="B50" s="472" t="n">
        <v>80.35</v>
      </c>
      <c r="C50" s="472" t="n">
        <v>72.16</v>
      </c>
      <c r="D50" s="472" t="n">
        <v>87.67</v>
      </c>
      <c r="E50" s="472" t="n">
        <v>63.49</v>
      </c>
      <c r="F50" s="472" t="n">
        <v>80.73</v>
      </c>
      <c r="G50" s="472" t="n">
        <v>92.19</v>
      </c>
      <c r="H50" s="472" t="n">
        <v>100.63</v>
      </c>
      <c r="I50" s="472" t="n">
        <v>102.01</v>
      </c>
      <c r="J50" s="472" t="n">
        <v>119.78</v>
      </c>
      <c r="K50" s="472" t="n">
        <v>112.51</v>
      </c>
    </row>
    <row r="55" customFormat="false" ht="15" hidden="false" customHeight="false" outlineLevel="0" collapsed="false">
      <c r="A55" s="473" t="s">
        <v>128</v>
      </c>
    </row>
    <row r="56" s="478" customFormat="true" ht="15" hidden="false" customHeight="false" outlineLevel="0" collapsed="false">
      <c r="A56" s="476" t="s">
        <v>585</v>
      </c>
      <c r="B56" s="477" t="n">
        <v>42825</v>
      </c>
      <c r="C56" s="477" t="n">
        <v>43190</v>
      </c>
      <c r="D56" s="477" t="n">
        <v>43555</v>
      </c>
      <c r="E56" s="477" t="n">
        <v>43921</v>
      </c>
      <c r="F56" s="477" t="n">
        <v>44286</v>
      </c>
      <c r="G56" s="477" t="n">
        <v>44651</v>
      </c>
      <c r="H56" s="477" t="n">
        <v>45016</v>
      </c>
      <c r="I56" s="477" t="n">
        <v>45382</v>
      </c>
      <c r="J56" s="477" t="n">
        <v>45747</v>
      </c>
      <c r="K56" s="477" t="n">
        <v>46112</v>
      </c>
    </row>
    <row r="57" customFormat="false" ht="15" hidden="false" customHeight="false" outlineLevel="0" collapsed="false">
      <c r="A57" s="472" t="s">
        <v>598</v>
      </c>
      <c r="B57" s="472" t="n">
        <v>13.69</v>
      </c>
      <c r="C57" s="472" t="n">
        <v>13.74</v>
      </c>
      <c r="D57" s="472" t="n">
        <v>13.75</v>
      </c>
      <c r="E57" s="472" t="n">
        <v>13.81</v>
      </c>
      <c r="F57" s="472" t="n">
        <v>13.81</v>
      </c>
      <c r="G57" s="472" t="n">
        <v>13.81</v>
      </c>
      <c r="H57" s="472" t="n">
        <v>13.81</v>
      </c>
      <c r="I57" s="472" t="n">
        <v>13.81</v>
      </c>
      <c r="J57" s="472" t="n">
        <v>14.76</v>
      </c>
      <c r="K57" s="472" t="n">
        <v>14.76</v>
      </c>
    </row>
    <row r="58" customFormat="false" ht="15" hidden="false" customHeight="false" outlineLevel="0" collapsed="false">
      <c r="A58" s="472" t="s">
        <v>599</v>
      </c>
      <c r="B58" s="472" t="n">
        <v>136.45</v>
      </c>
      <c r="C58" s="472" t="n">
        <v>175.94</v>
      </c>
      <c r="D58" s="472" t="n">
        <v>185.57</v>
      </c>
      <c r="E58" s="472" t="n">
        <v>211.37</v>
      </c>
      <c r="F58" s="472" t="n">
        <v>255.12</v>
      </c>
      <c r="G58" s="472" t="n">
        <v>373.04</v>
      </c>
      <c r="H58" s="472" t="n">
        <v>575.12</v>
      </c>
      <c r="I58" s="472" t="n">
        <v>823.59</v>
      </c>
      <c r="J58" s="472" t="n">
        <v>2055.15</v>
      </c>
      <c r="K58" s="472" t="n">
        <v>2436.87</v>
      </c>
    </row>
    <row r="59" customFormat="false" ht="15" hidden="false" customHeight="false" outlineLevel="0" collapsed="false">
      <c r="A59" s="472" t="s">
        <v>600</v>
      </c>
      <c r="B59" s="472" t="n">
        <v>165.63</v>
      </c>
      <c r="C59" s="472" t="n">
        <v>232.52</v>
      </c>
      <c r="D59" s="472" t="n">
        <v>250.28</v>
      </c>
      <c r="E59" s="472" t="n">
        <v>279.3</v>
      </c>
      <c r="F59" s="472" t="n">
        <v>261.09</v>
      </c>
      <c r="G59" s="472" t="n">
        <v>391.52</v>
      </c>
      <c r="H59" s="472" t="n">
        <v>347.72</v>
      </c>
      <c r="I59" s="472" t="n">
        <v>547.59</v>
      </c>
      <c r="J59" s="472" t="n">
        <v>285.95</v>
      </c>
      <c r="K59" s="472" t="n">
        <v>735.9</v>
      </c>
    </row>
    <row r="60" customFormat="false" ht="15" hidden="false" customHeight="false" outlineLevel="0" collapsed="false">
      <c r="A60" s="472" t="s">
        <v>460</v>
      </c>
      <c r="B60" s="472" t="n">
        <v>39.39</v>
      </c>
      <c r="C60" s="472" t="n">
        <v>69.59</v>
      </c>
      <c r="D60" s="472" t="n">
        <v>122.93</v>
      </c>
      <c r="E60" s="472" t="n">
        <v>109.88</v>
      </c>
      <c r="F60" s="472" t="n">
        <v>196.31</v>
      </c>
      <c r="G60" s="472" t="n">
        <v>219.13</v>
      </c>
      <c r="H60" s="472" t="n">
        <v>268.25</v>
      </c>
      <c r="I60" s="472" t="n">
        <v>217.12</v>
      </c>
      <c r="J60" s="472" t="n">
        <v>158.86</v>
      </c>
      <c r="K60" s="472" t="n">
        <v>229.42</v>
      </c>
    </row>
    <row r="61" s="473" customFormat="true" ht="15" hidden="false" customHeight="false" outlineLevel="0" collapsed="false">
      <c r="A61" s="473" t="s">
        <v>601</v>
      </c>
      <c r="B61" s="473" t="n">
        <v>355.16</v>
      </c>
      <c r="C61" s="473" t="n">
        <v>491.79</v>
      </c>
      <c r="D61" s="473" t="n">
        <v>572.53</v>
      </c>
      <c r="E61" s="473" t="n">
        <v>614.36</v>
      </c>
      <c r="F61" s="473" t="n">
        <v>726.33</v>
      </c>
      <c r="G61" s="473" t="n">
        <v>997.5</v>
      </c>
      <c r="H61" s="473" t="n">
        <v>1204.9</v>
      </c>
      <c r="I61" s="473" t="n">
        <v>1602.11</v>
      </c>
      <c r="J61" s="473" t="n">
        <v>2514.72</v>
      </c>
      <c r="K61" s="473" t="n">
        <v>3416.95</v>
      </c>
    </row>
    <row r="62" customFormat="false" ht="15" hidden="false" customHeight="false" outlineLevel="0" collapsed="false">
      <c r="A62" s="472" t="s">
        <v>133</v>
      </c>
      <c r="B62" s="472" t="n">
        <v>68.09</v>
      </c>
      <c r="C62" s="472" t="n">
        <v>108.91</v>
      </c>
      <c r="D62" s="472" t="n">
        <v>136.52</v>
      </c>
      <c r="E62" s="472" t="n">
        <v>181.64</v>
      </c>
      <c r="F62" s="472" t="n">
        <v>172.37</v>
      </c>
      <c r="G62" s="472" t="n">
        <v>191.26</v>
      </c>
      <c r="H62" s="472" t="n">
        <v>273.32</v>
      </c>
      <c r="I62" s="472" t="n">
        <v>348.5</v>
      </c>
      <c r="J62" s="472" t="n">
        <v>435.71</v>
      </c>
      <c r="K62" s="472" t="n">
        <v>939.26</v>
      </c>
    </row>
    <row r="63" customFormat="false" ht="15" hidden="false" customHeight="false" outlineLevel="0" collapsed="false">
      <c r="A63" s="472" t="s">
        <v>602</v>
      </c>
      <c r="B63" s="472" t="n">
        <v>32.44</v>
      </c>
      <c r="C63" s="472" t="n">
        <v>23.88</v>
      </c>
      <c r="D63" s="472" t="n">
        <v>46.22</v>
      </c>
      <c r="E63" s="472" t="n">
        <v>14.65</v>
      </c>
      <c r="F63" s="472" t="n">
        <v>13.49</v>
      </c>
      <c r="G63" s="472" t="n">
        <v>42.49</v>
      </c>
      <c r="H63" s="472" t="n">
        <v>45.5</v>
      </c>
      <c r="I63" s="472" t="n">
        <v>42.76</v>
      </c>
      <c r="J63" s="472" t="n">
        <v>39.29</v>
      </c>
      <c r="K63" s="472" t="n">
        <v>47.54</v>
      </c>
    </row>
    <row r="64" customFormat="false" ht="15" hidden="false" customHeight="false" outlineLevel="0" collapsed="false">
      <c r="A64" s="472" t="s">
        <v>135</v>
      </c>
      <c r="B64" s="472" t="n">
        <v>0.04</v>
      </c>
      <c r="C64" s="472" t="n">
        <v>0.04</v>
      </c>
      <c r="D64" s="472" t="n">
        <v>0.02</v>
      </c>
      <c r="E64" s="472" t="n">
        <v>0.01</v>
      </c>
      <c r="H64" s="472" t="n">
        <v>1.11</v>
      </c>
      <c r="I64" s="472" t="n">
        <v>16.5</v>
      </c>
      <c r="J64" s="472" t="n">
        <v>527.94</v>
      </c>
      <c r="K64" s="472" t="n">
        <v>412.71</v>
      </c>
    </row>
    <row r="65" customFormat="false" ht="15" hidden="false" customHeight="false" outlineLevel="0" collapsed="false">
      <c r="A65" s="472" t="s">
        <v>603</v>
      </c>
      <c r="B65" s="472" t="n">
        <v>254.59</v>
      </c>
      <c r="C65" s="472" t="n">
        <v>358.96</v>
      </c>
      <c r="D65" s="472" t="n">
        <v>389.77</v>
      </c>
      <c r="E65" s="472" t="n">
        <v>418.06</v>
      </c>
      <c r="F65" s="472" t="n">
        <v>540.47</v>
      </c>
      <c r="G65" s="472" t="n">
        <v>763.75</v>
      </c>
      <c r="H65" s="472" t="n">
        <v>884.97</v>
      </c>
      <c r="I65" s="472" t="n">
        <v>1194.35</v>
      </c>
      <c r="J65" s="472" t="n">
        <v>1511.78</v>
      </c>
      <c r="K65" s="472" t="n">
        <v>2017.44</v>
      </c>
    </row>
    <row r="66" s="473" customFormat="true" ht="15" hidden="false" customHeight="false" outlineLevel="0" collapsed="false">
      <c r="A66" s="473" t="s">
        <v>601</v>
      </c>
      <c r="B66" s="473" t="n">
        <v>355.16</v>
      </c>
      <c r="C66" s="473" t="n">
        <v>491.79</v>
      </c>
      <c r="D66" s="473" t="n">
        <v>572.53</v>
      </c>
      <c r="E66" s="473" t="n">
        <v>614.36</v>
      </c>
      <c r="F66" s="473" t="n">
        <v>726.33</v>
      </c>
      <c r="G66" s="473" t="n">
        <v>997.5</v>
      </c>
      <c r="H66" s="473" t="n">
        <v>1204.9</v>
      </c>
      <c r="I66" s="473" t="n">
        <v>1602.11</v>
      </c>
      <c r="J66" s="473" t="n">
        <v>2514.72</v>
      </c>
      <c r="K66" s="473" t="n">
        <v>3416.95</v>
      </c>
    </row>
    <row r="67" customFormat="false" ht="15" hidden="false" customHeight="false" outlineLevel="0" collapsed="false">
      <c r="A67" s="472" t="s">
        <v>604</v>
      </c>
      <c r="B67" s="472" t="n">
        <v>60.27</v>
      </c>
      <c r="C67" s="472" t="n">
        <v>113.15</v>
      </c>
      <c r="D67" s="472" t="n">
        <v>96.46</v>
      </c>
      <c r="E67" s="472" t="n">
        <v>67.53</v>
      </c>
      <c r="F67" s="472" t="n">
        <v>59.38</v>
      </c>
      <c r="G67" s="472" t="n">
        <v>109.65</v>
      </c>
      <c r="H67" s="472" t="n">
        <v>137.02</v>
      </c>
      <c r="I67" s="472" t="n">
        <v>264.33</v>
      </c>
      <c r="J67" s="472" t="n">
        <v>275.08</v>
      </c>
      <c r="K67" s="472" t="n">
        <v>430.92</v>
      </c>
    </row>
    <row r="68" customFormat="false" ht="15" hidden="false" customHeight="false" outlineLevel="0" collapsed="false">
      <c r="A68" s="472" t="s">
        <v>605</v>
      </c>
      <c r="B68" s="472" t="n">
        <v>109.37</v>
      </c>
      <c r="C68" s="472" t="n">
        <v>158.48</v>
      </c>
      <c r="D68" s="472" t="n">
        <v>182.61</v>
      </c>
      <c r="E68" s="472" t="n">
        <v>224.36</v>
      </c>
      <c r="F68" s="472" t="n">
        <v>357.7</v>
      </c>
      <c r="G68" s="472" t="n">
        <v>513.45</v>
      </c>
      <c r="H68" s="472" t="n">
        <v>596.47</v>
      </c>
      <c r="I68" s="472" t="n">
        <v>674.63</v>
      </c>
      <c r="J68" s="472" t="n">
        <v>616.8</v>
      </c>
      <c r="K68" s="472" t="n">
        <v>1023.27</v>
      </c>
    </row>
    <row r="69" customFormat="false" ht="15" hidden="false" customHeight="false" outlineLevel="0" collapsed="false">
      <c r="A69" s="472" t="s">
        <v>606</v>
      </c>
      <c r="B69" s="472" t="n">
        <v>17.76</v>
      </c>
      <c r="C69" s="472" t="n">
        <v>16.58</v>
      </c>
      <c r="D69" s="472" t="n">
        <v>21.87</v>
      </c>
      <c r="E69" s="472" t="n">
        <v>20.32</v>
      </c>
      <c r="F69" s="472" t="n">
        <v>19.86</v>
      </c>
      <c r="G69" s="472" t="n">
        <v>32.52</v>
      </c>
      <c r="H69" s="472" t="n">
        <v>38.12</v>
      </c>
      <c r="I69" s="472" t="n">
        <v>98.78</v>
      </c>
      <c r="J69" s="472" t="n">
        <v>407.27</v>
      </c>
      <c r="K69" s="472" t="n">
        <v>201.81</v>
      </c>
    </row>
    <row r="70" customFormat="false" ht="15" hidden="false" customHeight="false" outlineLevel="0" collapsed="false">
      <c r="A70" s="472" t="s">
        <v>607</v>
      </c>
      <c r="B70" s="472" t="n">
        <v>68467514</v>
      </c>
      <c r="C70" s="472" t="n">
        <v>68704614</v>
      </c>
      <c r="D70" s="472" t="n">
        <v>68746714</v>
      </c>
      <c r="E70" s="472" t="n">
        <v>69037914</v>
      </c>
      <c r="F70" s="472" t="n">
        <v>69037914</v>
      </c>
      <c r="G70" s="472" t="n">
        <v>69037914</v>
      </c>
      <c r="H70" s="472" t="n">
        <v>69037914</v>
      </c>
      <c r="I70" s="472" t="n">
        <v>69037914</v>
      </c>
      <c r="J70" s="472" t="n">
        <v>73808451</v>
      </c>
    </row>
    <row r="71" customFormat="false" ht="15" hidden="false" customHeight="false" outlineLevel="0" collapsed="false">
      <c r="A71" s="472" t="s">
        <v>608</v>
      </c>
    </row>
    <row r="72" customFormat="false" ht="15" hidden="false" customHeight="false" outlineLevel="0" collapsed="false">
      <c r="A72" s="472" t="s">
        <v>609</v>
      </c>
      <c r="B72" s="472" t="n">
        <v>2</v>
      </c>
      <c r="C72" s="472" t="n">
        <v>2</v>
      </c>
      <c r="D72" s="472" t="n">
        <v>2</v>
      </c>
      <c r="E72" s="472" t="n">
        <v>2</v>
      </c>
      <c r="F72" s="472" t="n">
        <v>2</v>
      </c>
      <c r="G72" s="472" t="n">
        <v>2</v>
      </c>
      <c r="H72" s="472" t="n">
        <v>2</v>
      </c>
      <c r="I72" s="472" t="n">
        <v>2</v>
      </c>
      <c r="J72" s="472" t="n">
        <v>2</v>
      </c>
      <c r="K72" s="472" t="n">
        <v>2</v>
      </c>
    </row>
    <row r="80" customFormat="false" ht="15" hidden="false" customHeight="false" outlineLevel="0" collapsed="false">
      <c r="A80" s="473" t="s">
        <v>610</v>
      </c>
    </row>
    <row r="81" s="478" customFormat="true" ht="15" hidden="false" customHeight="false" outlineLevel="0" collapsed="false">
      <c r="A81" s="476" t="s">
        <v>585</v>
      </c>
      <c r="B81" s="477" t="n">
        <v>42825</v>
      </c>
      <c r="C81" s="477" t="n">
        <v>43190</v>
      </c>
      <c r="D81" s="477" t="n">
        <v>43555</v>
      </c>
      <c r="E81" s="477" t="n">
        <v>43921</v>
      </c>
      <c r="F81" s="477" t="n">
        <v>44286</v>
      </c>
      <c r="G81" s="477" t="n">
        <v>44651</v>
      </c>
      <c r="H81" s="477" t="n">
        <v>45016</v>
      </c>
      <c r="I81" s="477" t="n">
        <v>45382</v>
      </c>
      <c r="J81" s="477" t="n">
        <v>45747</v>
      </c>
      <c r="K81" s="477" t="n">
        <v>46112</v>
      </c>
    </row>
    <row r="82" s="473" customFormat="true" ht="15" hidden="false" customHeight="false" outlineLevel="0" collapsed="false">
      <c r="A82" s="472" t="s">
        <v>611</v>
      </c>
      <c r="B82" s="473" t="n">
        <v>1</v>
      </c>
      <c r="C82" s="473" t="n">
        <v>-2.55</v>
      </c>
      <c r="D82" s="473" t="n">
        <v>89.02</v>
      </c>
      <c r="E82" s="473" t="n">
        <v>33.87</v>
      </c>
      <c r="F82" s="473" t="n">
        <v>76.51</v>
      </c>
      <c r="G82" s="473" t="n">
        <v>9.61</v>
      </c>
      <c r="H82" s="473" t="n">
        <v>199.66</v>
      </c>
      <c r="I82" s="473" t="n">
        <v>42.4</v>
      </c>
      <c r="J82" s="473" t="n">
        <v>282.18</v>
      </c>
      <c r="K82" s="473" t="n">
        <v>169.29</v>
      </c>
    </row>
    <row r="83" customFormat="false" ht="15" hidden="false" customHeight="false" outlineLevel="0" collapsed="false">
      <c r="A83" s="472" t="s">
        <v>612</v>
      </c>
      <c r="B83" s="472" t="n">
        <v>-48.64</v>
      </c>
      <c r="C83" s="472" t="n">
        <v>-41.92</v>
      </c>
      <c r="D83" s="472" t="n">
        <v>-66.35</v>
      </c>
      <c r="E83" s="472" t="n">
        <v>-14.3</v>
      </c>
      <c r="F83" s="472" t="n">
        <v>-19.35</v>
      </c>
      <c r="G83" s="472" t="n">
        <v>-69.45</v>
      </c>
      <c r="H83" s="472" t="n">
        <v>-105.35</v>
      </c>
      <c r="I83" s="472" t="n">
        <v>-157.81</v>
      </c>
      <c r="J83" s="472" t="n">
        <v>-863.63</v>
      </c>
      <c r="K83" s="472" t="n">
        <v>-363.89</v>
      </c>
    </row>
    <row r="84" customFormat="false" ht="15" hidden="false" customHeight="false" outlineLevel="0" collapsed="false">
      <c r="A84" s="472" t="s">
        <v>613</v>
      </c>
      <c r="B84" s="472" t="n">
        <v>49.36</v>
      </c>
      <c r="C84" s="472" t="n">
        <v>40.48</v>
      </c>
      <c r="D84" s="472" t="n">
        <v>-16.66</v>
      </c>
      <c r="E84" s="472" t="n">
        <v>-21.18</v>
      </c>
      <c r="F84" s="472" t="n">
        <v>-56.51</v>
      </c>
      <c r="G84" s="472" t="n">
        <v>71.94</v>
      </c>
      <c r="H84" s="472" t="n">
        <v>-87.36</v>
      </c>
      <c r="I84" s="472" t="n">
        <v>120.85</v>
      </c>
      <c r="J84" s="472" t="n">
        <v>640.25</v>
      </c>
      <c r="K84" s="472" t="n">
        <v>177.86</v>
      </c>
    </row>
    <row r="85" s="473" customFormat="true" ht="15" hidden="false" customHeight="false" outlineLevel="0" collapsed="false">
      <c r="A85" s="472" t="s">
        <v>614</v>
      </c>
      <c r="B85" s="473" t="n">
        <v>1.72</v>
      </c>
      <c r="C85" s="473" t="n">
        <v>-3.99</v>
      </c>
      <c r="D85" s="473" t="n">
        <v>6.01</v>
      </c>
      <c r="E85" s="473" t="n">
        <v>-1.61</v>
      </c>
      <c r="F85" s="473" t="n">
        <v>0.65</v>
      </c>
      <c r="G85" s="473" t="n">
        <v>12.1</v>
      </c>
      <c r="H85" s="473" t="n">
        <v>6.95</v>
      </c>
      <c r="I85" s="473" t="n">
        <v>5.44</v>
      </c>
      <c r="J85" s="473" t="n">
        <v>58.8</v>
      </c>
      <c r="K85" s="473" t="n">
        <v>-16.74</v>
      </c>
    </row>
    <row r="90" s="473" customFormat="true" ht="15" hidden="false" customHeight="false" outlineLevel="0" collapsed="false">
      <c r="A90" s="473" t="s">
        <v>615</v>
      </c>
      <c r="B90" s="473" t="n">
        <v>50.95</v>
      </c>
      <c r="C90" s="473" t="n">
        <v>155.85</v>
      </c>
      <c r="D90" s="473" t="n">
        <v>81.15</v>
      </c>
      <c r="E90" s="473" t="n">
        <v>33.45</v>
      </c>
      <c r="F90" s="473" t="n">
        <v>90.5</v>
      </c>
      <c r="G90" s="473" t="n">
        <v>317.75</v>
      </c>
      <c r="H90" s="473" t="n">
        <v>484.65</v>
      </c>
      <c r="I90" s="473" t="n">
        <v>998.75</v>
      </c>
      <c r="J90" s="473" t="n">
        <v>1831.95</v>
      </c>
      <c r="K90" s="473" t="n">
        <v>1318.1</v>
      </c>
    </row>
    <row r="92" s="473" customFormat="true" ht="15" hidden="false" customHeight="false" outlineLevel="0" collapsed="false">
      <c r="A92" s="473" t="s">
        <v>616</v>
      </c>
    </row>
    <row r="93" customFormat="false" ht="15" hidden="false" customHeight="false" outlineLevel="0" collapsed="false">
      <c r="A93" s="472" t="s">
        <v>617</v>
      </c>
      <c r="B93" s="479" t="n">
        <v>6.85</v>
      </c>
      <c r="C93" s="479" t="n">
        <v>6.87</v>
      </c>
      <c r="D93" s="479" t="n">
        <v>6.87</v>
      </c>
      <c r="E93" s="479" t="n">
        <v>6.9</v>
      </c>
      <c r="F93" s="479" t="n">
        <v>6.9</v>
      </c>
      <c r="G93" s="479" t="n">
        <v>6.9</v>
      </c>
      <c r="H93" s="479" t="n">
        <v>6.9</v>
      </c>
      <c r="I93" s="479" t="n">
        <v>6.9</v>
      </c>
      <c r="J93" s="479" t="n">
        <v>7.38</v>
      </c>
      <c r="K93" s="479" t="n">
        <v>7.38</v>
      </c>
    </row>
  </sheetData>
  <mergeCells count="2">
    <mergeCell ref="E1:K1"/>
    <mergeCell ref="E2:K2"/>
  </mergeCells>
  <conditionalFormatting sqref="E1:K1">
    <cfRule type="cellIs" priority="2" operator="notEqual" aboveAverage="0" equalAverage="0" bottom="0" percent="0" rank="0" text="" dxfId="3">
      <formula>""</formula>
    </cfRule>
  </conditionalFormatting>
  <hyperlinks>
    <hyperlink ref="E1" r:id="rId1" display="https://www.screener.in/excel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6796875" defaultRowHeight="15" zeroHeight="false" outlineLevelRow="0" outlineLevelCol="0"/>
  <cols>
    <col collapsed="false" customWidth="true" hidden="false" outlineLevel="0" max="1" min="1" style="480" width="30.14"/>
    <col collapsed="false" customWidth="true" hidden="false" outlineLevel="0" max="2" min="2" style="480" width="14.14"/>
    <col collapsed="false" customWidth="true" hidden="false" outlineLevel="0" max="3" min="3" style="480" width="11.85"/>
    <col collapsed="false" customWidth="true" hidden="false" outlineLevel="0" max="4" min="4" style="480" width="11"/>
    <col collapsed="false" customWidth="true" hidden="false" outlineLevel="0" max="5" min="5" style="480" width="13.57"/>
  </cols>
  <sheetData>
    <row r="1" customFormat="false" ht="15" hidden="false" customHeight="false" outlineLevel="0" collapsed="false">
      <c r="A1" s="481" t="s">
        <v>618</v>
      </c>
      <c r="B1" s="481" t="s">
        <v>619</v>
      </c>
      <c r="C1" s="482" t="s">
        <v>620</v>
      </c>
      <c r="D1" s="481" t="s">
        <v>621</v>
      </c>
      <c r="E1" s="481" t="s">
        <v>622</v>
      </c>
    </row>
    <row r="2" customFormat="false" ht="15" hidden="false" customHeight="false" outlineLevel="0" collapsed="false">
      <c r="A2" s="483" t="s">
        <v>623</v>
      </c>
      <c r="B2" s="483" t="s">
        <v>624</v>
      </c>
      <c r="C2" s="480" t="n">
        <v>132628</v>
      </c>
      <c r="D2" s="483" t="s">
        <v>625</v>
      </c>
      <c r="E2" s="483" t="s">
        <v>626</v>
      </c>
    </row>
    <row r="3" customFormat="false" ht="15" hidden="false" customHeight="false" outlineLevel="0" collapsed="false">
      <c r="A3" s="483" t="s">
        <v>627</v>
      </c>
      <c r="B3" s="483" t="s">
        <v>628</v>
      </c>
      <c r="C3" s="480" t="n">
        <v>123395</v>
      </c>
      <c r="D3" s="483" t="s">
        <v>629</v>
      </c>
      <c r="E3" s="483" t="s">
        <v>630</v>
      </c>
    </row>
    <row r="4" customFormat="false" ht="15" hidden="false" customHeight="false" outlineLevel="0" collapsed="false">
      <c r="A4" s="483" t="s">
        <v>631</v>
      </c>
      <c r="B4" s="483" t="s">
        <v>632</v>
      </c>
      <c r="C4" s="480" t="n">
        <v>228972</v>
      </c>
      <c r="D4" s="483" t="s">
        <v>633</v>
      </c>
      <c r="E4" s="483" t="s">
        <v>634</v>
      </c>
    </row>
    <row r="5" customFormat="false" ht="15" hidden="false" customHeight="false" outlineLevel="0" collapsed="false">
      <c r="A5" s="483" t="s">
        <v>635</v>
      </c>
      <c r="B5" s="483" t="s">
        <v>636</v>
      </c>
      <c r="C5" s="480" t="n">
        <v>126881</v>
      </c>
      <c r="D5" s="483" t="s">
        <v>637</v>
      </c>
      <c r="E5" s="483" t="s">
        <v>638</v>
      </c>
    </row>
    <row r="6" customFormat="false" ht="15" hidden="false" customHeight="false" outlineLevel="0" collapsed="false">
      <c r="A6" s="483" t="s">
        <v>639</v>
      </c>
      <c r="B6" s="483" t="s">
        <v>640</v>
      </c>
      <c r="C6" s="480" t="n">
        <v>124348</v>
      </c>
      <c r="D6" s="483" t="s">
        <v>641</v>
      </c>
      <c r="E6" s="483" t="s">
        <v>642</v>
      </c>
    </row>
    <row r="7" customFormat="false" ht="15" hidden="false" customHeight="false" outlineLevel="0" collapsed="false">
      <c r="A7" s="483" t="s">
        <v>643</v>
      </c>
      <c r="B7" s="483" t="s">
        <v>644</v>
      </c>
      <c r="C7" s="480" t="n">
        <v>124208</v>
      </c>
      <c r="D7" s="483" t="s">
        <v>645</v>
      </c>
      <c r="E7" s="483" t="s">
        <v>646</v>
      </c>
    </row>
    <row r="8" customFormat="false" ht="15" hidden="false" customHeight="false" outlineLevel="0" collapsed="false">
      <c r="A8" s="483" t="s">
        <v>647</v>
      </c>
      <c r="B8" s="483" t="s">
        <v>648</v>
      </c>
      <c r="C8" s="480" t="n">
        <v>299121</v>
      </c>
      <c r="D8" s="483" t="s">
        <v>649</v>
      </c>
      <c r="E8" s="483" t="s">
        <v>650</v>
      </c>
    </row>
    <row r="9" customFormat="false" ht="15" hidden="false" customHeight="false" outlineLevel="0" collapsed="false">
      <c r="A9" s="483" t="s">
        <v>651</v>
      </c>
      <c r="B9" s="483" t="s">
        <v>652</v>
      </c>
      <c r="C9" s="480" t="n">
        <v>267615</v>
      </c>
      <c r="D9" s="483" t="s">
        <v>653</v>
      </c>
      <c r="E9" s="483" t="s">
        <v>654</v>
      </c>
    </row>
    <row r="10" customFormat="false" ht="15" hidden="false" customHeight="false" outlineLevel="0" collapsed="false">
      <c r="A10" s="483" t="s">
        <v>655</v>
      </c>
      <c r="B10" s="483" t="s">
        <v>656</v>
      </c>
      <c r="C10" s="480" t="n">
        <v>100002</v>
      </c>
      <c r="D10" s="483" t="s">
        <v>657</v>
      </c>
      <c r="E10" s="483" t="s">
        <v>658</v>
      </c>
    </row>
    <row r="11" customFormat="false" ht="15" hidden="false" customHeight="false" outlineLevel="0" collapsed="false">
      <c r="A11" s="483" t="s">
        <v>659</v>
      </c>
      <c r="B11" s="483" t="s">
        <v>660</v>
      </c>
      <c r="C11" s="480" t="n">
        <v>100488</v>
      </c>
      <c r="D11" s="483" t="s">
        <v>661</v>
      </c>
      <c r="E11" s="483" t="s">
        <v>662</v>
      </c>
    </row>
    <row r="12" customFormat="false" ht="15" hidden="false" customHeight="false" outlineLevel="0" collapsed="false">
      <c r="A12" s="483" t="s">
        <v>663</v>
      </c>
      <c r="B12" s="483" t="s">
        <v>664</v>
      </c>
      <c r="C12" s="480" t="n">
        <v>100410</v>
      </c>
      <c r="D12" s="483" t="s">
        <v>665</v>
      </c>
      <c r="E12" s="483" t="s">
        <v>666</v>
      </c>
    </row>
    <row r="13" customFormat="false" ht="15" hidden="false" customHeight="false" outlineLevel="0" collapsed="false">
      <c r="A13" s="483" t="s">
        <v>667</v>
      </c>
      <c r="B13" s="483" t="s">
        <v>668</v>
      </c>
      <c r="C13" s="480" t="n">
        <v>132268</v>
      </c>
      <c r="D13" s="483" t="s">
        <v>669</v>
      </c>
      <c r="E13" s="483" t="s">
        <v>670</v>
      </c>
    </row>
    <row r="14" customFormat="false" ht="15" hidden="false" customHeight="false" outlineLevel="0" collapsed="false">
      <c r="A14" s="483" t="s">
        <v>671</v>
      </c>
      <c r="B14" s="483" t="s">
        <v>672</v>
      </c>
      <c r="C14" s="480" t="n">
        <v>124091</v>
      </c>
      <c r="D14" s="483" t="s">
        <v>673</v>
      </c>
      <c r="E14" s="483" t="s">
        <v>674</v>
      </c>
    </row>
    <row r="15" customFormat="false" ht="15" hidden="false" customHeight="false" outlineLevel="0" collapsed="false">
      <c r="A15" s="483" t="s">
        <v>675</v>
      </c>
      <c r="B15" s="483" t="s">
        <v>676</v>
      </c>
      <c r="C15" s="480" t="n">
        <v>132762</v>
      </c>
      <c r="D15" s="483" t="s">
        <v>677</v>
      </c>
      <c r="E15" s="483" t="s">
        <v>678</v>
      </c>
    </row>
    <row r="16" customFormat="false" ht="15" hidden="false" customHeight="false" outlineLevel="0" collapsed="false">
      <c r="A16" s="483" t="s">
        <v>679</v>
      </c>
      <c r="B16" s="483" t="s">
        <v>680</v>
      </c>
      <c r="C16" s="480" t="n">
        <v>112599</v>
      </c>
      <c r="D16" s="483" t="s">
        <v>681</v>
      </c>
      <c r="E16" s="483" t="s">
        <v>682</v>
      </c>
    </row>
    <row r="17" customFormat="false" ht="15" hidden="false" customHeight="false" outlineLevel="0" collapsed="false">
      <c r="A17" s="483" t="s">
        <v>683</v>
      </c>
      <c r="B17" s="483" t="s">
        <v>684</v>
      </c>
      <c r="C17" s="480" t="n">
        <v>289554</v>
      </c>
      <c r="D17" s="483" t="s">
        <v>685</v>
      </c>
      <c r="E17" s="483" t="s">
        <v>686</v>
      </c>
    </row>
    <row r="18" customFormat="false" ht="15" hidden="false" customHeight="false" outlineLevel="0" collapsed="false">
      <c r="A18" s="483" t="s">
        <v>687</v>
      </c>
      <c r="B18" s="483" t="s">
        <v>688</v>
      </c>
      <c r="C18" s="480" t="n">
        <v>132921</v>
      </c>
      <c r="D18" s="483" t="s">
        <v>689</v>
      </c>
      <c r="E18" s="483" t="s">
        <v>690</v>
      </c>
    </row>
    <row r="19" customFormat="false" ht="15" hidden="false" customHeight="false" outlineLevel="0" collapsed="false">
      <c r="A19" s="483" t="s">
        <v>691</v>
      </c>
      <c r="B19" s="483" t="s">
        <v>692</v>
      </c>
      <c r="C19" s="480" t="n">
        <v>209867</v>
      </c>
      <c r="D19" s="483" t="s">
        <v>693</v>
      </c>
      <c r="E19" s="483" t="s">
        <v>694</v>
      </c>
    </row>
    <row r="20" customFormat="false" ht="15" hidden="false" customHeight="false" outlineLevel="0" collapsed="false">
      <c r="A20" s="483" t="s">
        <v>695</v>
      </c>
      <c r="B20" s="483" t="s">
        <v>696</v>
      </c>
      <c r="C20" s="480" t="n">
        <v>228347</v>
      </c>
      <c r="D20" s="483" t="s">
        <v>697</v>
      </c>
      <c r="E20" s="483" t="s">
        <v>698</v>
      </c>
    </row>
    <row r="21" customFormat="false" ht="15" hidden="false" customHeight="false" outlineLevel="0" collapsed="false">
      <c r="A21" s="483" t="s">
        <v>699</v>
      </c>
      <c r="B21" s="483" t="s">
        <v>700</v>
      </c>
      <c r="C21" s="480" t="n">
        <v>271875</v>
      </c>
      <c r="D21" s="483" t="s">
        <v>701</v>
      </c>
      <c r="E21" s="483" t="s">
        <v>702</v>
      </c>
    </row>
    <row r="22" customFormat="false" ht="15" hidden="false" customHeight="false" outlineLevel="0" collapsed="false">
      <c r="A22" s="483" t="s">
        <v>703</v>
      </c>
      <c r="B22" s="483" t="s">
        <v>704</v>
      </c>
      <c r="C22" s="480" t="n">
        <v>119183</v>
      </c>
      <c r="D22" s="483" t="s">
        <v>705</v>
      </c>
      <c r="E22" s="483" t="s">
        <v>706</v>
      </c>
    </row>
    <row r="23" customFormat="false" ht="15" hidden="false" customHeight="false" outlineLevel="0" collapsed="false">
      <c r="A23" s="483" t="s">
        <v>707</v>
      </c>
      <c r="B23" s="483" t="s">
        <v>708</v>
      </c>
      <c r="C23" s="480" t="n">
        <v>242461</v>
      </c>
      <c r="D23" s="483" t="s">
        <v>709</v>
      </c>
      <c r="E23" s="483" t="s">
        <v>710</v>
      </c>
    </row>
    <row r="24" customFormat="false" ht="15" hidden="false" customHeight="false" outlineLevel="0" collapsed="false">
      <c r="A24" s="483" t="s">
        <v>711</v>
      </c>
      <c r="B24" s="483" t="s">
        <v>712</v>
      </c>
      <c r="C24" s="480" t="n">
        <v>210591</v>
      </c>
      <c r="D24" s="483" t="s">
        <v>713</v>
      </c>
      <c r="E24" s="483" t="s">
        <v>714</v>
      </c>
    </row>
    <row r="25" customFormat="false" ht="15" hidden="false" customHeight="false" outlineLevel="0" collapsed="false">
      <c r="A25" s="483" t="s">
        <v>715</v>
      </c>
      <c r="B25" s="483" t="s">
        <v>716</v>
      </c>
      <c r="C25" s="480" t="n">
        <v>209979</v>
      </c>
      <c r="D25" s="483" t="s">
        <v>717</v>
      </c>
      <c r="E25" s="483" t="s">
        <v>718</v>
      </c>
    </row>
    <row r="26" customFormat="false" ht="15" hidden="false" customHeight="false" outlineLevel="0" collapsed="false">
      <c r="A26" s="483" t="s">
        <v>719</v>
      </c>
      <c r="B26" s="483"/>
      <c r="C26" s="480" t="n">
        <v>283206</v>
      </c>
      <c r="D26" s="483" t="s">
        <v>720</v>
      </c>
      <c r="E26" s="483" t="s">
        <v>721</v>
      </c>
    </row>
    <row r="27" customFormat="false" ht="15" hidden="false" customHeight="false" outlineLevel="0" collapsed="false">
      <c r="A27" s="483" t="s">
        <v>722</v>
      </c>
      <c r="B27" s="483" t="s">
        <v>723</v>
      </c>
      <c r="C27" s="480" t="n">
        <v>117041</v>
      </c>
      <c r="D27" s="483" t="s">
        <v>724</v>
      </c>
      <c r="E27" s="483" t="s">
        <v>725</v>
      </c>
    </row>
    <row r="28" customFormat="false" ht="15" hidden="false" customHeight="false" outlineLevel="0" collapsed="false">
      <c r="A28" s="483" t="s">
        <v>726</v>
      </c>
      <c r="B28" s="483" t="s">
        <v>727</v>
      </c>
      <c r="C28" s="480" t="n">
        <v>207679</v>
      </c>
      <c r="D28" s="483" t="s">
        <v>728</v>
      </c>
      <c r="E28" s="483" t="s">
        <v>729</v>
      </c>
    </row>
    <row r="29" customFormat="false" ht="15" hidden="false" customHeight="false" outlineLevel="0" collapsed="false">
      <c r="A29" s="483" t="s">
        <v>730</v>
      </c>
      <c r="B29" s="483" t="s">
        <v>731</v>
      </c>
      <c r="C29" s="480" t="n">
        <v>100003</v>
      </c>
      <c r="D29" s="483" t="s">
        <v>732</v>
      </c>
      <c r="E29" s="483" t="s">
        <v>733</v>
      </c>
    </row>
    <row r="30" customFormat="false" ht="15" hidden="false" customHeight="false" outlineLevel="0" collapsed="false">
      <c r="A30" s="483" t="s">
        <v>734</v>
      </c>
      <c r="B30" s="483" t="s">
        <v>735</v>
      </c>
      <c r="C30" s="480" t="n">
        <v>229238</v>
      </c>
      <c r="D30" s="483" t="s">
        <v>736</v>
      </c>
      <c r="E30" s="483" t="s">
        <v>737</v>
      </c>
    </row>
    <row r="31" customFormat="false" ht="15" hidden="false" customHeight="false" outlineLevel="0" collapsed="false">
      <c r="A31" s="483" t="s">
        <v>738</v>
      </c>
      <c r="B31" s="483" t="s">
        <v>739</v>
      </c>
      <c r="C31" s="480" t="n">
        <v>131921</v>
      </c>
      <c r="D31" s="483" t="s">
        <v>740</v>
      </c>
      <c r="E31" s="483" t="s">
        <v>741</v>
      </c>
    </row>
    <row r="32" customFormat="false" ht="15" hidden="false" customHeight="false" outlineLevel="0" collapsed="false">
      <c r="A32" s="483" t="s">
        <v>742</v>
      </c>
      <c r="B32" s="483" t="s">
        <v>743</v>
      </c>
      <c r="C32" s="480" t="n">
        <v>100215</v>
      </c>
      <c r="D32" s="483" t="s">
        <v>744</v>
      </c>
      <c r="E32" s="483" t="s">
        <v>745</v>
      </c>
    </row>
    <row r="33" customFormat="false" ht="15" hidden="false" customHeight="false" outlineLevel="0" collapsed="false">
      <c r="A33" s="483" t="s">
        <v>746</v>
      </c>
      <c r="B33" s="483" t="s">
        <v>747</v>
      </c>
      <c r="C33" s="480" t="n">
        <v>132811</v>
      </c>
      <c r="D33" s="483" t="s">
        <v>748</v>
      </c>
      <c r="E33" s="483" t="s">
        <v>749</v>
      </c>
    </row>
    <row r="34" customFormat="false" ht="15" hidden="false" customHeight="false" outlineLevel="0" collapsed="false">
      <c r="A34" s="483" t="s">
        <v>750</v>
      </c>
      <c r="B34" s="483" t="s">
        <v>751</v>
      </c>
      <c r="C34" s="480" t="n">
        <v>132683</v>
      </c>
      <c r="D34" s="483" t="s">
        <v>752</v>
      </c>
      <c r="E34" s="483" t="s">
        <v>753</v>
      </c>
    </row>
    <row r="35" customFormat="false" ht="15" hidden="false" customHeight="false" outlineLevel="0" collapsed="false">
      <c r="A35" s="483" t="s">
        <v>754</v>
      </c>
      <c r="B35" s="483" t="s">
        <v>755</v>
      </c>
      <c r="C35" s="480" t="n">
        <v>132331</v>
      </c>
      <c r="D35" s="483" t="s">
        <v>756</v>
      </c>
      <c r="E35" s="483" t="s">
        <v>757</v>
      </c>
    </row>
    <row r="36" customFormat="false" ht="15" hidden="false" customHeight="false" outlineLevel="0" collapsed="false">
      <c r="A36" s="483" t="s">
        <v>758</v>
      </c>
      <c r="B36" s="483" t="s">
        <v>759</v>
      </c>
      <c r="C36" s="480" t="n">
        <v>113349</v>
      </c>
      <c r="D36" s="483" t="s">
        <v>760</v>
      </c>
      <c r="E36" s="483" t="s">
        <v>761</v>
      </c>
    </row>
    <row r="37" customFormat="false" ht="15" hidden="false" customHeight="false" outlineLevel="0" collapsed="false">
      <c r="A37" s="483" t="s">
        <v>762</v>
      </c>
      <c r="B37" s="483" t="s">
        <v>763</v>
      </c>
      <c r="C37" s="480" t="n">
        <v>100710</v>
      </c>
      <c r="D37" s="483" t="s">
        <v>764</v>
      </c>
      <c r="E37" s="483" t="s">
        <v>765</v>
      </c>
    </row>
    <row r="38" customFormat="false" ht="15" hidden="false" customHeight="false" outlineLevel="0" collapsed="false">
      <c r="A38" s="483" t="s">
        <v>766</v>
      </c>
      <c r="B38" s="483" t="s">
        <v>767</v>
      </c>
      <c r="C38" s="480" t="n">
        <v>106235</v>
      </c>
      <c r="D38" s="483" t="s">
        <v>768</v>
      </c>
      <c r="E38" s="483" t="s">
        <v>769</v>
      </c>
    </row>
    <row r="39" customFormat="false" ht="15" hidden="false" customHeight="false" outlineLevel="0" collapsed="false">
      <c r="A39" s="483" t="s">
        <v>770</v>
      </c>
      <c r="B39" s="483" t="s">
        <v>771</v>
      </c>
      <c r="C39" s="480" t="n">
        <v>224849</v>
      </c>
      <c r="D39" s="483" t="s">
        <v>772</v>
      </c>
      <c r="E39" s="483" t="s">
        <v>773</v>
      </c>
    </row>
    <row r="40" customFormat="false" ht="15" hidden="false" customHeight="false" outlineLevel="0" collapsed="false">
      <c r="A40" s="483" t="s">
        <v>774</v>
      </c>
      <c r="B40" s="483" t="s">
        <v>775</v>
      </c>
      <c r="C40" s="480" t="n">
        <v>131147</v>
      </c>
      <c r="D40" s="483" t="s">
        <v>776</v>
      </c>
      <c r="E40" s="483" t="s">
        <v>777</v>
      </c>
    </row>
    <row r="41" customFormat="false" ht="15" hidden="false" customHeight="false" outlineLevel="0" collapsed="false">
      <c r="A41" s="483" t="s">
        <v>778</v>
      </c>
      <c r="B41" s="483" t="s">
        <v>779</v>
      </c>
      <c r="C41" s="480" t="n">
        <v>212427</v>
      </c>
      <c r="D41" s="483" t="s">
        <v>780</v>
      </c>
      <c r="E41" s="483" t="s">
        <v>781</v>
      </c>
    </row>
    <row r="42" customFormat="false" ht="15" hidden="false" customHeight="false" outlineLevel="0" collapsed="false">
      <c r="A42" s="483" t="s">
        <v>782</v>
      </c>
      <c r="B42" s="483" t="s">
        <v>783</v>
      </c>
      <c r="C42" s="480" t="n">
        <v>106767</v>
      </c>
      <c r="D42" s="483" t="s">
        <v>784</v>
      </c>
      <c r="E42" s="483" t="s">
        <v>785</v>
      </c>
    </row>
    <row r="43" customFormat="false" ht="15" hidden="false" customHeight="false" outlineLevel="0" collapsed="false">
      <c r="A43" s="483" t="s">
        <v>786</v>
      </c>
      <c r="B43" s="483" t="s">
        <v>787</v>
      </c>
      <c r="C43" s="480" t="n">
        <v>132749</v>
      </c>
      <c r="D43" s="483" t="s">
        <v>788</v>
      </c>
      <c r="E43" s="483" t="s">
        <v>789</v>
      </c>
    </row>
    <row r="44" customFormat="false" ht="15" hidden="false" customHeight="false" outlineLevel="0" collapsed="false">
      <c r="A44" s="483" t="s">
        <v>790</v>
      </c>
      <c r="B44" s="483" t="s">
        <v>791</v>
      </c>
      <c r="C44" s="480" t="n">
        <v>132875</v>
      </c>
      <c r="D44" s="483" t="s">
        <v>792</v>
      </c>
      <c r="E44" s="483" t="s">
        <v>793</v>
      </c>
    </row>
    <row r="45" customFormat="false" ht="15" hidden="false" customHeight="false" outlineLevel="0" collapsed="false">
      <c r="A45" s="483" t="s">
        <v>794</v>
      </c>
      <c r="B45" s="483" t="s">
        <v>795</v>
      </c>
      <c r="C45" s="480" t="n">
        <v>132633</v>
      </c>
      <c r="D45" s="483" t="s">
        <v>796</v>
      </c>
      <c r="E45" s="483" t="s">
        <v>797</v>
      </c>
    </row>
    <row r="46" customFormat="false" ht="15" hidden="false" customHeight="false" outlineLevel="0" collapsed="false">
      <c r="A46" s="483" t="s">
        <v>798</v>
      </c>
      <c r="B46" s="483" t="s">
        <v>799</v>
      </c>
      <c r="C46" s="480" t="n">
        <v>121070</v>
      </c>
      <c r="D46" s="483" t="s">
        <v>800</v>
      </c>
      <c r="E46" s="483" t="s">
        <v>801</v>
      </c>
    </row>
    <row r="47" customFormat="false" ht="15" hidden="false" customHeight="false" outlineLevel="0" collapsed="false">
      <c r="A47" s="483" t="s">
        <v>802</v>
      </c>
      <c r="B47" s="483" t="s">
        <v>803</v>
      </c>
      <c r="C47" s="480" t="n">
        <v>100008</v>
      </c>
      <c r="D47" s="483" t="s">
        <v>804</v>
      </c>
      <c r="E47" s="483" t="s">
        <v>805</v>
      </c>
    </row>
    <row r="48" customFormat="false" ht="15" hidden="false" customHeight="false" outlineLevel="0" collapsed="false">
      <c r="A48" s="483" t="s">
        <v>806</v>
      </c>
      <c r="B48" s="483" t="s">
        <v>807</v>
      </c>
      <c r="C48" s="480" t="n">
        <v>225154</v>
      </c>
      <c r="D48" s="483" t="s">
        <v>808</v>
      </c>
      <c r="E48" s="483" t="s">
        <v>809</v>
      </c>
    </row>
    <row r="49" customFormat="false" ht="15" hidden="false" customHeight="false" outlineLevel="0" collapsed="false">
      <c r="A49" s="483" t="s">
        <v>810</v>
      </c>
      <c r="B49" s="483" t="s">
        <v>811</v>
      </c>
      <c r="C49" s="480" t="n">
        <v>131978</v>
      </c>
      <c r="D49" s="483" t="s">
        <v>812</v>
      </c>
      <c r="E49" s="483" t="s">
        <v>813</v>
      </c>
    </row>
    <row r="50" customFormat="false" ht="15" hidden="false" customHeight="false" outlineLevel="0" collapsed="false">
      <c r="A50" s="483" t="s">
        <v>814</v>
      </c>
      <c r="B50" s="483" t="s">
        <v>815</v>
      </c>
      <c r="C50" s="480" t="n">
        <v>100425</v>
      </c>
      <c r="D50" s="483" t="s">
        <v>816</v>
      </c>
      <c r="E50" s="483" t="s">
        <v>817</v>
      </c>
    </row>
    <row r="51" customFormat="false" ht="15" hidden="false" customHeight="false" outlineLevel="0" collapsed="false">
      <c r="A51" s="483" t="s">
        <v>818</v>
      </c>
      <c r="B51" s="483" t="s">
        <v>819</v>
      </c>
      <c r="C51" s="480" t="n">
        <v>232793</v>
      </c>
      <c r="D51" s="483" t="s">
        <v>820</v>
      </c>
      <c r="E51" s="483" t="s">
        <v>821</v>
      </c>
    </row>
    <row r="52" customFormat="false" ht="15" hidden="false" customHeight="false" outlineLevel="0" collapsed="false">
      <c r="A52" s="483" t="s">
        <v>822</v>
      </c>
      <c r="B52" s="483"/>
      <c r="C52" s="480" t="n">
        <v>106248</v>
      </c>
      <c r="D52" s="483" t="s">
        <v>823</v>
      </c>
      <c r="E52" s="483" t="s">
        <v>824</v>
      </c>
    </row>
    <row r="53" customFormat="false" ht="15" hidden="false" customHeight="false" outlineLevel="0" collapsed="false">
      <c r="A53" s="483" t="s">
        <v>825</v>
      </c>
      <c r="B53" s="483" t="s">
        <v>826</v>
      </c>
      <c r="C53" s="480" t="n">
        <v>190006</v>
      </c>
      <c r="D53" s="483" t="s">
        <v>827</v>
      </c>
      <c r="E53" s="483" t="s">
        <v>828</v>
      </c>
    </row>
    <row r="54" customFormat="false" ht="15" hidden="false" customHeight="false" outlineLevel="0" collapsed="false">
      <c r="A54" s="483" t="s">
        <v>829</v>
      </c>
      <c r="B54" s="483" t="s">
        <v>830</v>
      </c>
      <c r="C54" s="480" t="n">
        <v>226156</v>
      </c>
      <c r="D54" s="483" t="s">
        <v>831</v>
      </c>
      <c r="E54" s="483" t="s">
        <v>832</v>
      </c>
    </row>
    <row r="55" customFormat="false" ht="15" hidden="false" customHeight="false" outlineLevel="0" collapsed="false">
      <c r="A55" s="483" t="s">
        <v>833</v>
      </c>
      <c r="B55" s="483" t="s">
        <v>834</v>
      </c>
      <c r="C55" s="480" t="n">
        <v>115055</v>
      </c>
      <c r="D55" s="483" t="s">
        <v>835</v>
      </c>
      <c r="E55" s="483" t="s">
        <v>836</v>
      </c>
    </row>
    <row r="56" customFormat="false" ht="15" hidden="false" customHeight="false" outlineLevel="0" collapsed="false">
      <c r="A56" s="483" t="s">
        <v>837</v>
      </c>
      <c r="B56" s="483" t="s">
        <v>838</v>
      </c>
      <c r="C56" s="480" t="n">
        <v>102330</v>
      </c>
      <c r="D56" s="483" t="s">
        <v>839</v>
      </c>
      <c r="E56" s="483" t="s">
        <v>840</v>
      </c>
    </row>
    <row r="57" customFormat="false" ht="15" hidden="false" customHeight="false" outlineLevel="0" collapsed="false">
      <c r="A57" s="483" t="s">
        <v>841</v>
      </c>
      <c r="B57" s="483" t="s">
        <v>842</v>
      </c>
      <c r="C57" s="480" t="n">
        <v>100012</v>
      </c>
      <c r="D57" s="483" t="s">
        <v>843</v>
      </c>
      <c r="E57" s="483" t="s">
        <v>844</v>
      </c>
    </row>
    <row r="58" customFormat="false" ht="15" hidden="false" customHeight="false" outlineLevel="0" collapsed="false">
      <c r="A58" s="483" t="s">
        <v>845</v>
      </c>
      <c r="B58" s="483" t="s">
        <v>846</v>
      </c>
      <c r="C58" s="480" t="n">
        <v>126173</v>
      </c>
      <c r="D58" s="483" t="s">
        <v>847</v>
      </c>
      <c r="E58" s="483" t="s">
        <v>848</v>
      </c>
    </row>
    <row r="59" customFormat="false" ht="15" hidden="false" customHeight="false" outlineLevel="0" collapsed="false">
      <c r="A59" s="483" t="s">
        <v>849</v>
      </c>
      <c r="B59" s="483" t="s">
        <v>850</v>
      </c>
      <c r="C59" s="480" t="n">
        <v>209902</v>
      </c>
      <c r="D59" s="483" t="s">
        <v>851</v>
      </c>
      <c r="E59" s="483" t="s">
        <v>852</v>
      </c>
    </row>
    <row r="60" customFormat="false" ht="15" hidden="false" customHeight="false" outlineLevel="0" collapsed="false">
      <c r="A60" s="483" t="s">
        <v>853</v>
      </c>
      <c r="B60" s="483" t="s">
        <v>854</v>
      </c>
      <c r="C60" s="480" t="n">
        <v>118091</v>
      </c>
      <c r="D60" s="483" t="s">
        <v>855</v>
      </c>
      <c r="E60" s="483" t="s">
        <v>856</v>
      </c>
    </row>
    <row r="61" customFormat="false" ht="15" hidden="false" customHeight="false" outlineLevel="0" collapsed="false">
      <c r="A61" s="483" t="s">
        <v>857</v>
      </c>
      <c r="B61" s="483" t="s">
        <v>858</v>
      </c>
      <c r="C61" s="480" t="n">
        <v>277374</v>
      </c>
      <c r="D61" s="483" t="s">
        <v>859</v>
      </c>
      <c r="E61" s="483" t="s">
        <v>860</v>
      </c>
    </row>
    <row r="62" customFormat="false" ht="15" hidden="false" customHeight="false" outlineLevel="0" collapsed="false">
      <c r="A62" s="483" t="s">
        <v>861</v>
      </c>
      <c r="B62" s="483"/>
      <c r="C62" s="480" t="n">
        <v>106260</v>
      </c>
      <c r="D62" s="483" t="s">
        <v>862</v>
      </c>
      <c r="E62" s="483" t="s">
        <v>863</v>
      </c>
    </row>
    <row r="63" customFormat="false" ht="15" hidden="false" customHeight="false" outlineLevel="0" collapsed="false">
      <c r="A63" s="483" t="s">
        <v>864</v>
      </c>
      <c r="B63" s="483" t="s">
        <v>865</v>
      </c>
      <c r="C63" s="480" t="n">
        <v>226328</v>
      </c>
      <c r="D63" s="483" t="s">
        <v>866</v>
      </c>
      <c r="E63" s="483" t="s">
        <v>867</v>
      </c>
    </row>
    <row r="64" customFormat="false" ht="15" hidden="false" customHeight="false" outlineLevel="0" collapsed="false">
      <c r="A64" s="483" t="s">
        <v>868</v>
      </c>
      <c r="B64" s="483" t="s">
        <v>869</v>
      </c>
      <c r="C64" s="480" t="n">
        <v>132259</v>
      </c>
      <c r="D64" s="483" t="s">
        <v>870</v>
      </c>
      <c r="E64" s="483" t="s">
        <v>871</v>
      </c>
    </row>
    <row r="65" customFormat="false" ht="15" hidden="false" customHeight="false" outlineLevel="0" collapsed="false">
      <c r="A65" s="483" t="s">
        <v>872</v>
      </c>
      <c r="B65" s="483" t="s">
        <v>873</v>
      </c>
      <c r="C65" s="480" t="n">
        <v>123694</v>
      </c>
      <c r="D65" s="483" t="s">
        <v>874</v>
      </c>
      <c r="E65" s="483" t="s">
        <v>875</v>
      </c>
    </row>
    <row r="66" customFormat="false" ht="15" hidden="false" customHeight="false" outlineLevel="0" collapsed="false">
      <c r="A66" s="483" t="s">
        <v>876</v>
      </c>
      <c r="B66" s="483" t="s">
        <v>877</v>
      </c>
      <c r="C66" s="480" t="n">
        <v>285359</v>
      </c>
      <c r="D66" s="483" t="s">
        <v>878</v>
      </c>
      <c r="E66" s="483" t="s">
        <v>879</v>
      </c>
    </row>
    <row r="67" customFormat="false" ht="15" hidden="false" customHeight="false" outlineLevel="0" collapsed="false">
      <c r="A67" s="483" t="s">
        <v>880</v>
      </c>
      <c r="B67" s="483" t="s">
        <v>881</v>
      </c>
      <c r="C67" s="480" t="n">
        <v>190059</v>
      </c>
      <c r="D67" s="483" t="s">
        <v>882</v>
      </c>
      <c r="E67" s="483" t="s">
        <v>883</v>
      </c>
    </row>
    <row r="68" customFormat="false" ht="15" hidden="false" customHeight="false" outlineLevel="0" collapsed="false">
      <c r="A68" s="483" t="s">
        <v>884</v>
      </c>
      <c r="B68" s="483" t="s">
        <v>885</v>
      </c>
      <c r="C68" s="480" t="n">
        <v>108869</v>
      </c>
      <c r="D68" s="483" t="s">
        <v>886</v>
      </c>
      <c r="E68" s="483" t="s">
        <v>887</v>
      </c>
    </row>
    <row r="69" customFormat="false" ht="15" hidden="false" customHeight="false" outlineLevel="0" collapsed="false">
      <c r="A69" s="483" t="s">
        <v>888</v>
      </c>
      <c r="B69" s="483" t="s">
        <v>889</v>
      </c>
      <c r="C69" s="480" t="n">
        <v>131761</v>
      </c>
      <c r="D69" s="483" t="s">
        <v>890</v>
      </c>
      <c r="E69" s="483" t="s">
        <v>891</v>
      </c>
    </row>
    <row r="70" customFormat="false" ht="15" hidden="false" customHeight="false" outlineLevel="0" collapsed="false">
      <c r="A70" s="483" t="s">
        <v>892</v>
      </c>
      <c r="B70" s="483"/>
      <c r="C70" s="480" t="n">
        <v>267529</v>
      </c>
      <c r="D70" s="483" t="s">
        <v>893</v>
      </c>
      <c r="E70" s="483" t="s">
        <v>894</v>
      </c>
    </row>
    <row r="71" customFormat="false" ht="15" hidden="false" customHeight="false" outlineLevel="0" collapsed="false">
      <c r="A71" s="483" t="s">
        <v>895</v>
      </c>
      <c r="B71" s="483" t="s">
        <v>896</v>
      </c>
      <c r="C71" s="480" t="n">
        <v>100877</v>
      </c>
      <c r="D71" s="483" t="s">
        <v>897</v>
      </c>
      <c r="E71" s="483" t="s">
        <v>898</v>
      </c>
    </row>
    <row r="72" customFormat="false" ht="15" hidden="false" customHeight="false" outlineLevel="0" collapsed="false">
      <c r="A72" s="483" t="s">
        <v>899</v>
      </c>
      <c r="B72" s="483" t="s">
        <v>900</v>
      </c>
      <c r="C72" s="480" t="n">
        <v>132475</v>
      </c>
      <c r="D72" s="483" t="s">
        <v>901</v>
      </c>
      <c r="E72" s="483" t="s">
        <v>902</v>
      </c>
    </row>
    <row r="73" customFormat="false" ht="15" hidden="false" customHeight="false" outlineLevel="0" collapsed="false">
      <c r="A73" s="483" t="s">
        <v>903</v>
      </c>
      <c r="B73" s="483" t="s">
        <v>904</v>
      </c>
      <c r="C73" s="480" t="n">
        <v>251791</v>
      </c>
      <c r="D73" s="483" t="s">
        <v>905</v>
      </c>
      <c r="E73" s="483" t="s">
        <v>906</v>
      </c>
    </row>
    <row r="74" customFormat="false" ht="15" hidden="false" customHeight="false" outlineLevel="0" collapsed="false">
      <c r="A74" s="483" t="s">
        <v>907</v>
      </c>
      <c r="B74" s="483" t="s">
        <v>908</v>
      </c>
      <c r="C74" s="480" t="n">
        <v>106194</v>
      </c>
      <c r="D74" s="483" t="s">
        <v>909</v>
      </c>
      <c r="E74" s="483" t="s">
        <v>910</v>
      </c>
    </row>
    <row r="75" customFormat="false" ht="15" hidden="false" customHeight="false" outlineLevel="0" collapsed="false">
      <c r="A75" s="483" t="s">
        <v>911</v>
      </c>
      <c r="B75" s="483" t="s">
        <v>912</v>
      </c>
      <c r="C75" s="480" t="n">
        <v>131179</v>
      </c>
      <c r="D75" s="483" t="s">
        <v>913</v>
      </c>
      <c r="E75" s="483" t="s">
        <v>914</v>
      </c>
    </row>
    <row r="76" customFormat="false" ht="15" hidden="false" customHeight="false" outlineLevel="0" collapsed="false">
      <c r="A76" s="483" t="s">
        <v>915</v>
      </c>
      <c r="B76" s="483" t="s">
        <v>916</v>
      </c>
      <c r="C76" s="480" t="n">
        <v>106074</v>
      </c>
      <c r="D76" s="483" t="s">
        <v>917</v>
      </c>
      <c r="E76" s="483" t="s">
        <v>918</v>
      </c>
    </row>
    <row r="77" customFormat="false" ht="15" hidden="false" customHeight="false" outlineLevel="0" collapsed="false">
      <c r="A77" s="483" t="s">
        <v>919</v>
      </c>
      <c r="B77" s="483" t="s">
        <v>920</v>
      </c>
      <c r="C77" s="480" t="n">
        <v>236257</v>
      </c>
      <c r="D77" s="483" t="s">
        <v>921</v>
      </c>
      <c r="E77" s="483" t="s">
        <v>922</v>
      </c>
    </row>
    <row r="78" customFormat="false" ht="15" hidden="false" customHeight="false" outlineLevel="0" collapsed="false">
      <c r="A78" s="483" t="s">
        <v>923</v>
      </c>
      <c r="B78" s="483" t="s">
        <v>924</v>
      </c>
      <c r="C78" s="480" t="n">
        <v>293665</v>
      </c>
      <c r="D78" s="483" t="s">
        <v>925</v>
      </c>
      <c r="E78" s="483" t="s">
        <v>926</v>
      </c>
    </row>
    <row r="79" customFormat="false" ht="15" hidden="false" customHeight="false" outlineLevel="0" collapsed="false">
      <c r="A79" s="483" t="s">
        <v>927</v>
      </c>
      <c r="B79" s="483" t="s">
        <v>928</v>
      </c>
      <c r="C79" s="480" t="n">
        <v>100101</v>
      </c>
      <c r="D79" s="483" t="s">
        <v>929</v>
      </c>
      <c r="E79" s="483" t="s">
        <v>930</v>
      </c>
    </row>
    <row r="80" customFormat="false" ht="15" hidden="false" customHeight="false" outlineLevel="0" collapsed="false">
      <c r="A80" s="483" t="s">
        <v>931</v>
      </c>
      <c r="B80" s="483" t="s">
        <v>932</v>
      </c>
      <c r="C80" s="480" t="n">
        <v>228011</v>
      </c>
      <c r="D80" s="483" t="s">
        <v>933</v>
      </c>
      <c r="E80" s="483" t="s">
        <v>934</v>
      </c>
    </row>
    <row r="81" customFormat="false" ht="15" hidden="false" customHeight="false" outlineLevel="0" collapsed="false">
      <c r="A81" s="483" t="s">
        <v>935</v>
      </c>
      <c r="B81" s="483" t="s">
        <v>936</v>
      </c>
      <c r="C81" s="480" t="n">
        <v>115030</v>
      </c>
      <c r="D81" s="483" t="s">
        <v>937</v>
      </c>
      <c r="E81" s="483" t="s">
        <v>938</v>
      </c>
    </row>
    <row r="82" customFormat="false" ht="15" hidden="false" customHeight="false" outlineLevel="0" collapsed="false">
      <c r="A82" s="483" t="s">
        <v>939</v>
      </c>
      <c r="B82" s="483" t="s">
        <v>940</v>
      </c>
      <c r="C82" s="480" t="n">
        <v>127001</v>
      </c>
      <c r="D82" s="483" t="s">
        <v>941</v>
      </c>
      <c r="E82" s="483" t="s">
        <v>942</v>
      </c>
    </row>
    <row r="83" customFormat="false" ht="15" hidden="false" customHeight="false" outlineLevel="0" collapsed="false">
      <c r="A83" s="483" t="s">
        <v>943</v>
      </c>
      <c r="B83" s="483" t="s">
        <v>944</v>
      </c>
      <c r="C83" s="480" t="n">
        <v>123716</v>
      </c>
      <c r="D83" s="483" t="s">
        <v>945</v>
      </c>
      <c r="E83" s="483" t="s">
        <v>946</v>
      </c>
    </row>
    <row r="84" customFormat="false" ht="15" hidden="false" customHeight="false" outlineLevel="0" collapsed="false">
      <c r="A84" s="483" t="s">
        <v>947</v>
      </c>
      <c r="B84" s="483" t="s">
        <v>948</v>
      </c>
      <c r="C84" s="480" t="n">
        <v>100477</v>
      </c>
      <c r="D84" s="483" t="s">
        <v>949</v>
      </c>
      <c r="E84" s="483" t="s">
        <v>950</v>
      </c>
    </row>
    <row r="85" customFormat="false" ht="15" hidden="false" customHeight="false" outlineLevel="0" collapsed="false">
      <c r="A85" s="483" t="s">
        <v>951</v>
      </c>
      <c r="B85" s="483" t="s">
        <v>952</v>
      </c>
      <c r="C85" s="480" t="n">
        <v>207778</v>
      </c>
      <c r="D85" s="483" t="s">
        <v>953</v>
      </c>
      <c r="E85" s="483" t="s">
        <v>954</v>
      </c>
    </row>
    <row r="86" customFormat="false" ht="15" hidden="false" customHeight="false" outlineLevel="0" collapsed="false">
      <c r="A86" s="483" t="s">
        <v>955</v>
      </c>
      <c r="B86" s="483" t="s">
        <v>956</v>
      </c>
      <c r="C86" s="480" t="n">
        <v>130355</v>
      </c>
      <c r="D86" s="483" t="s">
        <v>957</v>
      </c>
      <c r="E86" s="483" t="s">
        <v>958</v>
      </c>
    </row>
    <row r="87" customFormat="false" ht="15" hidden="false" customHeight="false" outlineLevel="0" collapsed="false">
      <c r="A87" s="483" t="s">
        <v>959</v>
      </c>
      <c r="B87" s="483" t="s">
        <v>960</v>
      </c>
      <c r="C87" s="480" t="n">
        <v>132888</v>
      </c>
      <c r="D87" s="483" t="s">
        <v>961</v>
      </c>
      <c r="E87" s="483" t="s">
        <v>962</v>
      </c>
    </row>
    <row r="88" customFormat="false" ht="15" hidden="false" customHeight="false" outlineLevel="0" collapsed="false">
      <c r="A88" s="483" t="s">
        <v>963</v>
      </c>
      <c r="B88" s="483" t="s">
        <v>964</v>
      </c>
      <c r="C88" s="480" t="n">
        <v>100820</v>
      </c>
      <c r="D88" s="483" t="s">
        <v>965</v>
      </c>
      <c r="E88" s="483" t="s">
        <v>966</v>
      </c>
    </row>
    <row r="89" customFormat="false" ht="15" hidden="false" customHeight="false" outlineLevel="0" collapsed="false">
      <c r="A89" s="483" t="s">
        <v>967</v>
      </c>
      <c r="B89" s="483"/>
      <c r="C89" s="480" t="n">
        <v>131847</v>
      </c>
      <c r="D89" s="483" t="s">
        <v>968</v>
      </c>
      <c r="E89" s="483" t="s">
        <v>969</v>
      </c>
    </row>
    <row r="90" customFormat="false" ht="15" hidden="false" customHeight="false" outlineLevel="0" collapsed="false">
      <c r="A90" s="483" t="s">
        <v>970</v>
      </c>
      <c r="B90" s="483"/>
      <c r="C90" s="480" t="n">
        <v>126433</v>
      </c>
      <c r="D90" s="483" t="s">
        <v>971</v>
      </c>
      <c r="E90" s="483" t="s">
        <v>972</v>
      </c>
    </row>
    <row r="91" customFormat="false" ht="15" hidden="false" customHeight="false" outlineLevel="0" collapsed="false">
      <c r="A91" s="483" t="s">
        <v>973</v>
      </c>
      <c r="B91" s="483" t="s">
        <v>974</v>
      </c>
      <c r="C91" s="480" t="n">
        <v>107526</v>
      </c>
      <c r="D91" s="483" t="s">
        <v>975</v>
      </c>
      <c r="E91" s="483" t="s">
        <v>976</v>
      </c>
    </row>
    <row r="92" customFormat="false" ht="15" hidden="false" customHeight="false" outlineLevel="0" collapsed="false">
      <c r="A92" s="483" t="s">
        <v>977</v>
      </c>
      <c r="B92" s="483" t="s">
        <v>978</v>
      </c>
      <c r="C92" s="480" t="n">
        <v>212609</v>
      </c>
      <c r="D92" s="483" t="s">
        <v>979</v>
      </c>
      <c r="E92" s="483" t="s">
        <v>980</v>
      </c>
    </row>
    <row r="93" customFormat="false" ht="15" hidden="false" customHeight="false" outlineLevel="0" collapsed="false">
      <c r="A93" s="483" t="s">
        <v>981</v>
      </c>
      <c r="B93" s="483" t="s">
        <v>982</v>
      </c>
      <c r="C93" s="480" t="n">
        <v>221033</v>
      </c>
      <c r="D93" s="483" t="s">
        <v>983</v>
      </c>
      <c r="E93" s="483" t="s">
        <v>984</v>
      </c>
    </row>
    <row r="94" customFormat="false" ht="15" hidden="false" customHeight="false" outlineLevel="0" collapsed="false">
      <c r="A94" s="483" t="s">
        <v>985</v>
      </c>
      <c r="B94" s="483" t="s">
        <v>986</v>
      </c>
      <c r="C94" s="480" t="n">
        <v>132493</v>
      </c>
      <c r="D94" s="483" t="s">
        <v>987</v>
      </c>
      <c r="E94" s="483" t="s">
        <v>988</v>
      </c>
    </row>
    <row r="95" customFormat="false" ht="15" hidden="false" customHeight="false" outlineLevel="0" collapsed="false">
      <c r="A95" s="483" t="s">
        <v>989</v>
      </c>
      <c r="B95" s="483" t="s">
        <v>990</v>
      </c>
      <c r="C95" s="480" t="n">
        <v>132830</v>
      </c>
      <c r="D95" s="483" t="s">
        <v>991</v>
      </c>
      <c r="E95" s="483" t="s">
        <v>992</v>
      </c>
    </row>
    <row r="96" customFormat="false" ht="15" hidden="false" customHeight="false" outlineLevel="0" collapsed="false">
      <c r="A96" s="483" t="s">
        <v>993</v>
      </c>
      <c r="B96" s="483" t="s">
        <v>994</v>
      </c>
      <c r="C96" s="480" t="n">
        <v>106820</v>
      </c>
      <c r="D96" s="483" t="s">
        <v>995</v>
      </c>
      <c r="E96" s="483" t="s">
        <v>996</v>
      </c>
    </row>
    <row r="97" customFormat="false" ht="15" hidden="false" customHeight="false" outlineLevel="0" collapsed="false">
      <c r="A97" s="483" t="s">
        <v>997</v>
      </c>
      <c r="B97" s="483" t="s">
        <v>998</v>
      </c>
      <c r="C97" s="480" t="n">
        <v>100027</v>
      </c>
      <c r="D97" s="483" t="s">
        <v>999</v>
      </c>
      <c r="E97" s="483" t="s">
        <v>1000</v>
      </c>
    </row>
    <row r="98" customFormat="false" ht="15" hidden="false" customHeight="false" outlineLevel="0" collapsed="false">
      <c r="A98" s="483" t="s">
        <v>1001</v>
      </c>
      <c r="B98" s="483" t="s">
        <v>1002</v>
      </c>
      <c r="C98" s="480" t="n">
        <v>286335</v>
      </c>
      <c r="D98" s="483" t="s">
        <v>1003</v>
      </c>
      <c r="E98" s="483" t="s">
        <v>1004</v>
      </c>
    </row>
    <row r="99" customFormat="false" ht="15" hidden="false" customHeight="false" outlineLevel="0" collapsed="false">
      <c r="A99" s="483" t="s">
        <v>1005</v>
      </c>
      <c r="B99" s="483" t="s">
        <v>1006</v>
      </c>
      <c r="C99" s="480" t="n">
        <v>132668</v>
      </c>
      <c r="D99" s="483" t="s">
        <v>1007</v>
      </c>
      <c r="E99" s="483" t="s">
        <v>1008</v>
      </c>
    </row>
    <row r="100" customFormat="false" ht="15" hidden="false" customHeight="false" outlineLevel="0" collapsed="false">
      <c r="A100" s="483" t="s">
        <v>1009</v>
      </c>
      <c r="B100" s="483" t="s">
        <v>1010</v>
      </c>
      <c r="C100" s="480" t="n">
        <v>124804</v>
      </c>
      <c r="D100" s="483" t="s">
        <v>1011</v>
      </c>
      <c r="E100" s="483" t="s">
        <v>1012</v>
      </c>
    </row>
    <row r="101" customFormat="false" ht="15" hidden="false" customHeight="false" outlineLevel="0" collapsed="false">
      <c r="A101" s="483" t="s">
        <v>1013</v>
      </c>
      <c r="B101" s="483"/>
      <c r="C101" s="480" t="n">
        <v>243036</v>
      </c>
      <c r="D101" s="483" t="s">
        <v>1014</v>
      </c>
      <c r="E101" s="483" t="s">
        <v>1015</v>
      </c>
    </row>
    <row r="102" customFormat="false" ht="15" hidden="false" customHeight="false" outlineLevel="0" collapsed="false">
      <c r="A102" s="483" t="s">
        <v>1016</v>
      </c>
      <c r="B102" s="483" t="s">
        <v>1017</v>
      </c>
      <c r="C102" s="480" t="n">
        <v>105036</v>
      </c>
      <c r="D102" s="483" t="s">
        <v>1018</v>
      </c>
      <c r="E102" s="483" t="s">
        <v>1019</v>
      </c>
    </row>
    <row r="103" customFormat="false" ht="15" hidden="false" customHeight="false" outlineLevel="0" collapsed="false">
      <c r="A103" s="483" t="s">
        <v>1020</v>
      </c>
      <c r="B103" s="483" t="s">
        <v>1021</v>
      </c>
      <c r="C103" s="480" t="n">
        <v>105010</v>
      </c>
      <c r="D103" s="483" t="s">
        <v>1022</v>
      </c>
      <c r="E103" s="483" t="s">
        <v>1023</v>
      </c>
    </row>
    <row r="104" customFormat="false" ht="15" hidden="false" customHeight="false" outlineLevel="0" collapsed="false">
      <c r="A104" s="483" t="s">
        <v>1024</v>
      </c>
      <c r="B104" s="483" t="s">
        <v>1025</v>
      </c>
      <c r="C104" s="480" t="n">
        <v>120119</v>
      </c>
      <c r="D104" s="483" t="s">
        <v>1026</v>
      </c>
      <c r="E104" s="483" t="s">
        <v>1027</v>
      </c>
    </row>
    <row r="105" customFormat="false" ht="15" hidden="false" customHeight="false" outlineLevel="0" collapsed="false">
      <c r="A105" s="483" t="s">
        <v>1028</v>
      </c>
      <c r="B105" s="483" t="s">
        <v>1029</v>
      </c>
      <c r="C105" s="480" t="n">
        <v>286952</v>
      </c>
      <c r="D105" s="483" t="s">
        <v>1030</v>
      </c>
      <c r="E105" s="483" t="s">
        <v>1031</v>
      </c>
    </row>
    <row r="106" customFormat="false" ht="15" hidden="false" customHeight="false" outlineLevel="0" collapsed="false">
      <c r="A106" s="483" t="s">
        <v>1032</v>
      </c>
      <c r="B106" s="483" t="s">
        <v>1033</v>
      </c>
      <c r="C106" s="480" t="n">
        <v>112573</v>
      </c>
      <c r="D106" s="483" t="s">
        <v>1034</v>
      </c>
      <c r="E106" s="483" t="s">
        <v>1035</v>
      </c>
    </row>
    <row r="107" customFormat="false" ht="15" hidden="false" customHeight="false" outlineLevel="0" collapsed="false">
      <c r="A107" s="483" t="s">
        <v>1036</v>
      </c>
      <c r="B107" s="483" t="s">
        <v>1037</v>
      </c>
      <c r="C107" s="480" t="n">
        <v>223595</v>
      </c>
      <c r="D107" s="483" t="s">
        <v>1038</v>
      </c>
      <c r="E107" s="483" t="s">
        <v>1039</v>
      </c>
    </row>
    <row r="108" customFormat="false" ht="15" hidden="false" customHeight="false" outlineLevel="0" collapsed="false">
      <c r="A108" s="483" t="s">
        <v>1040</v>
      </c>
      <c r="B108" s="483" t="s">
        <v>1041</v>
      </c>
      <c r="C108" s="480" t="n">
        <v>119105</v>
      </c>
      <c r="D108" s="483" t="s">
        <v>1042</v>
      </c>
      <c r="E108" s="483" t="s">
        <v>1043</v>
      </c>
    </row>
    <row r="109" customFormat="false" ht="15" hidden="false" customHeight="false" outlineLevel="0" collapsed="false">
      <c r="A109" s="483" t="s">
        <v>1044</v>
      </c>
      <c r="B109" s="483" t="s">
        <v>1045</v>
      </c>
      <c r="C109" s="480" t="n">
        <v>132215</v>
      </c>
      <c r="D109" s="483" t="s">
        <v>1046</v>
      </c>
      <c r="E109" s="483" t="s">
        <v>1047</v>
      </c>
    </row>
    <row r="110" customFormat="false" ht="15" hidden="false" customHeight="false" outlineLevel="0" collapsed="false">
      <c r="A110" s="483" t="s">
        <v>1048</v>
      </c>
      <c r="B110" s="483"/>
      <c r="C110" s="480" t="n">
        <v>123850</v>
      </c>
      <c r="D110" s="483" t="s">
        <v>1049</v>
      </c>
      <c r="E110" s="483" t="s">
        <v>1050</v>
      </c>
    </row>
    <row r="111" customFormat="false" ht="15" hidden="false" customHeight="false" outlineLevel="0" collapsed="false">
      <c r="A111" s="483" t="s">
        <v>1051</v>
      </c>
      <c r="B111" s="483" t="s">
        <v>1052</v>
      </c>
      <c r="C111" s="480" t="n">
        <v>132719</v>
      </c>
      <c r="D111" s="483" t="s">
        <v>1053</v>
      </c>
      <c r="E111" s="483" t="s">
        <v>1054</v>
      </c>
    </row>
    <row r="112" customFormat="false" ht="15" hidden="false" customHeight="false" outlineLevel="0" collapsed="false">
      <c r="A112" s="483" t="s">
        <v>1055</v>
      </c>
      <c r="B112" s="483" t="s">
        <v>1056</v>
      </c>
      <c r="C112" s="480" t="n">
        <v>200132</v>
      </c>
      <c r="D112" s="483" t="s">
        <v>1057</v>
      </c>
      <c r="E112" s="483" t="s">
        <v>1058</v>
      </c>
    </row>
    <row r="113" customFormat="false" ht="15" hidden="false" customHeight="false" outlineLevel="0" collapsed="false">
      <c r="A113" s="483" t="s">
        <v>1059</v>
      </c>
      <c r="B113" s="483" t="s">
        <v>1060</v>
      </c>
      <c r="C113" s="480" t="n">
        <v>220519</v>
      </c>
      <c r="D113" s="483" t="s">
        <v>1061</v>
      </c>
      <c r="E113" s="483" t="s">
        <v>1062</v>
      </c>
    </row>
    <row r="114" customFormat="false" ht="15" hidden="false" customHeight="false" outlineLevel="0" collapsed="false">
      <c r="A114" s="483" t="s">
        <v>1063</v>
      </c>
      <c r="B114" s="483" t="s">
        <v>1064</v>
      </c>
      <c r="C114" s="480" t="n">
        <v>100031</v>
      </c>
      <c r="D114" s="483" t="s">
        <v>1065</v>
      </c>
      <c r="E114" s="483" t="s">
        <v>1066</v>
      </c>
    </row>
    <row r="115" customFormat="false" ht="15" hidden="false" customHeight="false" outlineLevel="0" collapsed="false">
      <c r="A115" s="483" t="s">
        <v>1067</v>
      </c>
      <c r="B115" s="483" t="s">
        <v>1068</v>
      </c>
      <c r="C115" s="480" t="n">
        <v>100034</v>
      </c>
      <c r="D115" s="483" t="s">
        <v>1069</v>
      </c>
      <c r="E115" s="483" t="s">
        <v>1070</v>
      </c>
    </row>
    <row r="116" customFormat="false" ht="15" hidden="false" customHeight="false" outlineLevel="0" collapsed="false">
      <c r="A116" s="483" t="s">
        <v>1071</v>
      </c>
      <c r="B116" s="483" t="s">
        <v>1072</v>
      </c>
      <c r="C116" s="480" t="n">
        <v>205198</v>
      </c>
      <c r="D116" s="483" t="s">
        <v>1073</v>
      </c>
      <c r="E116" s="483" t="s">
        <v>1074</v>
      </c>
    </row>
    <row r="117" customFormat="false" ht="15" hidden="false" customHeight="false" outlineLevel="0" collapsed="false">
      <c r="A117" s="483" t="s">
        <v>1075</v>
      </c>
      <c r="B117" s="483" t="s">
        <v>1076</v>
      </c>
      <c r="C117" s="480" t="n">
        <v>212661</v>
      </c>
      <c r="D117" s="483" t="s">
        <v>1077</v>
      </c>
      <c r="E117" s="483" t="s">
        <v>1078</v>
      </c>
    </row>
    <row r="118" customFormat="false" ht="15" hidden="false" customHeight="false" outlineLevel="0" collapsed="false">
      <c r="A118" s="483" t="s">
        <v>1079</v>
      </c>
      <c r="B118" s="483" t="s">
        <v>1080</v>
      </c>
      <c r="C118" s="480" t="n">
        <v>100032</v>
      </c>
      <c r="D118" s="483" t="s">
        <v>1081</v>
      </c>
      <c r="E118" s="483" t="s">
        <v>1082</v>
      </c>
    </row>
    <row r="119" customFormat="false" ht="15" hidden="false" customHeight="false" outlineLevel="0" collapsed="false">
      <c r="A119" s="483" t="s">
        <v>1083</v>
      </c>
      <c r="B119" s="483" t="s">
        <v>1084</v>
      </c>
      <c r="C119" s="480" t="n">
        <v>100490</v>
      </c>
      <c r="D119" s="483" t="s">
        <v>1085</v>
      </c>
      <c r="E119" s="483" t="s">
        <v>1086</v>
      </c>
    </row>
    <row r="120" customFormat="false" ht="15" hidden="false" customHeight="false" outlineLevel="0" collapsed="false">
      <c r="A120" s="483" t="s">
        <v>1087</v>
      </c>
      <c r="B120" s="483" t="s">
        <v>1088</v>
      </c>
      <c r="C120" s="480" t="n">
        <v>130999</v>
      </c>
      <c r="D120" s="483" t="s">
        <v>1089</v>
      </c>
      <c r="E120" s="483" t="s">
        <v>1090</v>
      </c>
    </row>
    <row r="121" customFormat="false" ht="15" hidden="false" customHeight="false" outlineLevel="0" collapsed="false">
      <c r="A121" s="483" t="s">
        <v>1091</v>
      </c>
      <c r="B121" s="483" t="s">
        <v>1092</v>
      </c>
      <c r="C121" s="480" t="n">
        <v>132382</v>
      </c>
      <c r="D121" s="483" t="s">
        <v>1093</v>
      </c>
      <c r="E121" s="483" t="s">
        <v>1094</v>
      </c>
    </row>
    <row r="122" customFormat="false" ht="15" hidden="false" customHeight="false" outlineLevel="0" collapsed="false">
      <c r="A122" s="483" t="s">
        <v>1095</v>
      </c>
      <c r="B122" s="483" t="s">
        <v>1096</v>
      </c>
      <c r="C122" s="480" t="n">
        <v>102355</v>
      </c>
      <c r="D122" s="483" t="s">
        <v>1097</v>
      </c>
      <c r="E122" s="483" t="s">
        <v>1098</v>
      </c>
    </row>
    <row r="123" customFormat="false" ht="15" hidden="false" customHeight="false" outlineLevel="0" collapsed="false">
      <c r="A123" s="483" t="s">
        <v>1099</v>
      </c>
      <c r="B123" s="483" t="s">
        <v>1100</v>
      </c>
      <c r="C123" s="480" t="n">
        <v>123319</v>
      </c>
      <c r="D123" s="483" t="s">
        <v>1101</v>
      </c>
      <c r="E123" s="483" t="s">
        <v>1102</v>
      </c>
    </row>
    <row r="124" customFormat="false" ht="15" hidden="false" customHeight="false" outlineLevel="0" collapsed="false">
      <c r="A124" s="483" t="s">
        <v>1103</v>
      </c>
      <c r="B124" s="483"/>
      <c r="C124" s="480" t="n">
        <v>132485</v>
      </c>
      <c r="D124" s="483" t="s">
        <v>1104</v>
      </c>
      <c r="E124" s="483" t="s">
        <v>1105</v>
      </c>
    </row>
    <row r="125" customFormat="false" ht="15" hidden="false" customHeight="false" outlineLevel="0" collapsed="false">
      <c r="A125" s="483" t="s">
        <v>1106</v>
      </c>
      <c r="B125" s="483" t="s">
        <v>1107</v>
      </c>
      <c r="C125" s="480" t="n">
        <v>100038</v>
      </c>
      <c r="D125" s="483" t="s">
        <v>1108</v>
      </c>
      <c r="E125" s="483" t="s">
        <v>1109</v>
      </c>
    </row>
    <row r="126" customFormat="false" ht="15" hidden="false" customHeight="false" outlineLevel="0" collapsed="false">
      <c r="A126" s="483" t="s">
        <v>1110</v>
      </c>
      <c r="B126" s="483"/>
      <c r="C126" s="480" t="n">
        <v>131112</v>
      </c>
      <c r="D126" s="483" t="s">
        <v>1111</v>
      </c>
      <c r="E126" s="483" t="s">
        <v>1112</v>
      </c>
    </row>
    <row r="127" customFormat="false" ht="15" hidden="false" customHeight="false" outlineLevel="0" collapsed="false">
      <c r="A127" s="483" t="s">
        <v>1113</v>
      </c>
      <c r="B127" s="483" t="s">
        <v>1114</v>
      </c>
      <c r="C127" s="480" t="n">
        <v>100039</v>
      </c>
      <c r="D127" s="483" t="s">
        <v>1115</v>
      </c>
      <c r="E127" s="483" t="s">
        <v>1116</v>
      </c>
    </row>
    <row r="128" customFormat="false" ht="15" hidden="false" customHeight="false" outlineLevel="0" collapsed="false">
      <c r="A128" s="483" t="s">
        <v>1117</v>
      </c>
      <c r="B128" s="483" t="s">
        <v>1118</v>
      </c>
      <c r="C128" s="480" t="n">
        <v>279527</v>
      </c>
      <c r="D128" s="483" t="s">
        <v>1119</v>
      </c>
      <c r="E128" s="483" t="s">
        <v>1120</v>
      </c>
    </row>
    <row r="129" customFormat="false" ht="15" hidden="false" customHeight="false" outlineLevel="0" collapsed="false">
      <c r="A129" s="483" t="s">
        <v>1121</v>
      </c>
      <c r="B129" s="483" t="s">
        <v>1122</v>
      </c>
      <c r="C129" s="480" t="n">
        <v>132134</v>
      </c>
      <c r="D129" s="483" t="s">
        <v>1123</v>
      </c>
      <c r="E129" s="483" t="s">
        <v>1124</v>
      </c>
    </row>
    <row r="130" customFormat="false" ht="15" hidden="false" customHeight="false" outlineLevel="0" collapsed="false">
      <c r="A130" s="483" t="s">
        <v>1125</v>
      </c>
      <c r="B130" s="483" t="s">
        <v>1126</v>
      </c>
      <c r="C130" s="480" t="n">
        <v>132525</v>
      </c>
      <c r="D130" s="483" t="s">
        <v>1127</v>
      </c>
      <c r="E130" s="483" t="s">
        <v>1128</v>
      </c>
    </row>
    <row r="131" customFormat="false" ht="15" hidden="false" customHeight="false" outlineLevel="0" collapsed="false">
      <c r="A131" s="483" t="s">
        <v>1129</v>
      </c>
      <c r="B131" s="483" t="s">
        <v>1130</v>
      </c>
      <c r="C131" s="480" t="n">
        <v>132674</v>
      </c>
      <c r="D131" s="483" t="s">
        <v>1131</v>
      </c>
      <c r="E131" s="483" t="s">
        <v>1132</v>
      </c>
    </row>
    <row r="132" customFormat="false" ht="15" hidden="false" customHeight="false" outlineLevel="0" collapsed="false">
      <c r="A132" s="483" t="s">
        <v>1133</v>
      </c>
      <c r="B132" s="483" t="s">
        <v>1134</v>
      </c>
      <c r="C132" s="480" t="n">
        <v>100041</v>
      </c>
      <c r="D132" s="483" t="s">
        <v>1135</v>
      </c>
      <c r="E132" s="483" t="s">
        <v>1136</v>
      </c>
    </row>
    <row r="133" customFormat="false" ht="15" hidden="false" customHeight="false" outlineLevel="0" collapsed="false">
      <c r="A133" s="483" t="s">
        <v>1137</v>
      </c>
      <c r="B133" s="483" t="s">
        <v>1138</v>
      </c>
      <c r="C133" s="480" t="n">
        <v>228465</v>
      </c>
      <c r="D133" s="483" t="s">
        <v>1139</v>
      </c>
      <c r="E133" s="483" t="s">
        <v>1140</v>
      </c>
    </row>
    <row r="134" customFormat="false" ht="15" hidden="false" customHeight="false" outlineLevel="0" collapsed="false">
      <c r="A134" s="483" t="s">
        <v>1141</v>
      </c>
      <c r="B134" s="483" t="s">
        <v>1142</v>
      </c>
      <c r="C134" s="480" t="n">
        <v>100042</v>
      </c>
      <c r="D134" s="483" t="s">
        <v>1143</v>
      </c>
      <c r="E134" s="483" t="s">
        <v>1144</v>
      </c>
    </row>
    <row r="135" customFormat="false" ht="15" hidden="false" customHeight="false" outlineLevel="0" collapsed="false">
      <c r="A135" s="483" t="s">
        <v>1145</v>
      </c>
      <c r="B135" s="483" t="s">
        <v>1146</v>
      </c>
      <c r="C135" s="480" t="n">
        <v>100043</v>
      </c>
      <c r="D135" s="483" t="s">
        <v>1147</v>
      </c>
      <c r="E135" s="483" t="s">
        <v>1148</v>
      </c>
    </row>
    <row r="136" customFormat="false" ht="15" hidden="false" customHeight="false" outlineLevel="0" collapsed="false">
      <c r="A136" s="483" t="s">
        <v>1149</v>
      </c>
      <c r="B136" s="483" t="s">
        <v>1150</v>
      </c>
      <c r="C136" s="480" t="n">
        <v>106285</v>
      </c>
      <c r="D136" s="483" t="s">
        <v>1151</v>
      </c>
      <c r="E136" s="483" t="s">
        <v>1152</v>
      </c>
    </row>
    <row r="137" customFormat="false" ht="15" hidden="false" customHeight="false" outlineLevel="0" collapsed="false">
      <c r="A137" s="483" t="s">
        <v>1153</v>
      </c>
      <c r="B137" s="483" t="s">
        <v>1154</v>
      </c>
      <c r="C137" s="480" t="n">
        <v>124332</v>
      </c>
      <c r="D137" s="483" t="s">
        <v>1155</v>
      </c>
      <c r="E137" s="483" t="s">
        <v>1156</v>
      </c>
    </row>
    <row r="138" customFormat="false" ht="15" hidden="false" customHeight="false" outlineLevel="0" collapsed="false">
      <c r="A138" s="483" t="s">
        <v>1157</v>
      </c>
      <c r="B138" s="483"/>
      <c r="C138" s="480" t="n">
        <v>212682</v>
      </c>
      <c r="D138" s="483" t="s">
        <v>1158</v>
      </c>
      <c r="E138" s="483" t="s">
        <v>1159</v>
      </c>
    </row>
    <row r="139" customFormat="false" ht="15" hidden="false" customHeight="false" outlineLevel="0" collapsed="false">
      <c r="A139" s="483" t="s">
        <v>1160</v>
      </c>
      <c r="B139" s="483" t="s">
        <v>1161</v>
      </c>
      <c r="C139" s="480" t="n">
        <v>100048</v>
      </c>
      <c r="D139" s="483" t="s">
        <v>1162</v>
      </c>
      <c r="E139" s="483" t="s">
        <v>1163</v>
      </c>
    </row>
    <row r="140" customFormat="false" ht="15" hidden="false" customHeight="false" outlineLevel="0" collapsed="false">
      <c r="A140" s="483" t="s">
        <v>1164</v>
      </c>
      <c r="B140" s="483"/>
      <c r="C140" s="480" t="n">
        <v>219234</v>
      </c>
      <c r="D140" s="483" t="s">
        <v>1165</v>
      </c>
      <c r="E140" s="483" t="s">
        <v>1166</v>
      </c>
    </row>
    <row r="141" customFormat="false" ht="15" hidden="false" customHeight="false" outlineLevel="0" collapsed="false">
      <c r="A141" s="483" t="s">
        <v>1167</v>
      </c>
      <c r="B141" s="483" t="s">
        <v>1168</v>
      </c>
      <c r="C141" s="480" t="n">
        <v>109480</v>
      </c>
      <c r="D141" s="483" t="s">
        <v>1169</v>
      </c>
      <c r="E141" s="483" t="s">
        <v>1170</v>
      </c>
    </row>
    <row r="142" customFormat="false" ht="15" hidden="false" customHeight="false" outlineLevel="0" collapsed="false">
      <c r="A142" s="483" t="s">
        <v>1171</v>
      </c>
      <c r="B142" s="483" t="s">
        <v>1172</v>
      </c>
      <c r="C142" s="480" t="n">
        <v>245011</v>
      </c>
      <c r="D142" s="483" t="s">
        <v>1173</v>
      </c>
      <c r="E142" s="483" t="s">
        <v>1174</v>
      </c>
    </row>
    <row r="143" customFormat="false" ht="15" hidden="false" customHeight="false" outlineLevel="0" collapsed="false">
      <c r="A143" s="483" t="s">
        <v>1175</v>
      </c>
      <c r="B143" s="483" t="s">
        <v>1176</v>
      </c>
      <c r="C143" s="480" t="n">
        <v>287380</v>
      </c>
      <c r="D143" s="483" t="s">
        <v>1177</v>
      </c>
      <c r="E143" s="483" t="s">
        <v>1178</v>
      </c>
    </row>
    <row r="144" customFormat="false" ht="15" hidden="false" customHeight="false" outlineLevel="0" collapsed="false">
      <c r="A144" s="483" t="s">
        <v>1179</v>
      </c>
      <c r="B144" s="483" t="s">
        <v>1180</v>
      </c>
      <c r="C144" s="480" t="n">
        <v>220706</v>
      </c>
      <c r="D144" s="483" t="s">
        <v>1181</v>
      </c>
      <c r="E144" s="483" t="s">
        <v>1182</v>
      </c>
    </row>
    <row r="145" customFormat="false" ht="15" hidden="false" customHeight="false" outlineLevel="0" collapsed="false">
      <c r="A145" s="483" t="s">
        <v>1183</v>
      </c>
      <c r="B145" s="483" t="s">
        <v>1184</v>
      </c>
      <c r="C145" s="480" t="n">
        <v>132430</v>
      </c>
      <c r="D145" s="483" t="s">
        <v>1185</v>
      </c>
      <c r="E145" s="483" t="s">
        <v>1186</v>
      </c>
    </row>
    <row r="146" customFormat="false" ht="15" hidden="false" customHeight="false" outlineLevel="0" collapsed="false">
      <c r="A146" s="483" t="s">
        <v>1187</v>
      </c>
      <c r="B146" s="483" t="s">
        <v>1188</v>
      </c>
      <c r="C146" s="480" t="n">
        <v>200018</v>
      </c>
      <c r="D146" s="483" t="s">
        <v>1189</v>
      </c>
      <c r="E146" s="483" t="s">
        <v>1190</v>
      </c>
    </row>
    <row r="147" customFormat="false" ht="15" hidden="false" customHeight="false" outlineLevel="0" collapsed="false">
      <c r="A147" s="483" t="s">
        <v>1191</v>
      </c>
      <c r="B147" s="483" t="s">
        <v>1192</v>
      </c>
      <c r="C147" s="480" t="n">
        <v>130803</v>
      </c>
      <c r="D147" s="483" t="s">
        <v>1193</v>
      </c>
      <c r="E147" s="483" t="s">
        <v>1194</v>
      </c>
    </row>
    <row r="148" customFormat="false" ht="15" hidden="false" customHeight="false" outlineLevel="0" collapsed="false">
      <c r="A148" s="483" t="s">
        <v>1195</v>
      </c>
      <c r="B148" s="483" t="s">
        <v>1196</v>
      </c>
      <c r="C148" s="480" t="n">
        <v>131719</v>
      </c>
      <c r="D148" s="483" t="s">
        <v>1197</v>
      </c>
      <c r="E148" s="483" t="s">
        <v>1198</v>
      </c>
    </row>
    <row r="149" customFormat="false" ht="15" hidden="false" customHeight="false" outlineLevel="0" collapsed="false">
      <c r="A149" s="483" t="s">
        <v>1199</v>
      </c>
      <c r="B149" s="483" t="s">
        <v>1200</v>
      </c>
      <c r="C149" s="480" t="n">
        <v>100052</v>
      </c>
      <c r="D149" s="483" t="s">
        <v>1201</v>
      </c>
      <c r="E149" s="483" t="s">
        <v>1202</v>
      </c>
    </row>
    <row r="150" customFormat="false" ht="15" hidden="false" customHeight="false" outlineLevel="0" collapsed="false">
      <c r="A150" s="483" t="s">
        <v>1203</v>
      </c>
      <c r="B150" s="483" t="s">
        <v>1204</v>
      </c>
      <c r="C150" s="480" t="n">
        <v>103960</v>
      </c>
      <c r="D150" s="483" t="s">
        <v>1205</v>
      </c>
      <c r="E150" s="483" t="s">
        <v>1206</v>
      </c>
    </row>
    <row r="151" customFormat="false" ht="15" hidden="false" customHeight="false" outlineLevel="0" collapsed="false">
      <c r="A151" s="483" t="s">
        <v>1207</v>
      </c>
      <c r="B151" s="483" t="s">
        <v>1208</v>
      </c>
      <c r="C151" s="480" t="n">
        <v>212705</v>
      </c>
      <c r="D151" s="483" t="s">
        <v>1209</v>
      </c>
      <c r="E151" s="483" t="s">
        <v>1210</v>
      </c>
    </row>
    <row r="152" customFormat="false" ht="15" hidden="false" customHeight="false" outlineLevel="0" collapsed="false">
      <c r="A152" s="483" t="s">
        <v>1211</v>
      </c>
      <c r="B152" s="483" t="s">
        <v>1212</v>
      </c>
      <c r="C152" s="480" t="n">
        <v>100049</v>
      </c>
      <c r="D152" s="483" t="s">
        <v>1213</v>
      </c>
      <c r="E152" s="483" t="s">
        <v>1214</v>
      </c>
    </row>
    <row r="153" customFormat="false" ht="15" hidden="false" customHeight="false" outlineLevel="0" collapsed="false">
      <c r="A153" s="483" t="s">
        <v>1215</v>
      </c>
      <c r="B153" s="483" t="s">
        <v>1216</v>
      </c>
      <c r="C153" s="480" t="n">
        <v>100493</v>
      </c>
      <c r="D153" s="483" t="s">
        <v>1217</v>
      </c>
      <c r="E153" s="483" t="s">
        <v>1218</v>
      </c>
    </row>
    <row r="154" customFormat="false" ht="15" hidden="false" customHeight="false" outlineLevel="0" collapsed="false">
      <c r="A154" s="483" t="s">
        <v>1219</v>
      </c>
      <c r="B154" s="483" t="s">
        <v>1220</v>
      </c>
      <c r="C154" s="480" t="n">
        <v>100103</v>
      </c>
      <c r="D154" s="483" t="s">
        <v>1221</v>
      </c>
      <c r="E154" s="483" t="s">
        <v>1222</v>
      </c>
    </row>
    <row r="155" customFormat="false" ht="15" hidden="false" customHeight="false" outlineLevel="0" collapsed="false">
      <c r="A155" s="483" t="s">
        <v>1223</v>
      </c>
      <c r="B155" s="483" t="s">
        <v>1224</v>
      </c>
      <c r="C155" s="480" t="n">
        <v>100547</v>
      </c>
      <c r="D155" s="483" t="s">
        <v>1225</v>
      </c>
      <c r="E155" s="483" t="s">
        <v>1226</v>
      </c>
    </row>
    <row r="156" customFormat="false" ht="15" hidden="false" customHeight="false" outlineLevel="0" collapsed="false">
      <c r="A156" s="483" t="s">
        <v>1227</v>
      </c>
      <c r="B156" s="483" t="s">
        <v>1228</v>
      </c>
      <c r="C156" s="480" t="n">
        <v>190021</v>
      </c>
      <c r="D156" s="483" t="s">
        <v>1229</v>
      </c>
      <c r="E156" s="483" t="s">
        <v>1230</v>
      </c>
    </row>
    <row r="157" customFormat="false" ht="15" hidden="false" customHeight="false" outlineLevel="0" collapsed="false">
      <c r="A157" s="483" t="s">
        <v>1231</v>
      </c>
      <c r="B157" s="483" t="s">
        <v>1232</v>
      </c>
      <c r="C157" s="480" t="n">
        <v>132454</v>
      </c>
      <c r="D157" s="483" t="s">
        <v>1233</v>
      </c>
      <c r="E157" s="483" t="s">
        <v>1234</v>
      </c>
    </row>
    <row r="158" customFormat="false" ht="15" hidden="false" customHeight="false" outlineLevel="0" collapsed="false">
      <c r="A158" s="483" t="s">
        <v>1235</v>
      </c>
      <c r="B158" s="483" t="s">
        <v>1236</v>
      </c>
      <c r="C158" s="480" t="n">
        <v>132523</v>
      </c>
      <c r="D158" s="483" t="s">
        <v>1237</v>
      </c>
      <c r="E158" s="483" t="s">
        <v>1238</v>
      </c>
    </row>
    <row r="159" customFormat="false" ht="15" hidden="false" customHeight="false" outlineLevel="0" collapsed="false">
      <c r="A159" s="483" t="s">
        <v>1239</v>
      </c>
      <c r="B159" s="483" t="s">
        <v>1240</v>
      </c>
      <c r="C159" s="480" t="n">
        <v>100335</v>
      </c>
      <c r="D159" s="483" t="s">
        <v>1241</v>
      </c>
      <c r="E159" s="483" t="s">
        <v>1242</v>
      </c>
    </row>
    <row r="160" customFormat="false" ht="15" hidden="false" customHeight="false" outlineLevel="0" collapsed="false">
      <c r="A160" s="483" t="s">
        <v>1243</v>
      </c>
      <c r="B160" s="483" t="s">
        <v>1244</v>
      </c>
      <c r="C160" s="480" t="n">
        <v>132400</v>
      </c>
      <c r="D160" s="483" t="s">
        <v>1245</v>
      </c>
      <c r="E160" s="483" t="s">
        <v>1246</v>
      </c>
    </row>
    <row r="161" customFormat="false" ht="15" hidden="false" customHeight="false" outlineLevel="0" collapsed="false">
      <c r="A161" s="483" t="s">
        <v>1247</v>
      </c>
      <c r="B161" s="483" t="s">
        <v>1248</v>
      </c>
      <c r="C161" s="480" t="n">
        <v>100463</v>
      </c>
      <c r="D161" s="483" t="s">
        <v>1249</v>
      </c>
      <c r="E161" s="483" t="s">
        <v>1250</v>
      </c>
    </row>
    <row r="162" customFormat="false" ht="15" hidden="false" customHeight="false" outlineLevel="0" collapsed="false">
      <c r="A162" s="483" t="s">
        <v>1251</v>
      </c>
      <c r="B162" s="483"/>
      <c r="C162" s="480" t="n">
        <v>114183</v>
      </c>
      <c r="D162" s="483" t="s">
        <v>1252</v>
      </c>
      <c r="E162" s="483" t="s">
        <v>1253</v>
      </c>
    </row>
    <row r="163" customFormat="false" ht="15" hidden="false" customHeight="false" outlineLevel="0" collapsed="false">
      <c r="A163" s="483" t="s">
        <v>1254</v>
      </c>
      <c r="B163" s="483" t="s">
        <v>1255</v>
      </c>
      <c r="C163" s="480" t="n">
        <v>106197</v>
      </c>
      <c r="D163" s="483" t="s">
        <v>1256</v>
      </c>
      <c r="E163" s="483" t="s">
        <v>1257</v>
      </c>
    </row>
    <row r="164" customFormat="false" ht="15" hidden="false" customHeight="false" outlineLevel="0" collapsed="false">
      <c r="A164" s="483" t="s">
        <v>1258</v>
      </c>
      <c r="B164" s="483" t="s">
        <v>1259</v>
      </c>
      <c r="C164" s="480" t="n">
        <v>281585</v>
      </c>
      <c r="D164" s="483" t="s">
        <v>1260</v>
      </c>
      <c r="E164" s="483" t="s">
        <v>1261</v>
      </c>
    </row>
    <row r="165" customFormat="false" ht="15" hidden="false" customHeight="false" outlineLevel="0" collapsed="false">
      <c r="A165" s="483" t="s">
        <v>1262</v>
      </c>
      <c r="B165" s="483" t="s">
        <v>1263</v>
      </c>
      <c r="C165" s="480" t="n">
        <v>126612</v>
      </c>
      <c r="D165" s="483" t="s">
        <v>1264</v>
      </c>
      <c r="E165" s="483" t="s">
        <v>1265</v>
      </c>
    </row>
    <row r="166" customFormat="false" ht="15" hidden="false" customHeight="false" outlineLevel="0" collapsed="false">
      <c r="A166" s="483" t="s">
        <v>1266</v>
      </c>
      <c r="B166" s="483" t="s">
        <v>1267</v>
      </c>
      <c r="C166" s="480" t="n">
        <v>100067</v>
      </c>
      <c r="D166" s="483" t="s">
        <v>1268</v>
      </c>
      <c r="E166" s="483" t="s">
        <v>1269</v>
      </c>
    </row>
    <row r="167" customFormat="false" ht="15" hidden="false" customHeight="false" outlineLevel="0" collapsed="false">
      <c r="A167" s="483" t="s">
        <v>1270</v>
      </c>
      <c r="B167" s="483"/>
      <c r="C167" s="480" t="n">
        <v>212642</v>
      </c>
      <c r="D167" s="483" t="s">
        <v>1271</v>
      </c>
      <c r="E167" s="483" t="s">
        <v>1272</v>
      </c>
    </row>
    <row r="168" customFormat="false" ht="15" hidden="false" customHeight="false" outlineLevel="0" collapsed="false">
      <c r="A168" s="483" t="s">
        <v>1273</v>
      </c>
      <c r="B168" s="483" t="s">
        <v>1274</v>
      </c>
      <c r="C168" s="480" t="n">
        <v>124370</v>
      </c>
      <c r="D168" s="483" t="s">
        <v>1275</v>
      </c>
      <c r="E168" s="483" t="s">
        <v>1276</v>
      </c>
    </row>
    <row r="169" customFormat="false" ht="15" hidden="false" customHeight="false" outlineLevel="0" collapsed="false">
      <c r="A169" s="483" t="s">
        <v>1277</v>
      </c>
      <c r="B169" s="483" t="s">
        <v>1278</v>
      </c>
      <c r="C169" s="480" t="n">
        <v>101425</v>
      </c>
      <c r="D169" s="483" t="s">
        <v>1279</v>
      </c>
      <c r="E169" s="483" t="s">
        <v>1280</v>
      </c>
    </row>
    <row r="170" customFormat="false" ht="15" hidden="false" customHeight="false" outlineLevel="0" collapsed="false">
      <c r="A170" s="483" t="s">
        <v>1281</v>
      </c>
      <c r="B170" s="483" t="s">
        <v>1282</v>
      </c>
      <c r="C170" s="480" t="n">
        <v>100020</v>
      </c>
      <c r="D170" s="483" t="s">
        <v>1283</v>
      </c>
      <c r="E170" s="483" t="s">
        <v>1284</v>
      </c>
    </row>
    <row r="171" customFormat="false" ht="15" hidden="false" customHeight="false" outlineLevel="0" collapsed="false">
      <c r="A171" s="483" t="s">
        <v>1285</v>
      </c>
      <c r="B171" s="483" t="s">
        <v>1286</v>
      </c>
      <c r="C171" s="480" t="n">
        <v>299229</v>
      </c>
      <c r="D171" s="483" t="s">
        <v>1287</v>
      </c>
      <c r="E171" s="483" t="s">
        <v>1288</v>
      </c>
    </row>
    <row r="172" customFormat="false" ht="15" hidden="false" customHeight="false" outlineLevel="0" collapsed="false">
      <c r="A172" s="483" t="s">
        <v>1289</v>
      </c>
      <c r="B172" s="483" t="s">
        <v>1290</v>
      </c>
      <c r="C172" s="480" t="n">
        <v>102219</v>
      </c>
      <c r="D172" s="483" t="s">
        <v>1291</v>
      </c>
      <c r="E172" s="483" t="s">
        <v>1292</v>
      </c>
    </row>
    <row r="173" customFormat="false" ht="15" hidden="false" customHeight="false" outlineLevel="0" collapsed="false">
      <c r="A173" s="483" t="s">
        <v>1293</v>
      </c>
      <c r="B173" s="483" t="s">
        <v>1294</v>
      </c>
      <c r="C173" s="480" t="n">
        <v>100530</v>
      </c>
      <c r="D173" s="483" t="s">
        <v>1295</v>
      </c>
      <c r="E173" s="483" t="s">
        <v>1296</v>
      </c>
    </row>
    <row r="174" customFormat="false" ht="15" hidden="false" customHeight="false" outlineLevel="0" collapsed="false">
      <c r="A174" s="483" t="s">
        <v>1297</v>
      </c>
      <c r="B174" s="483" t="s">
        <v>1298</v>
      </c>
      <c r="C174" s="480" t="n">
        <v>200020</v>
      </c>
      <c r="D174" s="483" t="s">
        <v>1299</v>
      </c>
      <c r="E174" s="483" t="s">
        <v>1300</v>
      </c>
    </row>
    <row r="175" customFormat="false" ht="15" hidden="false" customHeight="false" outlineLevel="0" collapsed="false">
      <c r="A175" s="483" t="s">
        <v>1301</v>
      </c>
      <c r="B175" s="483" t="s">
        <v>1302</v>
      </c>
      <c r="C175" s="480" t="n">
        <v>132368</v>
      </c>
      <c r="D175" s="483" t="s">
        <v>1303</v>
      </c>
      <c r="E175" s="483" t="s">
        <v>1304</v>
      </c>
    </row>
    <row r="176" customFormat="false" ht="15" hidden="false" customHeight="false" outlineLevel="0" collapsed="false">
      <c r="A176" s="483" t="s">
        <v>1305</v>
      </c>
      <c r="B176" s="483" t="s">
        <v>1306</v>
      </c>
      <c r="C176" s="480" t="n">
        <v>100825</v>
      </c>
      <c r="D176" s="483" t="s">
        <v>1307</v>
      </c>
      <c r="E176" s="483" t="s">
        <v>1308</v>
      </c>
    </row>
    <row r="177" customFormat="false" ht="15" hidden="false" customHeight="false" outlineLevel="0" collapsed="false">
      <c r="A177" s="483" t="s">
        <v>1309</v>
      </c>
      <c r="B177" s="483" t="s">
        <v>1310</v>
      </c>
      <c r="C177" s="480" t="n">
        <v>207901</v>
      </c>
      <c r="D177" s="483" t="s">
        <v>1311</v>
      </c>
      <c r="E177" s="483" t="s">
        <v>1312</v>
      </c>
    </row>
    <row r="178" customFormat="false" ht="15" hidden="false" customHeight="false" outlineLevel="0" collapsed="false">
      <c r="A178" s="483" t="s">
        <v>1313</v>
      </c>
      <c r="B178" s="483" t="s">
        <v>1314</v>
      </c>
      <c r="C178" s="480" t="n">
        <v>296214</v>
      </c>
      <c r="D178" s="483" t="s">
        <v>1315</v>
      </c>
      <c r="E178" s="483" t="s">
        <v>1316</v>
      </c>
    </row>
    <row r="179" customFormat="false" ht="15" hidden="false" customHeight="false" outlineLevel="0" collapsed="false">
      <c r="A179" s="483" t="s">
        <v>1317</v>
      </c>
      <c r="B179" s="483" t="s">
        <v>1318</v>
      </c>
      <c r="C179" s="480" t="n">
        <v>117421</v>
      </c>
      <c r="D179" s="483" t="s">
        <v>1319</v>
      </c>
      <c r="E179" s="483" t="s">
        <v>1320</v>
      </c>
    </row>
    <row r="180" customFormat="false" ht="15" hidden="false" customHeight="false" outlineLevel="0" collapsed="false">
      <c r="A180" s="483" t="s">
        <v>1321</v>
      </c>
      <c r="B180" s="483" t="s">
        <v>1322</v>
      </c>
      <c r="C180" s="480" t="n">
        <v>132321</v>
      </c>
      <c r="D180" s="483" t="s">
        <v>1323</v>
      </c>
      <c r="E180" s="483" t="s">
        <v>1324</v>
      </c>
    </row>
    <row r="181" customFormat="false" ht="15" hidden="false" customHeight="false" outlineLevel="0" collapsed="false">
      <c r="A181" s="483" t="s">
        <v>1325</v>
      </c>
      <c r="B181" s="483" t="s">
        <v>1326</v>
      </c>
      <c r="C181" s="480" t="n">
        <v>132834</v>
      </c>
      <c r="D181" s="483" t="s">
        <v>1327</v>
      </c>
      <c r="E181" s="483" t="s">
        <v>1328</v>
      </c>
    </row>
    <row r="182" customFormat="false" ht="15" hidden="false" customHeight="false" outlineLevel="0" collapsed="false">
      <c r="A182" s="483" t="s">
        <v>1329</v>
      </c>
      <c r="B182" s="483" t="s">
        <v>1330</v>
      </c>
      <c r="C182" s="480" t="n">
        <v>111196</v>
      </c>
      <c r="D182" s="483" t="s">
        <v>1331</v>
      </c>
      <c r="E182" s="483" t="s">
        <v>1332</v>
      </c>
    </row>
    <row r="183" customFormat="false" ht="15" hidden="false" customHeight="false" outlineLevel="0" collapsed="false">
      <c r="A183" s="483" t="s">
        <v>1333</v>
      </c>
      <c r="B183" s="483" t="s">
        <v>1334</v>
      </c>
      <c r="C183" s="480" t="n">
        <v>219452</v>
      </c>
      <c r="D183" s="483" t="s">
        <v>1335</v>
      </c>
      <c r="E183" s="483" t="s">
        <v>1336</v>
      </c>
    </row>
    <row r="184" customFormat="false" ht="15" hidden="false" customHeight="false" outlineLevel="0" collapsed="false">
      <c r="A184" s="483" t="s">
        <v>1337</v>
      </c>
      <c r="B184" s="483" t="s">
        <v>1338</v>
      </c>
      <c r="C184" s="480" t="n">
        <v>285668</v>
      </c>
      <c r="D184" s="483" t="s">
        <v>1339</v>
      </c>
      <c r="E184" s="483" t="s">
        <v>1340</v>
      </c>
    </row>
    <row r="185" customFormat="false" ht="15" hidden="false" customHeight="false" outlineLevel="0" collapsed="false">
      <c r="A185" s="483" t="s">
        <v>1341</v>
      </c>
      <c r="B185" s="483"/>
      <c r="C185" s="480" t="n">
        <v>130879</v>
      </c>
      <c r="D185" s="483" t="s">
        <v>1342</v>
      </c>
      <c r="E185" s="483" t="s">
        <v>1343</v>
      </c>
    </row>
    <row r="186" customFormat="false" ht="15" hidden="false" customHeight="false" outlineLevel="0" collapsed="false">
      <c r="A186" s="483" t="s">
        <v>1344</v>
      </c>
      <c r="B186" s="483" t="s">
        <v>1345</v>
      </c>
      <c r="C186" s="480" t="n">
        <v>124742</v>
      </c>
      <c r="D186" s="483" t="s">
        <v>1346</v>
      </c>
      <c r="E186" s="483" t="s">
        <v>1347</v>
      </c>
    </row>
    <row r="187" customFormat="false" ht="15" hidden="false" customHeight="false" outlineLevel="0" collapsed="false">
      <c r="A187" s="483" t="s">
        <v>1348</v>
      </c>
      <c r="B187" s="483" t="s">
        <v>1349</v>
      </c>
      <c r="C187" s="480" t="n">
        <v>131595</v>
      </c>
      <c r="D187" s="483" t="s">
        <v>1350</v>
      </c>
      <c r="E187" s="483" t="s">
        <v>1351</v>
      </c>
    </row>
    <row r="188" customFormat="false" ht="15" hidden="false" customHeight="false" outlineLevel="0" collapsed="false">
      <c r="A188" s="483" t="s">
        <v>1352</v>
      </c>
      <c r="B188" s="483" t="s">
        <v>1353</v>
      </c>
      <c r="C188" s="480" t="n">
        <v>113375</v>
      </c>
      <c r="D188" s="483" t="s">
        <v>1354</v>
      </c>
      <c r="E188" s="483" t="s">
        <v>1355</v>
      </c>
    </row>
    <row r="189" customFormat="false" ht="15" hidden="false" customHeight="false" outlineLevel="0" collapsed="false">
      <c r="A189" s="483" t="s">
        <v>1356</v>
      </c>
      <c r="B189" s="483" t="s">
        <v>1357</v>
      </c>
      <c r="C189" s="480" t="n">
        <v>227347</v>
      </c>
      <c r="D189" s="483" t="s">
        <v>1358</v>
      </c>
      <c r="E189" s="483" t="s">
        <v>1359</v>
      </c>
    </row>
    <row r="190" customFormat="false" ht="15" hidden="false" customHeight="false" outlineLevel="0" collapsed="false">
      <c r="A190" s="483" t="s">
        <v>1360</v>
      </c>
      <c r="B190" s="483" t="s">
        <v>1361</v>
      </c>
      <c r="C190" s="480" t="n">
        <v>275316</v>
      </c>
      <c r="D190" s="483" t="s">
        <v>1362</v>
      </c>
      <c r="E190" s="483" t="s">
        <v>1363</v>
      </c>
    </row>
    <row r="191" customFormat="false" ht="15" hidden="false" customHeight="false" outlineLevel="0" collapsed="false">
      <c r="A191" s="483" t="s">
        <v>1364</v>
      </c>
      <c r="B191" s="483" t="s">
        <v>1365</v>
      </c>
      <c r="C191" s="480" t="n">
        <v>100870</v>
      </c>
      <c r="D191" s="483" t="s">
        <v>1366</v>
      </c>
      <c r="E191" s="483" t="s">
        <v>1367</v>
      </c>
    </row>
    <row r="192" customFormat="false" ht="15" hidden="false" customHeight="false" outlineLevel="0" collapsed="false">
      <c r="A192" s="483" t="s">
        <v>1368</v>
      </c>
      <c r="B192" s="483" t="s">
        <v>1369</v>
      </c>
      <c r="C192" s="480" t="n">
        <v>119600</v>
      </c>
      <c r="D192" s="483" t="s">
        <v>1370</v>
      </c>
      <c r="E192" s="483" t="s">
        <v>1371</v>
      </c>
    </row>
    <row r="193" customFormat="false" ht="15" hidden="false" customHeight="false" outlineLevel="0" collapsed="false">
      <c r="A193" s="483" t="s">
        <v>1372</v>
      </c>
      <c r="B193" s="483" t="s">
        <v>1373</v>
      </c>
      <c r="C193" s="480" t="n">
        <v>303322</v>
      </c>
      <c r="D193" s="483" t="s">
        <v>1374</v>
      </c>
      <c r="E193" s="483" t="s">
        <v>1375</v>
      </c>
    </row>
    <row r="194" customFormat="false" ht="15" hidden="false" customHeight="false" outlineLevel="0" collapsed="false">
      <c r="A194" s="483" t="s">
        <v>1376</v>
      </c>
      <c r="B194" s="483" t="s">
        <v>1377</v>
      </c>
      <c r="C194" s="480" t="n">
        <v>100878</v>
      </c>
      <c r="D194" s="483" t="s">
        <v>1378</v>
      </c>
      <c r="E194" s="483" t="s">
        <v>1379</v>
      </c>
    </row>
    <row r="195" customFormat="false" ht="15" hidden="false" customHeight="false" outlineLevel="0" collapsed="false">
      <c r="A195" s="483" t="s">
        <v>1380</v>
      </c>
      <c r="B195" s="483" t="s">
        <v>1381</v>
      </c>
      <c r="C195" s="480" t="n">
        <v>132885</v>
      </c>
      <c r="D195" s="483" t="s">
        <v>1382</v>
      </c>
      <c r="E195" s="483" t="s">
        <v>1383</v>
      </c>
    </row>
    <row r="196" customFormat="false" ht="15" hidden="false" customHeight="false" outlineLevel="0" collapsed="false">
      <c r="A196" s="483" t="s">
        <v>1384</v>
      </c>
      <c r="B196" s="483" t="s">
        <v>1385</v>
      </c>
      <c r="C196" s="480" t="n">
        <v>207950</v>
      </c>
      <c r="D196" s="483" t="s">
        <v>1386</v>
      </c>
      <c r="E196" s="483" t="s">
        <v>1387</v>
      </c>
    </row>
    <row r="197" customFormat="false" ht="15" hidden="false" customHeight="false" outlineLevel="0" collapsed="false">
      <c r="A197" s="483" t="s">
        <v>1388</v>
      </c>
      <c r="B197" s="483" t="s">
        <v>1389</v>
      </c>
      <c r="C197" s="480" t="n">
        <v>101150</v>
      </c>
      <c r="D197" s="483" t="s">
        <v>1390</v>
      </c>
      <c r="E197" s="483" t="s">
        <v>1391</v>
      </c>
    </row>
    <row r="198" customFormat="false" ht="15" hidden="false" customHeight="false" outlineLevel="0" collapsed="false">
      <c r="A198" s="483" t="s">
        <v>1392</v>
      </c>
      <c r="B198" s="483" t="s">
        <v>1393</v>
      </c>
      <c r="C198" s="480" t="n">
        <v>117544</v>
      </c>
      <c r="D198" s="483" t="s">
        <v>1394</v>
      </c>
      <c r="E198" s="483" t="s">
        <v>1395</v>
      </c>
    </row>
    <row r="199" customFormat="false" ht="15" hidden="false" customHeight="false" outlineLevel="0" collapsed="false">
      <c r="A199" s="483" t="s">
        <v>1396</v>
      </c>
      <c r="B199" s="483" t="s">
        <v>1397</v>
      </c>
      <c r="C199" s="480" t="n">
        <v>100280</v>
      </c>
      <c r="D199" s="483" t="s">
        <v>1398</v>
      </c>
      <c r="E199" s="483" t="s">
        <v>1399</v>
      </c>
    </row>
    <row r="200" customFormat="false" ht="15" hidden="false" customHeight="false" outlineLevel="0" collapsed="false">
      <c r="A200" s="483" t="s">
        <v>1400</v>
      </c>
      <c r="B200" s="483" t="s">
        <v>1401</v>
      </c>
      <c r="C200" s="480" t="n">
        <v>132548</v>
      </c>
      <c r="D200" s="483" t="s">
        <v>1402</v>
      </c>
      <c r="E200" s="483" t="s">
        <v>1403</v>
      </c>
    </row>
    <row r="201" customFormat="false" ht="15" hidden="false" customHeight="false" outlineLevel="0" collapsed="false">
      <c r="A201" s="483" t="s">
        <v>1404</v>
      </c>
      <c r="B201" s="483" t="s">
        <v>1405</v>
      </c>
      <c r="C201" s="480" t="n">
        <v>100040</v>
      </c>
      <c r="D201" s="483" t="s">
        <v>1406</v>
      </c>
      <c r="E201" s="483" t="s">
        <v>1407</v>
      </c>
    </row>
    <row r="202" customFormat="false" ht="15" hidden="false" customHeight="false" outlineLevel="0" collapsed="false">
      <c r="A202" s="483" t="s">
        <v>1408</v>
      </c>
      <c r="B202" s="483" t="s">
        <v>1409</v>
      </c>
      <c r="C202" s="480" t="n">
        <v>132443</v>
      </c>
      <c r="D202" s="483" t="s">
        <v>1410</v>
      </c>
      <c r="E202" s="483" t="s">
        <v>1411</v>
      </c>
    </row>
    <row r="203" customFormat="false" ht="15" hidden="false" customHeight="false" outlineLevel="0" collapsed="false">
      <c r="A203" s="483" t="s">
        <v>1412</v>
      </c>
      <c r="B203" s="483" t="s">
        <v>1413</v>
      </c>
      <c r="C203" s="480" t="n">
        <v>132413</v>
      </c>
      <c r="D203" s="483" t="s">
        <v>1414</v>
      </c>
      <c r="E203" s="483" t="s">
        <v>1415</v>
      </c>
    </row>
    <row r="204" customFormat="false" ht="15" hidden="false" customHeight="false" outlineLevel="0" collapsed="false">
      <c r="A204" s="483" t="s">
        <v>1416</v>
      </c>
      <c r="B204" s="483" t="s">
        <v>1417</v>
      </c>
      <c r="C204" s="480" t="n">
        <v>100084</v>
      </c>
      <c r="D204" s="483" t="s">
        <v>1418</v>
      </c>
      <c r="E204" s="483" t="s">
        <v>1419</v>
      </c>
    </row>
    <row r="205" customFormat="false" ht="15" hidden="false" customHeight="false" outlineLevel="0" collapsed="false">
      <c r="A205" s="483" t="s">
        <v>1420</v>
      </c>
      <c r="B205" s="483" t="s">
        <v>1421</v>
      </c>
      <c r="C205" s="480" t="n">
        <v>100093</v>
      </c>
      <c r="D205" s="483" t="s">
        <v>1422</v>
      </c>
      <c r="E205" s="483" t="s">
        <v>1423</v>
      </c>
    </row>
    <row r="206" customFormat="false" ht="15" hidden="false" customHeight="false" outlineLevel="0" collapsed="false">
      <c r="A206" s="483" t="s">
        <v>1424</v>
      </c>
      <c r="B206" s="483" t="s">
        <v>1425</v>
      </c>
      <c r="C206" s="480" t="n">
        <v>207959</v>
      </c>
      <c r="D206" s="483" t="s">
        <v>1426</v>
      </c>
      <c r="E206" s="483" t="s">
        <v>1427</v>
      </c>
    </row>
    <row r="207" customFormat="false" ht="15" hidden="false" customHeight="false" outlineLevel="0" collapsed="false">
      <c r="A207" s="483" t="s">
        <v>1428</v>
      </c>
      <c r="B207" s="483" t="s">
        <v>1429</v>
      </c>
      <c r="C207" s="480" t="n">
        <v>100085</v>
      </c>
      <c r="D207" s="483" t="s">
        <v>1430</v>
      </c>
      <c r="E207" s="483" t="s">
        <v>1431</v>
      </c>
    </row>
    <row r="208" customFormat="false" ht="15" hidden="false" customHeight="false" outlineLevel="0" collapsed="false">
      <c r="A208" s="483" t="s">
        <v>1432</v>
      </c>
      <c r="B208" s="483" t="s">
        <v>1433</v>
      </c>
      <c r="C208" s="480" t="n">
        <v>295757</v>
      </c>
      <c r="D208" s="483" t="s">
        <v>1434</v>
      </c>
      <c r="E208" s="483" t="s">
        <v>1435</v>
      </c>
    </row>
    <row r="209" customFormat="false" ht="15" hidden="false" customHeight="false" outlineLevel="0" collapsed="false">
      <c r="A209" s="483" t="s">
        <v>1436</v>
      </c>
      <c r="B209" s="483" t="s">
        <v>1437</v>
      </c>
      <c r="C209" s="480" t="n">
        <v>106355</v>
      </c>
      <c r="D209" s="483" t="s">
        <v>1438</v>
      </c>
      <c r="E209" s="483" t="s">
        <v>1439</v>
      </c>
    </row>
    <row r="210" customFormat="false" ht="15" hidden="false" customHeight="false" outlineLevel="0" collapsed="false">
      <c r="A210" s="483" t="s">
        <v>1440</v>
      </c>
      <c r="B210" s="483" t="s">
        <v>1441</v>
      </c>
      <c r="C210" s="480" t="n">
        <v>100110</v>
      </c>
      <c r="D210" s="483" t="s">
        <v>1442</v>
      </c>
      <c r="E210" s="483" t="s">
        <v>1443</v>
      </c>
    </row>
    <row r="211" customFormat="false" ht="15" hidden="false" customHeight="false" outlineLevel="0" collapsed="false">
      <c r="A211" s="483" t="s">
        <v>1444</v>
      </c>
      <c r="B211" s="483"/>
      <c r="C211" s="480" t="n">
        <v>126817</v>
      </c>
      <c r="D211" s="483" t="s">
        <v>1445</v>
      </c>
      <c r="E211" s="483" t="s">
        <v>1446</v>
      </c>
    </row>
    <row r="212" customFormat="false" ht="15" hidden="false" customHeight="false" outlineLevel="0" collapsed="false">
      <c r="A212" s="483" t="s">
        <v>1447</v>
      </c>
      <c r="B212" s="483"/>
      <c r="C212" s="480" t="n">
        <v>131358</v>
      </c>
      <c r="D212" s="483" t="s">
        <v>1448</v>
      </c>
      <c r="E212" s="483" t="s">
        <v>1449</v>
      </c>
    </row>
    <row r="213" customFormat="false" ht="15" hidden="false" customHeight="false" outlineLevel="0" collapsed="false">
      <c r="A213" s="483" t="s">
        <v>1450</v>
      </c>
      <c r="B213" s="483" t="s">
        <v>1451</v>
      </c>
      <c r="C213" s="480" t="n">
        <v>104973</v>
      </c>
      <c r="D213" s="483" t="s">
        <v>1452</v>
      </c>
      <c r="E213" s="483" t="s">
        <v>1453</v>
      </c>
    </row>
    <row r="214" customFormat="false" ht="15" hidden="false" customHeight="false" outlineLevel="0" collapsed="false">
      <c r="A214" s="483" t="s">
        <v>1454</v>
      </c>
      <c r="B214" s="483" t="s">
        <v>1455</v>
      </c>
      <c r="C214" s="480" t="n">
        <v>111243</v>
      </c>
      <c r="D214" s="483" t="s">
        <v>1456</v>
      </c>
      <c r="E214" s="483" t="s">
        <v>1457</v>
      </c>
    </row>
    <row r="215" customFormat="false" ht="15" hidden="false" customHeight="false" outlineLevel="0" collapsed="false">
      <c r="A215" s="483" t="s">
        <v>1458</v>
      </c>
      <c r="B215" s="483" t="s">
        <v>1459</v>
      </c>
      <c r="C215" s="480" t="n">
        <v>205759</v>
      </c>
      <c r="D215" s="483" t="s">
        <v>1460</v>
      </c>
      <c r="E215" s="483" t="s">
        <v>1461</v>
      </c>
    </row>
    <row r="216" customFormat="false" ht="15" hidden="false" customHeight="false" outlineLevel="0" collapsed="false">
      <c r="A216" s="483" t="s">
        <v>1462</v>
      </c>
      <c r="B216" s="483" t="s">
        <v>1463</v>
      </c>
      <c r="C216" s="480" t="n">
        <v>100087</v>
      </c>
      <c r="D216" s="483" t="s">
        <v>1464</v>
      </c>
      <c r="E216" s="483" t="s">
        <v>1465</v>
      </c>
    </row>
    <row r="217" customFormat="false" ht="15" hidden="false" customHeight="false" outlineLevel="0" collapsed="false">
      <c r="A217" s="483" t="s">
        <v>1466</v>
      </c>
      <c r="B217" s="483" t="s">
        <v>1467</v>
      </c>
      <c r="C217" s="480" t="n">
        <v>132210</v>
      </c>
      <c r="D217" s="483" t="s">
        <v>1468</v>
      </c>
      <c r="E217" s="483" t="s">
        <v>1469</v>
      </c>
    </row>
    <row r="218" customFormat="false" ht="15" hidden="false" customHeight="false" outlineLevel="0" collapsed="false">
      <c r="A218" s="483" t="s">
        <v>1470</v>
      </c>
      <c r="B218" s="483" t="s">
        <v>1471</v>
      </c>
      <c r="C218" s="480" t="n">
        <v>106390</v>
      </c>
      <c r="D218" s="483" t="s">
        <v>1472</v>
      </c>
      <c r="E218" s="483" t="s">
        <v>1473</v>
      </c>
    </row>
    <row r="219" customFormat="false" ht="15" hidden="false" customHeight="false" outlineLevel="0" collapsed="false">
      <c r="A219" s="483" t="s">
        <v>1474</v>
      </c>
      <c r="B219" s="483" t="s">
        <v>1475</v>
      </c>
      <c r="C219" s="480" t="n">
        <v>301912</v>
      </c>
      <c r="D219" s="483" t="s">
        <v>1476</v>
      </c>
      <c r="E219" s="483" t="s">
        <v>1477</v>
      </c>
    </row>
    <row r="220" customFormat="false" ht="15" hidden="false" customHeight="false" outlineLevel="0" collapsed="false">
      <c r="A220" s="483" t="s">
        <v>1478</v>
      </c>
      <c r="B220" s="483" t="s">
        <v>1479</v>
      </c>
      <c r="C220" s="480" t="n">
        <v>219300</v>
      </c>
      <c r="D220" s="483" t="s">
        <v>1480</v>
      </c>
      <c r="E220" s="483" t="s">
        <v>1481</v>
      </c>
    </row>
    <row r="221" customFormat="false" ht="15" hidden="false" customHeight="false" outlineLevel="0" collapsed="false">
      <c r="A221" s="483" t="s">
        <v>1482</v>
      </c>
      <c r="B221" s="483" t="s">
        <v>1483</v>
      </c>
      <c r="C221" s="480" t="n">
        <v>219691</v>
      </c>
      <c r="D221" s="483" t="s">
        <v>1484</v>
      </c>
      <c r="E221" s="483" t="s">
        <v>1485</v>
      </c>
    </row>
    <row r="222" customFormat="false" ht="15" hidden="false" customHeight="false" outlineLevel="0" collapsed="false">
      <c r="A222" s="483" t="s">
        <v>1486</v>
      </c>
      <c r="B222" s="483" t="s">
        <v>1487</v>
      </c>
      <c r="C222" s="480" t="n">
        <v>232575</v>
      </c>
      <c r="D222" s="483" t="s">
        <v>1488</v>
      </c>
      <c r="E222" s="483" t="s">
        <v>1489</v>
      </c>
    </row>
    <row r="223" customFormat="false" ht="15" hidden="false" customHeight="false" outlineLevel="0" collapsed="false">
      <c r="A223" s="483" t="s">
        <v>1490</v>
      </c>
      <c r="B223" s="483" t="s">
        <v>1491</v>
      </c>
      <c r="C223" s="480" t="n">
        <v>132541</v>
      </c>
      <c r="D223" s="483" t="s">
        <v>1492</v>
      </c>
      <c r="E223" s="483" t="s">
        <v>1493</v>
      </c>
    </row>
    <row r="224" customFormat="false" ht="15" hidden="false" customHeight="false" outlineLevel="0" collapsed="false">
      <c r="A224" s="483" t="s">
        <v>1494</v>
      </c>
      <c r="B224" s="483" t="s">
        <v>1495</v>
      </c>
      <c r="C224" s="480" t="n">
        <v>100830</v>
      </c>
      <c r="D224" s="483" t="s">
        <v>1496</v>
      </c>
      <c r="E224" s="483" t="s">
        <v>1497</v>
      </c>
    </row>
    <row r="225" customFormat="false" ht="15" hidden="false" customHeight="false" outlineLevel="0" collapsed="false">
      <c r="A225" s="483" t="s">
        <v>1498</v>
      </c>
      <c r="B225" s="483" t="s">
        <v>1499</v>
      </c>
      <c r="C225" s="480" t="n">
        <v>210036</v>
      </c>
      <c r="D225" s="483" t="s">
        <v>1500</v>
      </c>
      <c r="E225" s="483" t="s">
        <v>1501</v>
      </c>
    </row>
    <row r="226" customFormat="false" ht="15" hidden="false" customHeight="false" outlineLevel="0" collapsed="false">
      <c r="A226" s="483" t="s">
        <v>1502</v>
      </c>
      <c r="B226" s="483" t="s">
        <v>1503</v>
      </c>
      <c r="C226" s="480" t="n">
        <v>126829</v>
      </c>
      <c r="D226" s="483" t="s">
        <v>1504</v>
      </c>
      <c r="E226" s="483" t="s">
        <v>1505</v>
      </c>
    </row>
    <row r="227" customFormat="false" ht="15" hidden="false" customHeight="false" outlineLevel="0" collapsed="false">
      <c r="A227" s="483" t="s">
        <v>1506</v>
      </c>
      <c r="B227" s="483" t="s">
        <v>1507</v>
      </c>
      <c r="C227" s="480" t="n">
        <v>100226</v>
      </c>
      <c r="D227" s="483" t="s">
        <v>1508</v>
      </c>
      <c r="E227" s="483" t="s">
        <v>1509</v>
      </c>
    </row>
    <row r="228" customFormat="false" ht="15" hidden="false" customHeight="false" outlineLevel="0" collapsed="false">
      <c r="A228" s="483" t="s">
        <v>1510</v>
      </c>
      <c r="B228" s="483" t="s">
        <v>1511</v>
      </c>
      <c r="C228" s="480" t="n">
        <v>131344</v>
      </c>
      <c r="D228" s="483" t="s">
        <v>1512</v>
      </c>
      <c r="E228" s="483" t="s">
        <v>1513</v>
      </c>
    </row>
    <row r="229" customFormat="false" ht="15" hidden="false" customHeight="false" outlineLevel="0" collapsed="false">
      <c r="A229" s="483" t="s">
        <v>1514</v>
      </c>
      <c r="B229" s="483" t="s">
        <v>1515</v>
      </c>
      <c r="C229" s="480" t="n">
        <v>122295</v>
      </c>
      <c r="D229" s="483" t="s">
        <v>1516</v>
      </c>
      <c r="E229" s="483" t="s">
        <v>1517</v>
      </c>
    </row>
    <row r="230" customFormat="false" ht="15" hidden="false" customHeight="false" outlineLevel="0" collapsed="false">
      <c r="A230" s="483" t="s">
        <v>1518</v>
      </c>
      <c r="B230" s="483" t="s">
        <v>1519</v>
      </c>
      <c r="C230" s="480" t="n">
        <v>106395</v>
      </c>
      <c r="D230" s="483" t="s">
        <v>1520</v>
      </c>
      <c r="E230" s="483" t="s">
        <v>1521</v>
      </c>
    </row>
    <row r="231" customFormat="false" ht="15" hidden="false" customHeight="false" outlineLevel="0" collapsed="false">
      <c r="A231" s="483" t="s">
        <v>1522</v>
      </c>
      <c r="B231" s="483" t="s">
        <v>1523</v>
      </c>
      <c r="C231" s="480" t="n">
        <v>108814</v>
      </c>
      <c r="D231" s="483" t="s">
        <v>1524</v>
      </c>
      <c r="E231" s="483" t="s">
        <v>1525</v>
      </c>
    </row>
    <row r="232" customFormat="false" ht="15" hidden="false" customHeight="false" outlineLevel="0" collapsed="false">
      <c r="A232" s="483" t="s">
        <v>1526</v>
      </c>
      <c r="B232" s="483" t="s">
        <v>1527</v>
      </c>
      <c r="C232" s="480" t="n">
        <v>215216</v>
      </c>
      <c r="D232" s="483" t="s">
        <v>1528</v>
      </c>
      <c r="E232" s="483" t="s">
        <v>1529</v>
      </c>
    </row>
    <row r="233" customFormat="false" ht="15" hidden="false" customHeight="false" outlineLevel="0" collapsed="false">
      <c r="A233" s="483" t="s">
        <v>1530</v>
      </c>
      <c r="B233" s="483" t="s">
        <v>1531</v>
      </c>
      <c r="C233" s="480" t="n">
        <v>285246</v>
      </c>
      <c r="D233" s="483" t="s">
        <v>1532</v>
      </c>
      <c r="E233" s="483" t="s">
        <v>1533</v>
      </c>
    </row>
    <row r="234" customFormat="false" ht="15" hidden="false" customHeight="false" outlineLevel="0" collapsed="false">
      <c r="A234" s="483" t="s">
        <v>1534</v>
      </c>
      <c r="B234" s="483" t="s">
        <v>1535</v>
      </c>
      <c r="C234" s="480" t="n">
        <v>221842</v>
      </c>
      <c r="D234" s="483" t="s">
        <v>1536</v>
      </c>
      <c r="E234" s="483" t="s">
        <v>1537</v>
      </c>
    </row>
    <row r="235" customFormat="false" ht="15" hidden="false" customHeight="false" outlineLevel="0" collapsed="false">
      <c r="A235" s="483" t="s">
        <v>1538</v>
      </c>
      <c r="B235" s="483" t="s">
        <v>1539</v>
      </c>
      <c r="C235" s="480" t="n">
        <v>100092</v>
      </c>
      <c r="D235" s="483" t="s">
        <v>1540</v>
      </c>
      <c r="E235" s="483" t="s">
        <v>1541</v>
      </c>
    </row>
    <row r="236" customFormat="false" ht="15" hidden="false" customHeight="false" outlineLevel="0" collapsed="false">
      <c r="A236" s="483" t="s">
        <v>1542</v>
      </c>
      <c r="B236" s="483" t="s">
        <v>1543</v>
      </c>
      <c r="C236" s="480" t="n">
        <v>280713</v>
      </c>
      <c r="D236" s="483" t="s">
        <v>1544</v>
      </c>
      <c r="E236" s="483" t="s">
        <v>1545</v>
      </c>
    </row>
    <row r="237" customFormat="false" ht="15" hidden="false" customHeight="false" outlineLevel="0" collapsed="false">
      <c r="A237" s="483" t="s">
        <v>1546</v>
      </c>
      <c r="B237" s="483" t="s">
        <v>1547</v>
      </c>
      <c r="C237" s="480" t="n">
        <v>295768</v>
      </c>
      <c r="D237" s="483" t="s">
        <v>1548</v>
      </c>
      <c r="E237" s="483" t="s">
        <v>1549</v>
      </c>
    </row>
    <row r="238" customFormat="false" ht="15" hidden="false" customHeight="false" outlineLevel="0" collapsed="false">
      <c r="A238" s="483" t="s">
        <v>1550</v>
      </c>
      <c r="B238" s="483" t="s">
        <v>1551</v>
      </c>
      <c r="C238" s="480" t="n">
        <v>100480</v>
      </c>
      <c r="D238" s="483" t="s">
        <v>1552</v>
      </c>
      <c r="E238" s="483" t="s">
        <v>1553</v>
      </c>
    </row>
    <row r="239" customFormat="false" ht="15" hidden="false" customHeight="false" outlineLevel="0" collapsed="false">
      <c r="A239" s="483" t="s">
        <v>1554</v>
      </c>
      <c r="B239" s="483" t="s">
        <v>1555</v>
      </c>
      <c r="C239" s="480" t="n">
        <v>132175</v>
      </c>
      <c r="D239" s="483" t="s">
        <v>1556</v>
      </c>
      <c r="E239" s="483" t="s">
        <v>1557</v>
      </c>
    </row>
    <row r="240" customFormat="false" ht="15" hidden="false" customHeight="false" outlineLevel="0" collapsed="false">
      <c r="A240" s="483" t="s">
        <v>1558</v>
      </c>
      <c r="B240" s="483" t="s">
        <v>1559</v>
      </c>
      <c r="C240" s="480" t="n">
        <v>200067</v>
      </c>
      <c r="D240" s="483" t="s">
        <v>1560</v>
      </c>
      <c r="E240" s="483" t="s">
        <v>1561</v>
      </c>
    </row>
    <row r="241" customFormat="false" ht="15" hidden="false" customHeight="false" outlineLevel="0" collapsed="false">
      <c r="A241" s="483" t="s">
        <v>1562</v>
      </c>
      <c r="B241" s="483" t="s">
        <v>1563</v>
      </c>
      <c r="C241" s="480" t="n">
        <v>287446</v>
      </c>
      <c r="D241" s="483" t="s">
        <v>1564</v>
      </c>
      <c r="E241" s="483" t="s">
        <v>1565</v>
      </c>
    </row>
    <row r="242" customFormat="false" ht="15" hidden="false" customHeight="false" outlineLevel="0" collapsed="false">
      <c r="A242" s="483" t="s">
        <v>1566</v>
      </c>
      <c r="B242" s="483" t="s">
        <v>1567</v>
      </c>
      <c r="C242" s="480" t="n">
        <v>100096</v>
      </c>
      <c r="D242" s="483" t="s">
        <v>1568</v>
      </c>
      <c r="E242" s="483" t="s">
        <v>1569</v>
      </c>
    </row>
    <row r="243" customFormat="false" ht="15" hidden="false" customHeight="false" outlineLevel="0" collapsed="false">
      <c r="A243" s="483" t="s">
        <v>1570</v>
      </c>
      <c r="B243" s="483" t="s">
        <v>1571</v>
      </c>
      <c r="C243" s="480" t="n">
        <v>293380</v>
      </c>
      <c r="D243" s="483" t="s">
        <v>1572</v>
      </c>
      <c r="E243" s="483" t="s">
        <v>1573</v>
      </c>
    </row>
    <row r="244" customFormat="false" ht="15" hidden="false" customHeight="false" outlineLevel="0" collapsed="false">
      <c r="A244" s="483" t="s">
        <v>1574</v>
      </c>
      <c r="B244" s="483" t="s">
        <v>1575</v>
      </c>
      <c r="C244" s="480" t="n">
        <v>100097</v>
      </c>
      <c r="D244" s="483" t="s">
        <v>1576</v>
      </c>
      <c r="E244" s="483" t="s">
        <v>1577</v>
      </c>
    </row>
    <row r="245" customFormat="false" ht="15" hidden="false" customHeight="false" outlineLevel="0" collapsed="false">
      <c r="A245" s="483" t="s">
        <v>1578</v>
      </c>
      <c r="B245" s="483" t="s">
        <v>1579</v>
      </c>
      <c r="C245" s="480" t="n">
        <v>222554</v>
      </c>
      <c r="D245" s="483" t="s">
        <v>1580</v>
      </c>
      <c r="E245" s="483" t="s">
        <v>1581</v>
      </c>
    </row>
    <row r="246" customFormat="false" ht="15" hidden="false" customHeight="false" outlineLevel="0" collapsed="false">
      <c r="A246" s="483" t="s">
        <v>1582</v>
      </c>
      <c r="B246" s="483" t="s">
        <v>1583</v>
      </c>
      <c r="C246" s="480" t="n">
        <v>132528</v>
      </c>
      <c r="D246" s="483" t="s">
        <v>1584</v>
      </c>
      <c r="E246" s="483" t="s">
        <v>1585</v>
      </c>
    </row>
    <row r="247" customFormat="false" ht="15" hidden="false" customHeight="false" outlineLevel="0" collapsed="false">
      <c r="A247" s="483" t="s">
        <v>1586</v>
      </c>
      <c r="B247" s="483" t="s">
        <v>1587</v>
      </c>
      <c r="C247" s="480" t="n">
        <v>219492</v>
      </c>
      <c r="D247" s="483" t="s">
        <v>1588</v>
      </c>
      <c r="E247" s="483" t="s">
        <v>1589</v>
      </c>
    </row>
    <row r="248" customFormat="false" ht="15" hidden="false" customHeight="false" outlineLevel="0" collapsed="false">
      <c r="A248" s="483" t="s">
        <v>1590</v>
      </c>
      <c r="B248" s="483" t="s">
        <v>1591</v>
      </c>
      <c r="C248" s="480" t="n">
        <v>132772</v>
      </c>
      <c r="D248" s="483" t="s">
        <v>1592</v>
      </c>
      <c r="E248" s="483" t="s">
        <v>1593</v>
      </c>
    </row>
    <row r="249" customFormat="false" ht="15" hidden="false" customHeight="false" outlineLevel="0" collapsed="false">
      <c r="A249" s="483" t="s">
        <v>1594</v>
      </c>
      <c r="B249" s="483" t="s">
        <v>1595</v>
      </c>
      <c r="C249" s="480" t="n">
        <v>295658</v>
      </c>
      <c r="D249" s="483" t="s">
        <v>1596</v>
      </c>
      <c r="E249" s="483" t="s">
        <v>1597</v>
      </c>
    </row>
    <row r="250" customFormat="false" ht="15" hidden="false" customHeight="false" outlineLevel="0" collapsed="false">
      <c r="A250" s="483" t="s">
        <v>1598</v>
      </c>
      <c r="B250" s="483" t="s">
        <v>1599</v>
      </c>
      <c r="C250" s="480" t="n">
        <v>123369</v>
      </c>
      <c r="D250" s="483" t="s">
        <v>1600</v>
      </c>
      <c r="E250" s="483" t="s">
        <v>1601</v>
      </c>
    </row>
    <row r="251" customFormat="false" ht="15" hidden="false" customHeight="false" outlineLevel="0" collapsed="false">
      <c r="A251" s="483" t="s">
        <v>1602</v>
      </c>
      <c r="B251" s="483" t="s">
        <v>1603</v>
      </c>
      <c r="C251" s="480" t="n">
        <v>123367</v>
      </c>
      <c r="D251" s="483" t="s">
        <v>1604</v>
      </c>
      <c r="E251" s="483" t="s">
        <v>1605</v>
      </c>
    </row>
    <row r="252" customFormat="false" ht="15" hidden="false" customHeight="false" outlineLevel="0" collapsed="false">
      <c r="A252" s="483" t="s">
        <v>1606</v>
      </c>
      <c r="B252" s="483" t="s">
        <v>1607</v>
      </c>
      <c r="C252" s="480" t="n">
        <v>100117</v>
      </c>
      <c r="D252" s="483" t="s">
        <v>1608</v>
      </c>
      <c r="E252" s="483" t="s">
        <v>1609</v>
      </c>
    </row>
    <row r="253" customFormat="false" ht="15" hidden="false" customHeight="false" outlineLevel="0" collapsed="false">
      <c r="A253" s="483" t="s">
        <v>1610</v>
      </c>
      <c r="B253" s="483" t="s">
        <v>1611</v>
      </c>
      <c r="C253" s="480" t="n">
        <v>102137</v>
      </c>
      <c r="D253" s="483" t="s">
        <v>1612</v>
      </c>
      <c r="E253" s="483" t="s">
        <v>1613</v>
      </c>
    </row>
    <row r="254" customFormat="false" ht="15" hidden="false" customHeight="false" outlineLevel="0" collapsed="false">
      <c r="A254" s="483" t="s">
        <v>1614</v>
      </c>
      <c r="B254" s="483"/>
      <c r="C254" s="480" t="n">
        <v>289984</v>
      </c>
      <c r="D254" s="483" t="s">
        <v>1615</v>
      </c>
      <c r="E254" s="483" t="s">
        <v>1616</v>
      </c>
    </row>
    <row r="255" customFormat="false" ht="15" hidden="false" customHeight="false" outlineLevel="0" collapsed="false">
      <c r="A255" s="483" t="s">
        <v>1617</v>
      </c>
      <c r="B255" s="483" t="s">
        <v>1618</v>
      </c>
      <c r="C255" s="480" t="n">
        <v>100645</v>
      </c>
      <c r="D255" s="483" t="s">
        <v>1619</v>
      </c>
      <c r="E255" s="483" t="s">
        <v>1620</v>
      </c>
    </row>
    <row r="256" customFormat="false" ht="15" hidden="false" customHeight="false" outlineLevel="0" collapsed="false">
      <c r="A256" s="483" t="s">
        <v>1621</v>
      </c>
      <c r="B256" s="483" t="s">
        <v>1622</v>
      </c>
      <c r="C256" s="480" t="n">
        <v>106401</v>
      </c>
      <c r="D256" s="483" t="s">
        <v>1623</v>
      </c>
      <c r="E256" s="483" t="s">
        <v>1624</v>
      </c>
    </row>
    <row r="257" customFormat="false" ht="15" hidden="false" customHeight="false" outlineLevel="0" collapsed="false">
      <c r="A257" s="483" t="s">
        <v>1625</v>
      </c>
      <c r="B257" s="483" t="s">
        <v>1626</v>
      </c>
      <c r="C257" s="480" t="n">
        <v>223077</v>
      </c>
      <c r="D257" s="483" t="s">
        <v>1627</v>
      </c>
      <c r="E257" s="483" t="s">
        <v>1628</v>
      </c>
    </row>
    <row r="258" customFormat="false" ht="15" hidden="false" customHeight="false" outlineLevel="0" collapsed="false">
      <c r="A258" s="483" t="s">
        <v>1629</v>
      </c>
      <c r="B258" s="483" t="s">
        <v>1630</v>
      </c>
      <c r="C258" s="480" t="n">
        <v>132848</v>
      </c>
      <c r="D258" s="483" t="s">
        <v>1631</v>
      </c>
      <c r="E258" s="483" t="s">
        <v>1632</v>
      </c>
    </row>
    <row r="259" customFormat="false" ht="15" hidden="false" customHeight="false" outlineLevel="0" collapsed="false">
      <c r="A259" s="483" t="s">
        <v>1633</v>
      </c>
      <c r="B259" s="483" t="s">
        <v>1634</v>
      </c>
      <c r="C259" s="480" t="n">
        <v>219237</v>
      </c>
      <c r="D259" s="483" t="s">
        <v>1635</v>
      </c>
      <c r="E259" s="483" t="s">
        <v>1636</v>
      </c>
    </row>
    <row r="260" customFormat="false" ht="15" hidden="false" customHeight="false" outlineLevel="0" collapsed="false">
      <c r="A260" s="483" t="s">
        <v>1637</v>
      </c>
      <c r="B260" s="483" t="s">
        <v>1638</v>
      </c>
      <c r="C260" s="480" t="n">
        <v>208045</v>
      </c>
      <c r="D260" s="483" t="s">
        <v>1639</v>
      </c>
      <c r="E260" s="483" t="s">
        <v>1640</v>
      </c>
    </row>
    <row r="261" customFormat="false" ht="15" hidden="false" customHeight="false" outlineLevel="0" collapsed="false">
      <c r="A261" s="483" t="s">
        <v>1641</v>
      </c>
      <c r="B261" s="483" t="s">
        <v>1642</v>
      </c>
      <c r="C261" s="480" t="n">
        <v>119588</v>
      </c>
      <c r="D261" s="483" t="s">
        <v>1643</v>
      </c>
      <c r="E261" s="483" t="s">
        <v>1644</v>
      </c>
    </row>
    <row r="262" customFormat="false" ht="15" hidden="false" customHeight="false" outlineLevel="0" collapsed="false">
      <c r="A262" s="483" t="s">
        <v>1645</v>
      </c>
      <c r="B262" s="483" t="s">
        <v>1646</v>
      </c>
      <c r="C262" s="480" t="n">
        <v>100119</v>
      </c>
      <c r="D262" s="483" t="s">
        <v>1647</v>
      </c>
      <c r="E262" s="483" t="s">
        <v>1648</v>
      </c>
    </row>
    <row r="263" customFormat="false" ht="15" hidden="false" customHeight="false" outlineLevel="0" collapsed="false">
      <c r="A263" s="483" t="s">
        <v>1649</v>
      </c>
      <c r="B263" s="483" t="s">
        <v>1650</v>
      </c>
      <c r="C263" s="480" t="n">
        <v>200101</v>
      </c>
      <c r="D263" s="483" t="s">
        <v>1651</v>
      </c>
      <c r="E263" s="483" t="s">
        <v>1652</v>
      </c>
    </row>
    <row r="264" customFormat="false" ht="15" hidden="false" customHeight="false" outlineLevel="0" collapsed="false">
      <c r="A264" s="483" t="s">
        <v>1653</v>
      </c>
      <c r="B264" s="483" t="s">
        <v>1654</v>
      </c>
      <c r="C264" s="480" t="n">
        <v>107717</v>
      </c>
      <c r="D264" s="483" t="s">
        <v>1655</v>
      </c>
      <c r="E264" s="483" t="s">
        <v>1656</v>
      </c>
    </row>
    <row r="265" customFormat="false" ht="15" hidden="false" customHeight="false" outlineLevel="0" collapsed="false">
      <c r="A265" s="483" t="s">
        <v>1657</v>
      </c>
      <c r="B265" s="483"/>
      <c r="C265" s="480" t="n">
        <v>284447</v>
      </c>
      <c r="D265" s="483" t="s">
        <v>1658</v>
      </c>
      <c r="E265" s="483" t="s">
        <v>1659</v>
      </c>
    </row>
    <row r="266" customFormat="false" ht="15" hidden="false" customHeight="false" outlineLevel="0" collapsed="false">
      <c r="A266" s="483" t="s">
        <v>1660</v>
      </c>
      <c r="B266" s="483" t="s">
        <v>1661</v>
      </c>
      <c r="C266" s="480" t="n">
        <v>106405</v>
      </c>
      <c r="D266" s="483" t="s">
        <v>1662</v>
      </c>
      <c r="E266" s="483" t="s">
        <v>1663</v>
      </c>
    </row>
    <row r="267" customFormat="false" ht="15" hidden="false" customHeight="false" outlineLevel="0" collapsed="false">
      <c r="A267" s="483" t="s">
        <v>1664</v>
      </c>
      <c r="B267" s="483" t="s">
        <v>1665</v>
      </c>
      <c r="C267" s="480" t="n">
        <v>123736</v>
      </c>
      <c r="D267" s="483" t="s">
        <v>1666</v>
      </c>
      <c r="E267" s="483" t="s">
        <v>1667</v>
      </c>
    </row>
    <row r="268" customFormat="false" ht="15" hidden="false" customHeight="false" outlineLevel="0" collapsed="false">
      <c r="A268" s="483" t="s">
        <v>1668</v>
      </c>
      <c r="B268" s="483" t="s">
        <v>1669</v>
      </c>
      <c r="C268" s="480" t="n">
        <v>117214</v>
      </c>
      <c r="D268" s="483" t="s">
        <v>1670</v>
      </c>
      <c r="E268" s="483" t="s">
        <v>1671</v>
      </c>
    </row>
    <row r="269" customFormat="false" ht="15" hidden="false" customHeight="false" outlineLevel="0" collapsed="false">
      <c r="A269" s="483" t="s">
        <v>1672</v>
      </c>
      <c r="B269" s="483" t="s">
        <v>1673</v>
      </c>
      <c r="C269" s="480" t="n">
        <v>226480</v>
      </c>
      <c r="D269" s="483" t="s">
        <v>1674</v>
      </c>
      <c r="E269" s="483" t="s">
        <v>1675</v>
      </c>
    </row>
    <row r="270" customFormat="false" ht="15" hidden="false" customHeight="false" outlineLevel="0" collapsed="false">
      <c r="A270" s="483" t="s">
        <v>1676</v>
      </c>
      <c r="B270" s="483" t="s">
        <v>1677</v>
      </c>
      <c r="C270" s="480" t="n">
        <v>100068</v>
      </c>
      <c r="D270" s="483" t="s">
        <v>1678</v>
      </c>
      <c r="E270" s="483" t="s">
        <v>1679</v>
      </c>
    </row>
    <row r="271" customFormat="false" ht="15" hidden="false" customHeight="false" outlineLevel="0" collapsed="false">
      <c r="A271" s="483" t="s">
        <v>1680</v>
      </c>
      <c r="B271" s="483" t="s">
        <v>1681</v>
      </c>
      <c r="C271" s="480" t="n">
        <v>132839</v>
      </c>
      <c r="D271" s="483" t="s">
        <v>1682</v>
      </c>
      <c r="E271" s="483" t="s">
        <v>1683</v>
      </c>
    </row>
    <row r="272" customFormat="false" ht="15" hidden="false" customHeight="false" outlineLevel="0" collapsed="false">
      <c r="A272" s="483" t="s">
        <v>1684</v>
      </c>
      <c r="B272" s="483" t="s">
        <v>1685</v>
      </c>
      <c r="C272" s="480" t="n">
        <v>228555</v>
      </c>
      <c r="D272" s="483" t="s">
        <v>1686</v>
      </c>
      <c r="E272" s="483" t="s">
        <v>1687</v>
      </c>
    </row>
    <row r="273" customFormat="false" ht="15" hidden="false" customHeight="false" outlineLevel="0" collapsed="false">
      <c r="A273" s="483" t="s">
        <v>1688</v>
      </c>
      <c r="B273" s="483" t="s">
        <v>1689</v>
      </c>
      <c r="C273" s="480" t="n">
        <v>132488</v>
      </c>
      <c r="D273" s="483" t="s">
        <v>1690</v>
      </c>
      <c r="E273" s="483" t="s">
        <v>1691</v>
      </c>
    </row>
    <row r="274" customFormat="false" ht="15" hidden="false" customHeight="false" outlineLevel="0" collapsed="false">
      <c r="A274" s="483" t="s">
        <v>1692</v>
      </c>
      <c r="B274" s="483" t="s">
        <v>1693</v>
      </c>
      <c r="C274" s="480" t="n">
        <v>210072</v>
      </c>
      <c r="D274" s="483" t="s">
        <v>1694</v>
      </c>
      <c r="E274" s="483" t="s">
        <v>1695</v>
      </c>
    </row>
    <row r="275" customFormat="false" ht="15" hidden="false" customHeight="false" outlineLevel="0" collapsed="false">
      <c r="A275" s="483" t="s">
        <v>1696</v>
      </c>
      <c r="B275" s="483" t="s">
        <v>1697</v>
      </c>
      <c r="C275" s="480" t="n">
        <v>132868</v>
      </c>
      <c r="D275" s="483" t="s">
        <v>1698</v>
      </c>
      <c r="E275" s="483" t="s">
        <v>1699</v>
      </c>
    </row>
    <row r="276" customFormat="false" ht="15" hidden="false" customHeight="false" outlineLevel="0" collapsed="false">
      <c r="A276" s="483" t="s">
        <v>1700</v>
      </c>
      <c r="B276" s="483" t="s">
        <v>1701</v>
      </c>
      <c r="C276" s="480" t="n">
        <v>219321</v>
      </c>
      <c r="D276" s="483" t="s">
        <v>1702</v>
      </c>
      <c r="E276" s="483" t="s">
        <v>1703</v>
      </c>
    </row>
    <row r="277" customFormat="false" ht="15" hidden="false" customHeight="false" outlineLevel="0" collapsed="false">
      <c r="A277" s="483" t="s">
        <v>1704</v>
      </c>
      <c r="B277" s="483" t="s">
        <v>1705</v>
      </c>
      <c r="C277" s="480" t="n">
        <v>222414</v>
      </c>
      <c r="D277" s="483" t="s">
        <v>1706</v>
      </c>
      <c r="E277" s="483" t="s">
        <v>1707</v>
      </c>
    </row>
    <row r="278" customFormat="false" ht="15" hidden="false" customHeight="false" outlineLevel="0" collapsed="false">
      <c r="A278" s="483" t="s">
        <v>1708</v>
      </c>
      <c r="B278" s="483" t="s">
        <v>1709</v>
      </c>
      <c r="C278" s="480" t="n">
        <v>105526</v>
      </c>
      <c r="D278" s="483" t="s">
        <v>1710</v>
      </c>
      <c r="E278" s="483" t="s">
        <v>1711</v>
      </c>
    </row>
    <row r="279" customFormat="false" ht="15" hidden="false" customHeight="false" outlineLevel="0" collapsed="false">
      <c r="A279" s="483" t="s">
        <v>1712</v>
      </c>
      <c r="B279" s="483" t="s">
        <v>1713</v>
      </c>
      <c r="C279" s="480" t="n">
        <v>207877</v>
      </c>
      <c r="D279" s="483" t="s">
        <v>1714</v>
      </c>
      <c r="E279" s="483" t="s">
        <v>1715</v>
      </c>
    </row>
    <row r="280" customFormat="false" ht="15" hidden="false" customHeight="false" outlineLevel="0" collapsed="false">
      <c r="A280" s="483" t="s">
        <v>1716</v>
      </c>
      <c r="B280" s="483" t="s">
        <v>1717</v>
      </c>
      <c r="C280" s="480" t="n">
        <v>218763</v>
      </c>
      <c r="D280" s="483" t="s">
        <v>1718</v>
      </c>
      <c r="E280" s="483" t="s">
        <v>1719</v>
      </c>
    </row>
    <row r="281" customFormat="false" ht="15" hidden="false" customHeight="false" outlineLevel="0" collapsed="false">
      <c r="A281" s="483" t="s">
        <v>1720</v>
      </c>
      <c r="B281" s="483" t="s">
        <v>1721</v>
      </c>
      <c r="C281" s="480" t="n">
        <v>100124</v>
      </c>
      <c r="D281" s="483" t="s">
        <v>1722</v>
      </c>
      <c r="E281" s="483" t="s">
        <v>1723</v>
      </c>
    </row>
    <row r="282" customFormat="false" ht="15" hidden="false" customHeight="false" outlineLevel="0" collapsed="false">
      <c r="A282" s="483" t="s">
        <v>1724</v>
      </c>
      <c r="B282" s="483" t="s">
        <v>1725</v>
      </c>
      <c r="C282" s="480" t="n">
        <v>123618</v>
      </c>
      <c r="D282" s="483" t="s">
        <v>1726</v>
      </c>
      <c r="E282" s="483" t="s">
        <v>1727</v>
      </c>
    </row>
    <row r="283" customFormat="false" ht="15" hidden="false" customHeight="false" outlineLevel="0" collapsed="false">
      <c r="A283" s="483" t="s">
        <v>1728</v>
      </c>
      <c r="B283" s="483" t="s">
        <v>1729</v>
      </c>
      <c r="C283" s="480" t="n">
        <v>132610</v>
      </c>
      <c r="D283" s="483" t="s">
        <v>1730</v>
      </c>
      <c r="E283" s="483" t="s">
        <v>1731</v>
      </c>
    </row>
    <row r="284" customFormat="false" ht="15" hidden="false" customHeight="false" outlineLevel="0" collapsed="false">
      <c r="A284" s="483" t="s">
        <v>1732</v>
      </c>
      <c r="B284" s="483" t="s">
        <v>1733</v>
      </c>
      <c r="C284" s="480" t="n">
        <v>105242</v>
      </c>
      <c r="D284" s="483" t="s">
        <v>1734</v>
      </c>
      <c r="E284" s="483" t="s">
        <v>1735</v>
      </c>
    </row>
    <row r="285" customFormat="false" ht="15" hidden="false" customHeight="false" outlineLevel="0" collapsed="false">
      <c r="A285" s="483" t="s">
        <v>1736</v>
      </c>
      <c r="B285" s="483" t="s">
        <v>1737</v>
      </c>
      <c r="C285" s="480" t="n">
        <v>132707</v>
      </c>
      <c r="D285" s="483" t="s">
        <v>1738</v>
      </c>
      <c r="E285" s="483" t="s">
        <v>1739</v>
      </c>
    </row>
    <row r="286" customFormat="false" ht="15" hidden="false" customHeight="false" outlineLevel="0" collapsed="false">
      <c r="A286" s="483" t="s">
        <v>1740</v>
      </c>
      <c r="B286" s="483" t="s">
        <v>1741</v>
      </c>
      <c r="C286" s="480" t="n">
        <v>100125</v>
      </c>
      <c r="D286" s="483" t="s">
        <v>1742</v>
      </c>
      <c r="E286" s="483" t="s">
        <v>1743</v>
      </c>
    </row>
    <row r="287" customFormat="false" ht="15" hidden="false" customHeight="false" outlineLevel="0" collapsed="false">
      <c r="A287" s="483" t="s">
        <v>1744</v>
      </c>
      <c r="B287" s="483" t="s">
        <v>1745</v>
      </c>
      <c r="C287" s="480" t="n">
        <v>296479</v>
      </c>
      <c r="D287" s="483" t="s">
        <v>1746</v>
      </c>
      <c r="E287" s="483" t="s">
        <v>1747</v>
      </c>
    </row>
    <row r="288" customFormat="false" ht="15" hidden="false" customHeight="false" outlineLevel="0" collapsed="false">
      <c r="A288" s="483" t="s">
        <v>1748</v>
      </c>
      <c r="B288" s="483" t="s">
        <v>1749</v>
      </c>
      <c r="C288" s="480" t="n">
        <v>200017</v>
      </c>
      <c r="D288" s="483" t="s">
        <v>1750</v>
      </c>
      <c r="E288" s="483" t="s">
        <v>1751</v>
      </c>
    </row>
    <row r="289" customFormat="false" ht="15" hidden="false" customHeight="false" outlineLevel="0" collapsed="false">
      <c r="A289" s="483" t="s">
        <v>1752</v>
      </c>
      <c r="B289" s="483" t="s">
        <v>1753</v>
      </c>
      <c r="C289" s="480" t="n">
        <v>132922</v>
      </c>
      <c r="D289" s="483" t="s">
        <v>1754</v>
      </c>
      <c r="E289" s="483" t="s">
        <v>1755</v>
      </c>
    </row>
    <row r="290" customFormat="false" ht="15" hidden="false" customHeight="false" outlineLevel="0" collapsed="false">
      <c r="A290" s="483" t="s">
        <v>1756</v>
      </c>
      <c r="B290" s="483" t="s">
        <v>1757</v>
      </c>
      <c r="C290" s="480" t="n">
        <v>105200</v>
      </c>
      <c r="D290" s="483" t="s">
        <v>1758</v>
      </c>
      <c r="E290" s="483" t="s">
        <v>1759</v>
      </c>
    </row>
    <row r="291" customFormat="false" ht="15" hidden="false" customHeight="false" outlineLevel="0" collapsed="false">
      <c r="A291" s="483" t="s">
        <v>1760</v>
      </c>
      <c r="B291" s="483" t="s">
        <v>1761</v>
      </c>
      <c r="C291" s="480" t="n">
        <v>123127</v>
      </c>
      <c r="D291" s="483" t="s">
        <v>1762</v>
      </c>
      <c r="E291" s="483" t="s">
        <v>1763</v>
      </c>
    </row>
    <row r="292" customFormat="false" ht="15" hidden="false" customHeight="false" outlineLevel="0" collapsed="false">
      <c r="A292" s="483" t="s">
        <v>1764</v>
      </c>
      <c r="B292" s="483" t="s">
        <v>1765</v>
      </c>
      <c r="C292" s="480" t="n">
        <v>100840</v>
      </c>
      <c r="D292" s="483" t="s">
        <v>1766</v>
      </c>
      <c r="E292" s="483" t="s">
        <v>1767</v>
      </c>
    </row>
    <row r="293" customFormat="false" ht="15" hidden="false" customHeight="false" outlineLevel="0" collapsed="false">
      <c r="A293" s="483" t="s">
        <v>1768</v>
      </c>
      <c r="B293" s="483"/>
      <c r="C293" s="480" t="n">
        <v>300924</v>
      </c>
      <c r="D293" s="483" t="s">
        <v>1769</v>
      </c>
      <c r="E293" s="483" t="s">
        <v>1770</v>
      </c>
    </row>
    <row r="294" customFormat="false" ht="15" hidden="false" customHeight="false" outlineLevel="0" collapsed="false">
      <c r="A294" s="483" t="s">
        <v>1771</v>
      </c>
      <c r="B294" s="483" t="s">
        <v>1772</v>
      </c>
      <c r="C294" s="480" t="n">
        <v>100123</v>
      </c>
      <c r="D294" s="483" t="s">
        <v>1773</v>
      </c>
      <c r="E294" s="483" t="s">
        <v>1774</v>
      </c>
    </row>
    <row r="295" customFormat="false" ht="15" hidden="false" customHeight="false" outlineLevel="0" collapsed="false">
      <c r="A295" s="483" t="s">
        <v>1775</v>
      </c>
      <c r="B295" s="483"/>
      <c r="C295" s="480" t="n">
        <v>123329</v>
      </c>
      <c r="D295" s="483" t="s">
        <v>1776</v>
      </c>
      <c r="E295" s="483" t="s">
        <v>1777</v>
      </c>
    </row>
    <row r="296" customFormat="false" ht="15" hidden="false" customHeight="false" outlineLevel="0" collapsed="false">
      <c r="A296" s="483" t="s">
        <v>1778</v>
      </c>
      <c r="B296" s="483" t="s">
        <v>1779</v>
      </c>
      <c r="C296" s="480" t="n">
        <v>105700</v>
      </c>
      <c r="D296" s="483" t="s">
        <v>1780</v>
      </c>
      <c r="E296" s="483" t="s">
        <v>1781</v>
      </c>
    </row>
    <row r="297" customFormat="false" ht="15" hidden="false" customHeight="false" outlineLevel="0" collapsed="false">
      <c r="A297" s="483" t="s">
        <v>1782</v>
      </c>
      <c r="B297" s="483" t="s">
        <v>1783</v>
      </c>
      <c r="C297" s="480" t="n">
        <v>100128</v>
      </c>
      <c r="D297" s="483" t="s">
        <v>1784</v>
      </c>
      <c r="E297" s="483" t="s">
        <v>1785</v>
      </c>
    </row>
    <row r="298" customFormat="false" ht="15" hidden="false" customHeight="false" outlineLevel="0" collapsed="false">
      <c r="A298" s="483" t="s">
        <v>1786</v>
      </c>
      <c r="B298" s="483" t="s">
        <v>1787</v>
      </c>
      <c r="C298" s="480" t="n">
        <v>122074</v>
      </c>
      <c r="D298" s="483" t="s">
        <v>1788</v>
      </c>
      <c r="E298" s="483" t="s">
        <v>1789</v>
      </c>
    </row>
    <row r="299" customFormat="false" ht="15" hidden="false" customHeight="false" outlineLevel="0" collapsed="false">
      <c r="A299" s="483" t="s">
        <v>1790</v>
      </c>
      <c r="B299" s="483" t="s">
        <v>1791</v>
      </c>
      <c r="C299" s="480" t="n">
        <v>104000</v>
      </c>
      <c r="D299" s="483" t="s">
        <v>1792</v>
      </c>
      <c r="E299" s="483" t="s">
        <v>1793</v>
      </c>
    </row>
    <row r="300" customFormat="false" ht="15" hidden="false" customHeight="false" outlineLevel="0" collapsed="false">
      <c r="A300" s="483" t="s">
        <v>1794</v>
      </c>
      <c r="B300" s="483" t="s">
        <v>1795</v>
      </c>
      <c r="C300" s="480" t="n">
        <v>131162</v>
      </c>
      <c r="D300" s="483" t="s">
        <v>1796</v>
      </c>
      <c r="E300" s="483" t="s">
        <v>1797</v>
      </c>
    </row>
    <row r="301" customFormat="false" ht="15" hidden="false" customHeight="false" outlineLevel="0" collapsed="false">
      <c r="A301" s="483" t="s">
        <v>1798</v>
      </c>
      <c r="B301" s="483" t="s">
        <v>1799</v>
      </c>
      <c r="C301" s="480" t="n">
        <v>219649</v>
      </c>
      <c r="D301" s="483" t="s">
        <v>1800</v>
      </c>
      <c r="E301" s="483" t="s">
        <v>1801</v>
      </c>
    </row>
    <row r="302" customFormat="false" ht="15" hidden="false" customHeight="false" outlineLevel="0" collapsed="false">
      <c r="A302" s="483" t="s">
        <v>1802</v>
      </c>
      <c r="B302" s="483" t="s">
        <v>1803</v>
      </c>
      <c r="C302" s="480" t="n">
        <v>215477</v>
      </c>
      <c r="D302" s="483" t="s">
        <v>1804</v>
      </c>
      <c r="E302" s="483" t="s">
        <v>1805</v>
      </c>
    </row>
    <row r="303" customFormat="false" ht="15" hidden="false" customHeight="false" outlineLevel="0" collapsed="false">
      <c r="A303" s="483" t="s">
        <v>1806</v>
      </c>
      <c r="B303" s="483" t="s">
        <v>1807</v>
      </c>
      <c r="C303" s="480" t="n">
        <v>132178</v>
      </c>
      <c r="D303" s="483" t="s">
        <v>1808</v>
      </c>
      <c r="E303" s="483" t="s">
        <v>1809</v>
      </c>
    </row>
    <row r="304" customFormat="false" ht="15" hidden="false" customHeight="false" outlineLevel="0" collapsed="false">
      <c r="A304" s="483" t="s">
        <v>1810</v>
      </c>
      <c r="B304" s="483"/>
      <c r="C304" s="480" t="n">
        <v>220964</v>
      </c>
      <c r="D304" s="483" t="s">
        <v>1811</v>
      </c>
      <c r="E304" s="483" t="s">
        <v>1812</v>
      </c>
    </row>
    <row r="305" customFormat="false" ht="15" hidden="false" customHeight="false" outlineLevel="0" collapsed="false">
      <c r="A305" s="483" t="s">
        <v>1813</v>
      </c>
      <c r="B305" s="483" t="s">
        <v>1814</v>
      </c>
      <c r="C305" s="480" t="n">
        <v>132700</v>
      </c>
      <c r="D305" s="483" t="s">
        <v>1815</v>
      </c>
      <c r="E305" s="483" t="s">
        <v>1816</v>
      </c>
    </row>
    <row r="306" customFormat="false" ht="15" hidden="false" customHeight="false" outlineLevel="0" collapsed="false">
      <c r="A306" s="483" t="s">
        <v>1817</v>
      </c>
      <c r="B306" s="483" t="s">
        <v>1818</v>
      </c>
      <c r="C306" s="480" t="n">
        <v>100135</v>
      </c>
      <c r="D306" s="483" t="s">
        <v>1819</v>
      </c>
      <c r="E306" s="483" t="s">
        <v>1820</v>
      </c>
    </row>
    <row r="307" customFormat="false" ht="15" hidden="false" customHeight="false" outlineLevel="0" collapsed="false">
      <c r="A307" s="483" t="s">
        <v>1821</v>
      </c>
      <c r="B307" s="483" t="s">
        <v>1822</v>
      </c>
      <c r="C307" s="480" t="n">
        <v>190057</v>
      </c>
      <c r="D307" s="483" t="s">
        <v>1823</v>
      </c>
      <c r="E307" s="483" t="s">
        <v>1824</v>
      </c>
    </row>
    <row r="308" customFormat="false" ht="15" hidden="false" customHeight="false" outlineLevel="0" collapsed="false">
      <c r="A308" s="483" t="s">
        <v>1825</v>
      </c>
      <c r="B308" s="483" t="s">
        <v>1826</v>
      </c>
      <c r="C308" s="480" t="n">
        <v>243712</v>
      </c>
      <c r="D308" s="483" t="s">
        <v>1827</v>
      </c>
      <c r="E308" s="483" t="s">
        <v>1828</v>
      </c>
    </row>
    <row r="309" customFormat="false" ht="15" hidden="false" customHeight="false" outlineLevel="0" collapsed="false">
      <c r="A309" s="483" t="s">
        <v>1829</v>
      </c>
      <c r="B309" s="483" t="s">
        <v>1830</v>
      </c>
      <c r="C309" s="480" t="n">
        <v>273033</v>
      </c>
      <c r="D309" s="483" t="s">
        <v>1831</v>
      </c>
      <c r="E309" s="483" t="s">
        <v>1832</v>
      </c>
    </row>
    <row r="310" customFormat="false" ht="15" hidden="false" customHeight="false" outlineLevel="0" collapsed="false">
      <c r="A310" s="483" t="s">
        <v>1833</v>
      </c>
      <c r="B310" s="483" t="s">
        <v>1834</v>
      </c>
      <c r="C310" s="480" t="n">
        <v>222255</v>
      </c>
      <c r="D310" s="483" t="s">
        <v>1835</v>
      </c>
      <c r="E310" s="483" t="s">
        <v>1836</v>
      </c>
    </row>
    <row r="311" customFormat="false" ht="15" hidden="false" customHeight="false" outlineLevel="0" collapsed="false">
      <c r="A311" s="483" t="s">
        <v>1837</v>
      </c>
      <c r="B311" s="483" t="s">
        <v>1838</v>
      </c>
      <c r="C311" s="480" t="n">
        <v>100133</v>
      </c>
      <c r="D311" s="483" t="s">
        <v>1839</v>
      </c>
      <c r="E311" s="483" t="s">
        <v>1840</v>
      </c>
    </row>
    <row r="312" customFormat="false" ht="15" hidden="false" customHeight="false" outlineLevel="0" collapsed="false">
      <c r="A312" s="483" t="s">
        <v>1841</v>
      </c>
      <c r="B312" s="483" t="s">
        <v>1842</v>
      </c>
      <c r="C312" s="480" t="n">
        <v>100495</v>
      </c>
      <c r="D312" s="483" t="s">
        <v>1843</v>
      </c>
      <c r="E312" s="483" t="s">
        <v>1844</v>
      </c>
    </row>
    <row r="313" customFormat="false" ht="15" hidden="false" customHeight="false" outlineLevel="0" collapsed="false">
      <c r="A313" s="483" t="s">
        <v>1845</v>
      </c>
      <c r="B313" s="483" t="s">
        <v>1846</v>
      </c>
      <c r="C313" s="480" t="n">
        <v>100136</v>
      </c>
      <c r="D313" s="483" t="s">
        <v>1847</v>
      </c>
      <c r="E313" s="483" t="s">
        <v>1848</v>
      </c>
    </row>
    <row r="314" customFormat="false" ht="15" hidden="false" customHeight="false" outlineLevel="0" collapsed="false">
      <c r="A314" s="483" t="s">
        <v>1849</v>
      </c>
      <c r="B314" s="483" t="s">
        <v>1850</v>
      </c>
      <c r="C314" s="480" t="n">
        <v>131508</v>
      </c>
      <c r="D314" s="483" t="s">
        <v>1851</v>
      </c>
      <c r="E314" s="483" t="s">
        <v>1852</v>
      </c>
    </row>
    <row r="315" customFormat="false" ht="15" hidden="false" customHeight="false" outlineLevel="0" collapsed="false">
      <c r="A315" s="483" t="s">
        <v>1853</v>
      </c>
      <c r="B315" s="483" t="s">
        <v>1854</v>
      </c>
      <c r="C315" s="480" t="n">
        <v>108906</v>
      </c>
      <c r="D315" s="483" t="s">
        <v>1855</v>
      </c>
      <c r="E315" s="483" t="s">
        <v>1856</v>
      </c>
    </row>
    <row r="316" customFormat="false" ht="15" hidden="false" customHeight="false" outlineLevel="0" collapsed="false">
      <c r="A316" s="483" t="s">
        <v>1857</v>
      </c>
      <c r="B316" s="483" t="s">
        <v>1858</v>
      </c>
      <c r="C316" s="480" t="n">
        <v>132684</v>
      </c>
      <c r="D316" s="483" t="s">
        <v>1859</v>
      </c>
      <c r="E316" s="483" t="s">
        <v>1860</v>
      </c>
    </row>
    <row r="317" customFormat="false" ht="15" hidden="false" customHeight="false" outlineLevel="0" collapsed="false">
      <c r="A317" s="483" t="s">
        <v>1861</v>
      </c>
      <c r="B317" s="483" t="s">
        <v>1862</v>
      </c>
      <c r="C317" s="480" t="n">
        <v>100650</v>
      </c>
      <c r="D317" s="483" t="s">
        <v>1863</v>
      </c>
      <c r="E317" s="483" t="s">
        <v>1864</v>
      </c>
    </row>
    <row r="318" customFormat="false" ht="15" hidden="false" customHeight="false" outlineLevel="0" collapsed="false">
      <c r="A318" s="483" t="s">
        <v>1865</v>
      </c>
      <c r="B318" s="483" t="s">
        <v>1866</v>
      </c>
      <c r="C318" s="480" t="n">
        <v>100086</v>
      </c>
      <c r="D318" s="483" t="s">
        <v>1867</v>
      </c>
      <c r="E318" s="483" t="s">
        <v>1868</v>
      </c>
    </row>
    <row r="319" customFormat="false" ht="15" hidden="false" customHeight="false" outlineLevel="0" collapsed="false">
      <c r="A319" s="483" t="s">
        <v>1869</v>
      </c>
      <c r="B319" s="483" t="s">
        <v>1870</v>
      </c>
      <c r="C319" s="480" t="n">
        <v>218926</v>
      </c>
      <c r="D319" s="483" t="s">
        <v>1871</v>
      </c>
      <c r="E319" s="483" t="s">
        <v>1872</v>
      </c>
    </row>
    <row r="320" customFormat="false" ht="15" hidden="false" customHeight="false" outlineLevel="0" collapsed="false">
      <c r="A320" s="483" t="s">
        <v>1873</v>
      </c>
      <c r="B320" s="483" t="s">
        <v>1874</v>
      </c>
      <c r="C320" s="480" t="n">
        <v>287703</v>
      </c>
      <c r="D320" s="483" t="s">
        <v>1875</v>
      </c>
      <c r="E320" s="483" t="s">
        <v>1876</v>
      </c>
    </row>
    <row r="321" customFormat="false" ht="15" hidden="false" customHeight="false" outlineLevel="0" collapsed="false">
      <c r="A321" s="483" t="s">
        <v>1877</v>
      </c>
      <c r="B321" s="483" t="s">
        <v>1878</v>
      </c>
      <c r="C321" s="480" t="n">
        <v>299773</v>
      </c>
      <c r="D321" s="483" t="s">
        <v>1879</v>
      </c>
      <c r="E321" s="483" t="s">
        <v>1880</v>
      </c>
    </row>
    <row r="322" customFormat="false" ht="15" hidden="false" customHeight="false" outlineLevel="0" collapsed="false">
      <c r="A322" s="483" t="s">
        <v>1881</v>
      </c>
      <c r="B322" s="483" t="s">
        <v>1882</v>
      </c>
      <c r="C322" s="480" t="n">
        <v>130079</v>
      </c>
      <c r="D322" s="483" t="s">
        <v>1883</v>
      </c>
      <c r="E322" s="483" t="s">
        <v>1884</v>
      </c>
    </row>
    <row r="323" customFormat="false" ht="15" hidden="false" customHeight="false" outlineLevel="0" collapsed="false">
      <c r="A323" s="483" t="s">
        <v>1885</v>
      </c>
      <c r="B323" s="483" t="s">
        <v>1886</v>
      </c>
      <c r="C323" s="480" t="n">
        <v>132666</v>
      </c>
      <c r="D323" s="483" t="s">
        <v>1887</v>
      </c>
      <c r="E323" s="483" t="s">
        <v>1888</v>
      </c>
    </row>
    <row r="324" customFormat="false" ht="15" hidden="false" customHeight="false" outlineLevel="0" collapsed="false">
      <c r="A324" s="483" t="s">
        <v>1889</v>
      </c>
      <c r="B324" s="483" t="s">
        <v>1890</v>
      </c>
      <c r="C324" s="480" t="n">
        <v>131599</v>
      </c>
      <c r="D324" s="483" t="s">
        <v>1891</v>
      </c>
      <c r="E324" s="483" t="s">
        <v>1892</v>
      </c>
    </row>
    <row r="325" customFormat="false" ht="15" hidden="false" customHeight="false" outlineLevel="0" collapsed="false">
      <c r="A325" s="483" t="s">
        <v>1893</v>
      </c>
      <c r="B325" s="483" t="s">
        <v>1894</v>
      </c>
      <c r="C325" s="480" t="n">
        <v>105744</v>
      </c>
      <c r="D325" s="483" t="s">
        <v>1895</v>
      </c>
      <c r="E325" s="483" t="s">
        <v>1896</v>
      </c>
    </row>
    <row r="326" customFormat="false" ht="15" hidden="false" customHeight="false" outlineLevel="0" collapsed="false">
      <c r="A326" s="483" t="s">
        <v>1897</v>
      </c>
      <c r="B326" s="483"/>
      <c r="C326" s="480" t="n">
        <v>106414</v>
      </c>
      <c r="D326" s="483" t="s">
        <v>1898</v>
      </c>
      <c r="E326" s="483" t="s">
        <v>1899</v>
      </c>
    </row>
    <row r="327" customFormat="false" ht="15" hidden="false" customHeight="false" outlineLevel="0" collapsed="false">
      <c r="A327" s="483" t="s">
        <v>1900</v>
      </c>
      <c r="B327" s="483" t="s">
        <v>1901</v>
      </c>
      <c r="C327" s="480" t="n">
        <v>132768</v>
      </c>
      <c r="D327" s="483" t="s">
        <v>1902</v>
      </c>
      <c r="E327" s="483" t="s">
        <v>1903</v>
      </c>
    </row>
    <row r="328" customFormat="false" ht="15" hidden="false" customHeight="false" outlineLevel="0" collapsed="false">
      <c r="A328" s="483" t="s">
        <v>1904</v>
      </c>
      <c r="B328" s="483" t="s">
        <v>1905</v>
      </c>
      <c r="C328" s="480" t="n">
        <v>126227</v>
      </c>
      <c r="D328" s="483" t="s">
        <v>1906</v>
      </c>
      <c r="E328" s="483" t="s">
        <v>1907</v>
      </c>
    </row>
    <row r="329" customFormat="false" ht="15" hidden="false" customHeight="false" outlineLevel="0" collapsed="false">
      <c r="A329" s="483" t="s">
        <v>1908</v>
      </c>
      <c r="B329" s="483" t="s">
        <v>1909</v>
      </c>
      <c r="C329" s="480" t="n">
        <v>288451</v>
      </c>
      <c r="D329" s="483" t="s">
        <v>1910</v>
      </c>
      <c r="E329" s="483" t="s">
        <v>1911</v>
      </c>
    </row>
    <row r="330" customFormat="false" ht="15" hidden="false" customHeight="false" outlineLevel="0" collapsed="false">
      <c r="A330" s="483" t="s">
        <v>1912</v>
      </c>
      <c r="B330" s="483" t="s">
        <v>1913</v>
      </c>
      <c r="C330" s="480" t="n">
        <v>213133</v>
      </c>
      <c r="D330" s="483" t="s">
        <v>1914</v>
      </c>
      <c r="E330" s="483" t="s">
        <v>1915</v>
      </c>
    </row>
    <row r="331" customFormat="false" ht="15" hidden="false" customHeight="false" outlineLevel="0" collapsed="false">
      <c r="A331" s="483" t="s">
        <v>1916</v>
      </c>
      <c r="B331" s="483"/>
      <c r="C331" s="480" t="n">
        <v>108954</v>
      </c>
      <c r="D331" s="483" t="s">
        <v>1917</v>
      </c>
      <c r="E331" s="483" t="s">
        <v>1918</v>
      </c>
    </row>
    <row r="332" customFormat="false" ht="15" hidden="false" customHeight="false" outlineLevel="0" collapsed="false">
      <c r="A332" s="483" t="s">
        <v>1919</v>
      </c>
      <c r="B332" s="483" t="s">
        <v>1920</v>
      </c>
      <c r="C332" s="480" t="n">
        <v>302986</v>
      </c>
      <c r="D332" s="483" t="s">
        <v>1921</v>
      </c>
      <c r="E332" s="483" t="s">
        <v>1922</v>
      </c>
    </row>
    <row r="333" customFormat="false" ht="15" hidden="false" customHeight="false" outlineLevel="0" collapsed="false">
      <c r="A333" s="483" t="s">
        <v>1923</v>
      </c>
      <c r="B333" s="483" t="s">
        <v>1924</v>
      </c>
      <c r="C333" s="480" t="n">
        <v>100144</v>
      </c>
      <c r="D333" s="483" t="s">
        <v>1925</v>
      </c>
      <c r="E333" s="483" t="s">
        <v>1926</v>
      </c>
    </row>
    <row r="334" customFormat="false" ht="15" hidden="false" customHeight="false" outlineLevel="0" collapsed="false">
      <c r="A334" s="483" t="s">
        <v>1927</v>
      </c>
      <c r="B334" s="483" t="s">
        <v>1928</v>
      </c>
      <c r="C334" s="480" t="n">
        <v>100940</v>
      </c>
      <c r="D334" s="483" t="s">
        <v>1929</v>
      </c>
      <c r="E334" s="483" t="s">
        <v>1930</v>
      </c>
    </row>
    <row r="335" customFormat="false" ht="15" hidden="false" customHeight="false" outlineLevel="0" collapsed="false">
      <c r="A335" s="483" t="s">
        <v>1931</v>
      </c>
      <c r="B335" s="483" t="s">
        <v>1932</v>
      </c>
      <c r="C335" s="480" t="n">
        <v>132809</v>
      </c>
      <c r="D335" s="483" t="s">
        <v>1933</v>
      </c>
      <c r="E335" s="483" t="s">
        <v>1934</v>
      </c>
    </row>
    <row r="336" customFormat="false" ht="15" hidden="false" customHeight="false" outlineLevel="0" collapsed="false">
      <c r="A336" s="483" t="s">
        <v>1935</v>
      </c>
      <c r="B336" s="483" t="s">
        <v>1936</v>
      </c>
      <c r="C336" s="480" t="n">
        <v>102865</v>
      </c>
      <c r="D336" s="483" t="s">
        <v>1937</v>
      </c>
      <c r="E336" s="483" t="s">
        <v>1938</v>
      </c>
    </row>
    <row r="337" customFormat="false" ht="15" hidden="false" customHeight="false" outlineLevel="0" collapsed="false">
      <c r="A337" s="483" t="s">
        <v>1939</v>
      </c>
      <c r="B337" s="483" t="s">
        <v>1940</v>
      </c>
      <c r="C337" s="480" t="n">
        <v>100033</v>
      </c>
      <c r="D337" s="483" t="s">
        <v>1941</v>
      </c>
      <c r="E337" s="483" t="s">
        <v>1942</v>
      </c>
    </row>
    <row r="338" customFormat="false" ht="15" hidden="false" customHeight="false" outlineLevel="0" collapsed="false">
      <c r="A338" s="483" t="s">
        <v>1943</v>
      </c>
      <c r="B338" s="483" t="s">
        <v>1944</v>
      </c>
      <c r="C338" s="480" t="n">
        <v>132843</v>
      </c>
      <c r="D338" s="483" t="s">
        <v>1945</v>
      </c>
      <c r="E338" s="483" t="s">
        <v>1946</v>
      </c>
    </row>
    <row r="339" customFormat="false" ht="15" hidden="false" customHeight="false" outlineLevel="0" collapsed="false">
      <c r="A339" s="483" t="s">
        <v>1947</v>
      </c>
      <c r="B339" s="483" t="s">
        <v>1948</v>
      </c>
      <c r="C339" s="480" t="n">
        <v>100150</v>
      </c>
      <c r="D339" s="483" t="s">
        <v>1949</v>
      </c>
      <c r="E339" s="483" t="s">
        <v>1950</v>
      </c>
    </row>
    <row r="340" customFormat="false" ht="15" hidden="false" customHeight="false" outlineLevel="0" collapsed="false">
      <c r="A340" s="483" t="s">
        <v>1951</v>
      </c>
      <c r="B340" s="483" t="s">
        <v>1952</v>
      </c>
      <c r="C340" s="480" t="n">
        <v>302988</v>
      </c>
      <c r="D340" s="483" t="s">
        <v>1953</v>
      </c>
      <c r="E340" s="483" t="s">
        <v>1954</v>
      </c>
    </row>
    <row r="341" customFormat="false" ht="15" hidden="false" customHeight="false" outlineLevel="0" collapsed="false">
      <c r="A341" s="483" t="s">
        <v>1955</v>
      </c>
      <c r="B341" s="483" t="s">
        <v>1956</v>
      </c>
      <c r="C341" s="480" t="n">
        <v>218963</v>
      </c>
      <c r="D341" s="483" t="s">
        <v>1957</v>
      </c>
      <c r="E341" s="483" t="s">
        <v>1958</v>
      </c>
    </row>
    <row r="342" customFormat="false" ht="15" hidden="false" customHeight="false" outlineLevel="0" collapsed="false">
      <c r="A342" s="483" t="s">
        <v>1959</v>
      </c>
      <c r="B342" s="483" t="s">
        <v>1960</v>
      </c>
      <c r="C342" s="480" t="n">
        <v>245775</v>
      </c>
      <c r="D342" s="483" t="s">
        <v>1961</v>
      </c>
      <c r="E342" s="483" t="s">
        <v>1962</v>
      </c>
    </row>
    <row r="343" customFormat="false" ht="15" hidden="false" customHeight="false" outlineLevel="0" collapsed="false">
      <c r="A343" s="483" t="s">
        <v>1963</v>
      </c>
      <c r="B343" s="483" t="s">
        <v>1964</v>
      </c>
      <c r="C343" s="480" t="n">
        <v>209968</v>
      </c>
      <c r="D343" s="483" t="s">
        <v>1965</v>
      </c>
      <c r="E343" s="483" t="s">
        <v>1966</v>
      </c>
    </row>
    <row r="344" customFormat="false" ht="15" hidden="false" customHeight="false" outlineLevel="0" collapsed="false">
      <c r="A344" s="483" t="s">
        <v>1967</v>
      </c>
      <c r="B344" s="483" t="s">
        <v>1968</v>
      </c>
      <c r="C344" s="480" t="n">
        <v>105714</v>
      </c>
      <c r="D344" s="483" t="s">
        <v>1969</v>
      </c>
      <c r="E344" s="483" t="s">
        <v>1970</v>
      </c>
    </row>
    <row r="345" customFormat="false" ht="15" hidden="false" customHeight="false" outlineLevel="0" collapsed="false">
      <c r="A345" s="483" t="s">
        <v>1971</v>
      </c>
      <c r="B345" s="483" t="s">
        <v>1972</v>
      </c>
      <c r="C345" s="480" t="n">
        <v>132155</v>
      </c>
      <c r="D345" s="483" t="s">
        <v>1973</v>
      </c>
      <c r="E345" s="483" t="s">
        <v>1974</v>
      </c>
    </row>
    <row r="346" customFormat="false" ht="15" hidden="false" customHeight="false" outlineLevel="0" collapsed="false">
      <c r="A346" s="483" t="s">
        <v>1975</v>
      </c>
      <c r="B346" s="483" t="s">
        <v>1976</v>
      </c>
      <c r="C346" s="480" t="n">
        <v>208190</v>
      </c>
      <c r="D346" s="483" t="s">
        <v>1977</v>
      </c>
      <c r="E346" s="483" t="s">
        <v>1978</v>
      </c>
    </row>
    <row r="347" customFormat="false" ht="15" hidden="false" customHeight="false" outlineLevel="0" collapsed="false">
      <c r="A347" s="483" t="s">
        <v>1979</v>
      </c>
      <c r="B347" s="483" t="s">
        <v>1980</v>
      </c>
      <c r="C347" s="480" t="n">
        <v>219910</v>
      </c>
      <c r="D347" s="483" t="s">
        <v>1981</v>
      </c>
      <c r="E347" s="483" t="s">
        <v>1982</v>
      </c>
    </row>
    <row r="348" customFormat="false" ht="15" hidden="false" customHeight="false" outlineLevel="0" collapsed="false">
      <c r="A348" s="483" t="s">
        <v>1983</v>
      </c>
      <c r="B348" s="483" t="s">
        <v>1984</v>
      </c>
      <c r="C348" s="480" t="n">
        <v>132726</v>
      </c>
      <c r="D348" s="483" t="s">
        <v>1985</v>
      </c>
      <c r="E348" s="483" t="s">
        <v>1986</v>
      </c>
    </row>
    <row r="349" customFormat="false" ht="15" hidden="false" customHeight="false" outlineLevel="0" collapsed="false">
      <c r="A349" s="483" t="s">
        <v>1987</v>
      </c>
      <c r="B349" s="483" t="s">
        <v>1988</v>
      </c>
      <c r="C349" s="480" t="n">
        <v>100153</v>
      </c>
      <c r="D349" s="483" t="s">
        <v>1989</v>
      </c>
      <c r="E349" s="483" t="s">
        <v>1990</v>
      </c>
    </row>
    <row r="350" customFormat="false" ht="15" hidden="false" customHeight="false" outlineLevel="0" collapsed="false">
      <c r="A350" s="483" t="s">
        <v>1991</v>
      </c>
      <c r="B350" s="483" t="s">
        <v>1992</v>
      </c>
      <c r="C350" s="480" t="n">
        <v>126367</v>
      </c>
      <c r="D350" s="483" t="s">
        <v>1993</v>
      </c>
      <c r="E350" s="483" t="s">
        <v>1994</v>
      </c>
    </row>
    <row r="351" customFormat="false" ht="15" hidden="false" customHeight="false" outlineLevel="0" collapsed="false">
      <c r="A351" s="483" t="s">
        <v>1995</v>
      </c>
      <c r="B351" s="483" t="s">
        <v>1996</v>
      </c>
      <c r="C351" s="480" t="n">
        <v>114167</v>
      </c>
      <c r="D351" s="483" t="s">
        <v>1997</v>
      </c>
      <c r="E351" s="483" t="s">
        <v>1998</v>
      </c>
    </row>
    <row r="352" customFormat="false" ht="15" hidden="false" customHeight="false" outlineLevel="0" collapsed="false">
      <c r="A352" s="483" t="s">
        <v>1999</v>
      </c>
      <c r="B352" s="483" t="s">
        <v>2000</v>
      </c>
      <c r="C352" s="480" t="n">
        <v>208196</v>
      </c>
      <c r="D352" s="483" t="s">
        <v>2001</v>
      </c>
      <c r="E352" s="483" t="s">
        <v>2002</v>
      </c>
    </row>
    <row r="353" customFormat="false" ht="15" hidden="false" customHeight="false" outlineLevel="0" collapsed="false">
      <c r="A353" s="483" t="s">
        <v>2003</v>
      </c>
      <c r="B353" s="483" t="s">
        <v>2004</v>
      </c>
      <c r="C353" s="480" t="n">
        <v>100655</v>
      </c>
      <c r="D353" s="483" t="s">
        <v>2005</v>
      </c>
      <c r="E353" s="483" t="s">
        <v>2006</v>
      </c>
    </row>
    <row r="354" customFormat="false" ht="15" hidden="false" customHeight="false" outlineLevel="0" collapsed="false">
      <c r="A354" s="483" t="s">
        <v>2007</v>
      </c>
      <c r="B354" s="483" t="s">
        <v>2008</v>
      </c>
      <c r="C354" s="480" t="n">
        <v>109557</v>
      </c>
      <c r="D354" s="483" t="s">
        <v>2009</v>
      </c>
      <c r="E354" s="483" t="s">
        <v>2010</v>
      </c>
    </row>
    <row r="355" customFormat="false" ht="15" hidden="false" customHeight="false" outlineLevel="0" collapsed="false">
      <c r="A355" s="483" t="s">
        <v>2011</v>
      </c>
      <c r="B355" s="483" t="s">
        <v>2012</v>
      </c>
      <c r="C355" s="480" t="n">
        <v>132622</v>
      </c>
      <c r="D355" s="483" t="s">
        <v>2013</v>
      </c>
      <c r="E355" s="483" t="s">
        <v>2014</v>
      </c>
    </row>
    <row r="356" customFormat="false" ht="15" hidden="false" customHeight="false" outlineLevel="0" collapsed="false">
      <c r="A356" s="483" t="s">
        <v>2015</v>
      </c>
      <c r="B356" s="483" t="s">
        <v>2016</v>
      </c>
      <c r="C356" s="480" t="n">
        <v>132345</v>
      </c>
      <c r="D356" s="483" t="s">
        <v>2017</v>
      </c>
      <c r="E356" s="483" t="s">
        <v>2018</v>
      </c>
    </row>
    <row r="357" customFormat="false" ht="15" hidden="false" customHeight="false" outlineLevel="0" collapsed="false">
      <c r="A357" s="483" t="s">
        <v>2019</v>
      </c>
      <c r="B357" s="483" t="s">
        <v>2020</v>
      </c>
      <c r="C357" s="480" t="n">
        <v>132767</v>
      </c>
      <c r="D357" s="483" t="s">
        <v>2021</v>
      </c>
      <c r="E357" s="483" t="s">
        <v>2022</v>
      </c>
    </row>
    <row r="358" customFormat="false" ht="15" hidden="false" customHeight="false" outlineLevel="0" collapsed="false">
      <c r="A358" s="483" t="s">
        <v>2023</v>
      </c>
      <c r="B358" s="483" t="s">
        <v>2024</v>
      </c>
      <c r="C358" s="480" t="n">
        <v>132309</v>
      </c>
      <c r="D358" s="483" t="s">
        <v>2025</v>
      </c>
      <c r="E358" s="483" t="s">
        <v>2026</v>
      </c>
    </row>
    <row r="359" customFormat="false" ht="15" hidden="false" customHeight="false" outlineLevel="0" collapsed="false">
      <c r="A359" s="483" t="s">
        <v>2027</v>
      </c>
      <c r="B359" s="483" t="s">
        <v>2028</v>
      </c>
      <c r="C359" s="480" t="n">
        <v>122275</v>
      </c>
      <c r="D359" s="483" t="s">
        <v>2029</v>
      </c>
      <c r="E359" s="483" t="s">
        <v>2030</v>
      </c>
    </row>
    <row r="360" customFormat="false" ht="15" hidden="false" customHeight="false" outlineLevel="0" collapsed="false">
      <c r="A360" s="483" t="s">
        <v>2031</v>
      </c>
      <c r="B360" s="483" t="s">
        <v>2032</v>
      </c>
      <c r="C360" s="480" t="n">
        <v>210174</v>
      </c>
      <c r="D360" s="483" t="s">
        <v>2033</v>
      </c>
      <c r="E360" s="483" t="s">
        <v>2034</v>
      </c>
    </row>
    <row r="361" customFormat="false" ht="15" hidden="false" customHeight="false" outlineLevel="0" collapsed="false">
      <c r="A361" s="483" t="s">
        <v>2035</v>
      </c>
      <c r="B361" s="483" t="s">
        <v>2036</v>
      </c>
      <c r="C361" s="480" t="n">
        <v>106109</v>
      </c>
      <c r="D361" s="483" t="s">
        <v>2037</v>
      </c>
      <c r="E361" s="483" t="s">
        <v>2038</v>
      </c>
    </row>
    <row r="362" customFormat="false" ht="15" hidden="false" customHeight="false" outlineLevel="0" collapsed="false">
      <c r="A362" s="483" t="s">
        <v>2039</v>
      </c>
      <c r="B362" s="483" t="s">
        <v>2040</v>
      </c>
      <c r="C362" s="480" t="n">
        <v>130343</v>
      </c>
      <c r="D362" s="483" t="s">
        <v>2041</v>
      </c>
      <c r="E362" s="483" t="s">
        <v>2042</v>
      </c>
    </row>
    <row r="363" customFormat="false" ht="15" hidden="false" customHeight="false" outlineLevel="0" collapsed="false">
      <c r="A363" s="483" t="s">
        <v>2043</v>
      </c>
      <c r="B363" s="483" t="s">
        <v>2044</v>
      </c>
      <c r="C363" s="480" t="n">
        <v>132285</v>
      </c>
      <c r="D363" s="483" t="s">
        <v>2045</v>
      </c>
      <c r="E363" s="483" t="s">
        <v>2046</v>
      </c>
    </row>
    <row r="364" customFormat="false" ht="15" hidden="false" customHeight="false" outlineLevel="0" collapsed="false">
      <c r="A364" s="483" t="s">
        <v>2047</v>
      </c>
      <c r="B364" s="483" t="s">
        <v>2048</v>
      </c>
      <c r="C364" s="480" t="n">
        <v>100173</v>
      </c>
      <c r="D364" s="483" t="s">
        <v>2049</v>
      </c>
      <c r="E364" s="483" t="s">
        <v>2050</v>
      </c>
    </row>
    <row r="365" customFormat="false" ht="15" hidden="false" customHeight="false" outlineLevel="0" collapsed="false">
      <c r="A365" s="483" t="s">
        <v>2051</v>
      </c>
      <c r="B365" s="483" t="s">
        <v>2052</v>
      </c>
      <c r="C365" s="480" t="n">
        <v>100171</v>
      </c>
      <c r="D365" s="483" t="s">
        <v>2053</v>
      </c>
      <c r="E365" s="483" t="s">
        <v>2054</v>
      </c>
    </row>
    <row r="366" customFormat="false" ht="15" hidden="false" customHeight="false" outlineLevel="0" collapsed="false">
      <c r="A366" s="483" t="s">
        <v>2055</v>
      </c>
      <c r="B366" s="483" t="s">
        <v>2056</v>
      </c>
      <c r="C366" s="480" t="n">
        <v>111676</v>
      </c>
      <c r="D366" s="483" t="s">
        <v>2057</v>
      </c>
      <c r="E366" s="483" t="s">
        <v>2058</v>
      </c>
    </row>
    <row r="367" customFormat="false" ht="15" hidden="false" customHeight="false" outlineLevel="0" collapsed="false">
      <c r="A367" s="483" t="s">
        <v>2059</v>
      </c>
      <c r="B367" s="483" t="s">
        <v>2060</v>
      </c>
      <c r="C367" s="480" t="n">
        <v>107815</v>
      </c>
      <c r="D367" s="483" t="s">
        <v>2061</v>
      </c>
      <c r="E367" s="483" t="s">
        <v>2062</v>
      </c>
    </row>
    <row r="368" customFormat="false" ht="15" hidden="false" customHeight="false" outlineLevel="0" collapsed="false">
      <c r="A368" s="483" t="s">
        <v>2063</v>
      </c>
      <c r="B368" s="483" t="s">
        <v>2064</v>
      </c>
      <c r="C368" s="480" t="n">
        <v>235355</v>
      </c>
      <c r="D368" s="483" t="s">
        <v>2065</v>
      </c>
      <c r="E368" s="483" t="s">
        <v>2066</v>
      </c>
    </row>
    <row r="369" customFormat="false" ht="15" hidden="false" customHeight="false" outlineLevel="0" collapsed="false">
      <c r="A369" s="386" t="s">
        <v>2067</v>
      </c>
      <c r="B369" s="483" t="s">
        <v>2068</v>
      </c>
      <c r="C369" s="480" t="n">
        <v>100660</v>
      </c>
      <c r="D369" s="483" t="s">
        <v>2069</v>
      </c>
      <c r="E369" s="483" t="s">
        <v>2070</v>
      </c>
    </row>
    <row r="370" customFormat="false" ht="15" hidden="false" customHeight="false" outlineLevel="0" collapsed="false">
      <c r="A370" s="483" t="s">
        <v>2071</v>
      </c>
      <c r="B370" s="483" t="s">
        <v>2072</v>
      </c>
      <c r="C370" s="480" t="n">
        <v>301987</v>
      </c>
      <c r="D370" s="483" t="s">
        <v>2073</v>
      </c>
      <c r="E370" s="483" t="s">
        <v>2074</v>
      </c>
    </row>
    <row r="371" customFormat="false" ht="15" hidden="false" customHeight="false" outlineLevel="0" collapsed="false">
      <c r="A371" s="483" t="s">
        <v>2075</v>
      </c>
      <c r="B371" s="483" t="s">
        <v>2076</v>
      </c>
      <c r="C371" s="480" t="n">
        <v>132296</v>
      </c>
      <c r="D371" s="483" t="s">
        <v>2077</v>
      </c>
      <c r="E371" s="483" t="s">
        <v>2078</v>
      </c>
    </row>
    <row r="372" customFormat="false" ht="15" hidden="false" customHeight="false" outlineLevel="0" collapsed="false">
      <c r="A372" s="483" t="s">
        <v>2079</v>
      </c>
      <c r="B372" s="483"/>
      <c r="C372" s="480" t="n">
        <v>126025</v>
      </c>
      <c r="D372" s="483" t="s">
        <v>2080</v>
      </c>
      <c r="E372" s="483" t="s">
        <v>2081</v>
      </c>
    </row>
    <row r="373" customFormat="false" ht="15" hidden="false" customHeight="false" outlineLevel="0" collapsed="false">
      <c r="A373" s="483" t="s">
        <v>2082</v>
      </c>
      <c r="B373" s="483" t="s">
        <v>2083</v>
      </c>
      <c r="C373" s="480" t="n">
        <v>200047</v>
      </c>
      <c r="D373" s="483" t="s">
        <v>2084</v>
      </c>
      <c r="E373" s="483" t="s">
        <v>2085</v>
      </c>
    </row>
    <row r="374" customFormat="false" ht="15" hidden="false" customHeight="false" outlineLevel="0" collapsed="false">
      <c r="A374" s="483" t="s">
        <v>2086</v>
      </c>
      <c r="B374" s="483"/>
      <c r="C374" s="480" t="n">
        <v>244215</v>
      </c>
      <c r="D374" s="483" t="s">
        <v>2087</v>
      </c>
      <c r="E374" s="483" t="s">
        <v>2088</v>
      </c>
    </row>
    <row r="375" customFormat="false" ht="15" hidden="false" customHeight="false" outlineLevel="0" collapsed="false">
      <c r="A375" s="483" t="s">
        <v>2089</v>
      </c>
      <c r="B375" s="483" t="s">
        <v>2090</v>
      </c>
      <c r="C375" s="480" t="n">
        <v>107488</v>
      </c>
      <c r="D375" s="483" t="s">
        <v>2091</v>
      </c>
      <c r="E375" s="483" t="s">
        <v>2092</v>
      </c>
    </row>
    <row r="376" customFormat="false" ht="15" hidden="false" customHeight="false" outlineLevel="0" collapsed="false">
      <c r="A376" s="483" t="s">
        <v>2093</v>
      </c>
      <c r="B376" s="483" t="s">
        <v>2094</v>
      </c>
      <c r="C376" s="480" t="n">
        <v>105255</v>
      </c>
      <c r="D376" s="483" t="s">
        <v>2095</v>
      </c>
      <c r="E376" s="483" t="s">
        <v>2096</v>
      </c>
    </row>
    <row r="377" customFormat="false" ht="15" hidden="false" customHeight="false" outlineLevel="0" collapsed="false">
      <c r="A377" s="483" t="s">
        <v>2097</v>
      </c>
      <c r="B377" s="483" t="s">
        <v>2098</v>
      </c>
      <c r="C377" s="480" t="n">
        <v>132754</v>
      </c>
      <c r="D377" s="483" t="s">
        <v>2099</v>
      </c>
      <c r="E377" s="483" t="s">
        <v>2100</v>
      </c>
    </row>
    <row r="378" customFormat="false" ht="15" hidden="false" customHeight="false" outlineLevel="0" collapsed="false">
      <c r="A378" s="483" t="s">
        <v>2101</v>
      </c>
      <c r="B378" s="483" t="s">
        <v>2102</v>
      </c>
      <c r="C378" s="480" t="n">
        <v>211130</v>
      </c>
      <c r="D378" s="483" t="s">
        <v>2103</v>
      </c>
      <c r="E378" s="483" t="s">
        <v>2104</v>
      </c>
    </row>
    <row r="379" customFormat="false" ht="15" hidden="false" customHeight="false" outlineLevel="0" collapsed="false">
      <c r="A379" s="483" t="s">
        <v>2105</v>
      </c>
      <c r="B379" s="483" t="s">
        <v>2106</v>
      </c>
      <c r="C379" s="480" t="n">
        <v>303146</v>
      </c>
      <c r="D379" s="483" t="s">
        <v>2107</v>
      </c>
      <c r="E379" s="483" t="s">
        <v>2108</v>
      </c>
    </row>
    <row r="380" customFormat="false" ht="15" hidden="false" customHeight="false" outlineLevel="0" collapsed="false">
      <c r="A380" s="483" t="s">
        <v>2109</v>
      </c>
      <c r="B380" s="483" t="s">
        <v>2110</v>
      </c>
      <c r="C380" s="480" t="n">
        <v>106480</v>
      </c>
      <c r="D380" s="483" t="s">
        <v>2111</v>
      </c>
      <c r="E380" s="483" t="s">
        <v>2112</v>
      </c>
    </row>
    <row r="381" customFormat="false" ht="15" hidden="false" customHeight="false" outlineLevel="0" collapsed="false">
      <c r="A381" s="483" t="s">
        <v>2113</v>
      </c>
      <c r="B381" s="483" t="s">
        <v>2114</v>
      </c>
      <c r="C381" s="480" t="n">
        <v>132734</v>
      </c>
      <c r="D381" s="483" t="s">
        <v>2115</v>
      </c>
      <c r="E381" s="483" t="s">
        <v>2116</v>
      </c>
    </row>
    <row r="382" customFormat="false" ht="15" hidden="false" customHeight="false" outlineLevel="0" collapsed="false">
      <c r="A382" s="483" t="s">
        <v>2117</v>
      </c>
      <c r="B382" s="483" t="s">
        <v>2118</v>
      </c>
      <c r="C382" s="480" t="n">
        <v>100163</v>
      </c>
      <c r="D382" s="483" t="s">
        <v>2119</v>
      </c>
      <c r="E382" s="483" t="s">
        <v>2120</v>
      </c>
    </row>
    <row r="383" customFormat="false" ht="15" hidden="false" customHeight="false" outlineLevel="0" collapsed="false">
      <c r="A383" s="483" t="s">
        <v>2121</v>
      </c>
      <c r="B383" s="483" t="s">
        <v>2122</v>
      </c>
      <c r="C383" s="480" t="n">
        <v>217842</v>
      </c>
      <c r="D383" s="483" t="s">
        <v>2123</v>
      </c>
      <c r="E383" s="483" t="s">
        <v>2124</v>
      </c>
    </row>
    <row r="384" customFormat="false" ht="15" hidden="false" customHeight="false" outlineLevel="0" collapsed="false">
      <c r="A384" s="483" t="s">
        <v>2125</v>
      </c>
      <c r="B384" s="483" t="s">
        <v>2126</v>
      </c>
      <c r="C384" s="480" t="n">
        <v>132424</v>
      </c>
      <c r="D384" s="483" t="s">
        <v>2127</v>
      </c>
      <c r="E384" s="483" t="s">
        <v>2128</v>
      </c>
    </row>
    <row r="385" customFormat="false" ht="15" hidden="false" customHeight="false" outlineLevel="0" collapsed="false">
      <c r="A385" s="483" t="s">
        <v>2129</v>
      </c>
      <c r="B385" s="483" t="s">
        <v>2130</v>
      </c>
      <c r="C385" s="480" t="n">
        <v>100164</v>
      </c>
      <c r="D385" s="483" t="s">
        <v>2131</v>
      </c>
      <c r="E385" s="483" t="s">
        <v>2132</v>
      </c>
    </row>
    <row r="386" customFormat="false" ht="15" hidden="false" customHeight="false" outlineLevel="0" collapsed="false">
      <c r="A386" s="483" t="s">
        <v>2133</v>
      </c>
      <c r="B386" s="483" t="s">
        <v>2134</v>
      </c>
      <c r="C386" s="480" t="n">
        <v>208238</v>
      </c>
      <c r="D386" s="483" t="s">
        <v>2135</v>
      </c>
      <c r="E386" s="483" t="s">
        <v>2136</v>
      </c>
    </row>
    <row r="387" customFormat="false" ht="15" hidden="false" customHeight="false" outlineLevel="0" collapsed="false">
      <c r="A387" s="483" t="s">
        <v>2137</v>
      </c>
      <c r="B387" s="483" t="s">
        <v>2138</v>
      </c>
      <c r="C387" s="480" t="n">
        <v>132630</v>
      </c>
      <c r="D387" s="483" t="s">
        <v>2139</v>
      </c>
      <c r="E387" s="483" t="s">
        <v>2140</v>
      </c>
    </row>
    <row r="388" customFormat="false" ht="15" hidden="false" customHeight="false" outlineLevel="0" collapsed="false">
      <c r="A388" s="483" t="s">
        <v>2141</v>
      </c>
      <c r="B388" s="483" t="s">
        <v>2142</v>
      </c>
      <c r="C388" s="480" t="n">
        <v>280212</v>
      </c>
      <c r="D388" s="483" t="s">
        <v>2143</v>
      </c>
      <c r="E388" s="483" t="s">
        <v>2144</v>
      </c>
    </row>
    <row r="389" customFormat="false" ht="15" hidden="false" customHeight="false" outlineLevel="0" collapsed="false">
      <c r="A389" s="483" t="s">
        <v>2145</v>
      </c>
      <c r="B389" s="483" t="s">
        <v>2146</v>
      </c>
      <c r="C389" s="480" t="n">
        <v>126729</v>
      </c>
      <c r="D389" s="483" t="s">
        <v>2147</v>
      </c>
      <c r="E389" s="483" t="s">
        <v>2148</v>
      </c>
    </row>
    <row r="390" customFormat="false" ht="15" hidden="false" customHeight="false" outlineLevel="0" collapsed="false">
      <c r="A390" s="483" t="s">
        <v>2149</v>
      </c>
      <c r="B390" s="483" t="s">
        <v>2150</v>
      </c>
      <c r="C390" s="480" t="n">
        <v>130655</v>
      </c>
      <c r="D390" s="483" t="s">
        <v>2151</v>
      </c>
      <c r="E390" s="483" t="s">
        <v>2152</v>
      </c>
    </row>
    <row r="391" customFormat="false" ht="15" hidden="false" customHeight="false" outlineLevel="0" collapsed="false">
      <c r="A391" s="483" t="s">
        <v>2153</v>
      </c>
      <c r="B391" s="483" t="s">
        <v>2154</v>
      </c>
      <c r="C391" s="480" t="n">
        <v>100168</v>
      </c>
      <c r="D391" s="483" t="s">
        <v>2155</v>
      </c>
      <c r="E391" s="483" t="s">
        <v>2156</v>
      </c>
    </row>
    <row r="392" customFormat="false" ht="15" hidden="false" customHeight="false" outlineLevel="0" collapsed="false">
      <c r="A392" s="483" t="s">
        <v>2157</v>
      </c>
      <c r="B392" s="483" t="s">
        <v>2158</v>
      </c>
      <c r="C392" s="480" t="n">
        <v>251940</v>
      </c>
      <c r="D392" s="483" t="s">
        <v>2159</v>
      </c>
      <c r="E392" s="483" t="s">
        <v>2160</v>
      </c>
    </row>
    <row r="393" customFormat="false" ht="15" hidden="false" customHeight="false" outlineLevel="0" collapsed="false">
      <c r="A393" s="483" t="s">
        <v>2161</v>
      </c>
      <c r="B393" s="483" t="s">
        <v>2162</v>
      </c>
      <c r="C393" s="480" t="n">
        <v>132482</v>
      </c>
      <c r="D393" s="483" t="s">
        <v>2163</v>
      </c>
      <c r="E393" s="483" t="s">
        <v>2164</v>
      </c>
    </row>
    <row r="394" customFormat="false" ht="15" hidden="false" customHeight="false" outlineLevel="0" collapsed="false">
      <c r="A394" s="483" t="s">
        <v>2165</v>
      </c>
      <c r="B394" s="483" t="s">
        <v>2166</v>
      </c>
      <c r="C394" s="480" t="n">
        <v>109488</v>
      </c>
      <c r="D394" s="483" t="s">
        <v>2167</v>
      </c>
      <c r="E394" s="483" t="s">
        <v>2168</v>
      </c>
    </row>
    <row r="395" customFormat="false" ht="15" hidden="false" customHeight="false" outlineLevel="0" collapsed="false">
      <c r="A395" s="483" t="s">
        <v>2169</v>
      </c>
      <c r="B395" s="483" t="s">
        <v>2170</v>
      </c>
      <c r="C395" s="480" t="n">
        <v>100300</v>
      </c>
      <c r="D395" s="483" t="s">
        <v>2171</v>
      </c>
      <c r="E395" s="483" t="s">
        <v>2172</v>
      </c>
    </row>
    <row r="396" customFormat="false" ht="15" hidden="false" customHeight="false" outlineLevel="0" collapsed="false">
      <c r="A396" s="483" t="s">
        <v>2173</v>
      </c>
      <c r="B396" s="483" t="s">
        <v>2174</v>
      </c>
      <c r="C396" s="480" t="n">
        <v>105710</v>
      </c>
      <c r="D396" s="483" t="s">
        <v>2175</v>
      </c>
      <c r="E396" s="483" t="s">
        <v>2176</v>
      </c>
    </row>
    <row r="397" customFormat="false" ht="15" hidden="false" customHeight="false" outlineLevel="0" collapsed="false">
      <c r="A397" s="483" t="s">
        <v>2177</v>
      </c>
      <c r="B397" s="483" t="s">
        <v>2178</v>
      </c>
      <c r="C397" s="480" t="n">
        <v>215690</v>
      </c>
      <c r="D397" s="483" t="s">
        <v>2179</v>
      </c>
      <c r="E397" s="483" t="s">
        <v>2180</v>
      </c>
    </row>
    <row r="398" customFormat="false" ht="15" hidden="false" customHeight="false" outlineLevel="0" collapsed="false">
      <c r="A398" s="483" t="s">
        <v>2181</v>
      </c>
      <c r="B398" s="483" t="s">
        <v>2182</v>
      </c>
      <c r="C398" s="480" t="n">
        <v>101455</v>
      </c>
      <c r="D398" s="483" t="s">
        <v>2183</v>
      </c>
      <c r="E398" s="483" t="s">
        <v>2184</v>
      </c>
    </row>
    <row r="399" customFormat="false" ht="15" hidden="false" customHeight="false" outlineLevel="0" collapsed="false">
      <c r="A399" s="483" t="s">
        <v>2185</v>
      </c>
      <c r="B399" s="483" t="s">
        <v>2186</v>
      </c>
      <c r="C399" s="480" t="n">
        <v>272156</v>
      </c>
      <c r="D399" s="483" t="s">
        <v>2187</v>
      </c>
      <c r="E399" s="483" t="s">
        <v>2188</v>
      </c>
    </row>
    <row r="400" customFormat="false" ht="15" hidden="false" customHeight="false" outlineLevel="0" collapsed="false">
      <c r="A400" s="483" t="s">
        <v>2189</v>
      </c>
      <c r="B400" s="483" t="s">
        <v>2190</v>
      </c>
      <c r="C400" s="480" t="n">
        <v>295732</v>
      </c>
      <c r="D400" s="483" t="s">
        <v>2191</v>
      </c>
      <c r="E400" s="483" t="s">
        <v>2192</v>
      </c>
    </row>
    <row r="401" customFormat="false" ht="15" hidden="false" customHeight="false" outlineLevel="0" collapsed="false">
      <c r="A401" s="483" t="s">
        <v>2193</v>
      </c>
      <c r="B401" s="483" t="s">
        <v>2194</v>
      </c>
      <c r="C401" s="480" t="n">
        <v>126797</v>
      </c>
      <c r="D401" s="483" t="s">
        <v>2195</v>
      </c>
      <c r="E401" s="483" t="s">
        <v>2196</v>
      </c>
    </row>
    <row r="402" customFormat="false" ht="15" hidden="false" customHeight="false" outlineLevel="0" collapsed="false">
      <c r="A402" s="483" t="s">
        <v>2197</v>
      </c>
      <c r="B402" s="483" t="s">
        <v>2198</v>
      </c>
      <c r="C402" s="480" t="n">
        <v>106076</v>
      </c>
      <c r="D402" s="483" t="s">
        <v>2199</v>
      </c>
      <c r="E402" s="483" t="s">
        <v>2200</v>
      </c>
    </row>
    <row r="403" customFormat="false" ht="15" hidden="false" customHeight="false" outlineLevel="0" collapsed="false">
      <c r="A403" s="483" t="s">
        <v>2201</v>
      </c>
      <c r="B403" s="483"/>
      <c r="C403" s="480" t="n">
        <v>131449</v>
      </c>
      <c r="D403" s="483" t="s">
        <v>2202</v>
      </c>
      <c r="E403" s="483" t="s">
        <v>2203</v>
      </c>
    </row>
    <row r="404" customFormat="false" ht="15" hidden="false" customHeight="false" outlineLevel="0" collapsed="false">
      <c r="A404" s="483" t="s">
        <v>2204</v>
      </c>
      <c r="B404" s="483" t="s">
        <v>2205</v>
      </c>
      <c r="C404" s="480" t="n">
        <v>132775</v>
      </c>
      <c r="D404" s="483" t="s">
        <v>2206</v>
      </c>
      <c r="E404" s="483" t="s">
        <v>2207</v>
      </c>
    </row>
    <row r="405" customFormat="false" ht="15" hidden="false" customHeight="false" outlineLevel="0" collapsed="false">
      <c r="A405" s="483" t="s">
        <v>2208</v>
      </c>
      <c r="B405" s="483" t="s">
        <v>2209</v>
      </c>
      <c r="C405" s="480" t="n">
        <v>284223</v>
      </c>
      <c r="D405" s="483" t="s">
        <v>2210</v>
      </c>
      <c r="E405" s="483" t="s">
        <v>2211</v>
      </c>
    </row>
    <row r="406" customFormat="false" ht="15" hidden="false" customHeight="false" outlineLevel="0" collapsed="false">
      <c r="A406" s="483" t="s">
        <v>2212</v>
      </c>
      <c r="B406" s="483" t="s">
        <v>2213</v>
      </c>
      <c r="C406" s="480" t="n">
        <v>109079</v>
      </c>
      <c r="D406" s="483" t="s">
        <v>2214</v>
      </c>
      <c r="E406" s="483" t="s">
        <v>2215</v>
      </c>
    </row>
    <row r="407" customFormat="false" ht="15" hidden="false" customHeight="false" outlineLevel="0" collapsed="false">
      <c r="A407" s="483" t="s">
        <v>2216</v>
      </c>
      <c r="B407" s="483" t="s">
        <v>2217</v>
      </c>
      <c r="C407" s="480" t="n">
        <v>130001</v>
      </c>
      <c r="D407" s="483" t="s">
        <v>2218</v>
      </c>
      <c r="E407" s="483" t="s">
        <v>2219</v>
      </c>
    </row>
    <row r="408" customFormat="false" ht="15" hidden="false" customHeight="false" outlineLevel="0" collapsed="false">
      <c r="A408" s="483" t="s">
        <v>2220</v>
      </c>
      <c r="B408" s="483" t="s">
        <v>2221</v>
      </c>
      <c r="C408" s="480" t="n">
        <v>124226</v>
      </c>
      <c r="D408" s="483" t="s">
        <v>2222</v>
      </c>
      <c r="E408" s="483" t="s">
        <v>2223</v>
      </c>
    </row>
    <row r="409" customFormat="false" ht="15" hidden="false" customHeight="false" outlineLevel="0" collapsed="false">
      <c r="A409" s="483" t="s">
        <v>2224</v>
      </c>
      <c r="B409" s="483" t="s">
        <v>2225</v>
      </c>
      <c r="C409" s="480" t="n">
        <v>295872</v>
      </c>
      <c r="D409" s="483" t="s">
        <v>2226</v>
      </c>
      <c r="E409" s="483" t="s">
        <v>2227</v>
      </c>
    </row>
    <row r="410" customFormat="false" ht="15" hidden="false" customHeight="false" outlineLevel="0" collapsed="false">
      <c r="A410" s="483" t="s">
        <v>2228</v>
      </c>
      <c r="B410" s="483" t="s">
        <v>2229</v>
      </c>
      <c r="C410" s="480" t="n">
        <v>249927</v>
      </c>
      <c r="D410" s="483" t="s">
        <v>2230</v>
      </c>
      <c r="E410" s="483" t="s">
        <v>2231</v>
      </c>
    </row>
    <row r="411" customFormat="false" ht="15" hidden="false" customHeight="false" outlineLevel="0" collapsed="false">
      <c r="A411" s="483" t="s">
        <v>2232</v>
      </c>
      <c r="B411" s="483" t="s">
        <v>2233</v>
      </c>
      <c r="C411" s="480" t="n">
        <v>117300</v>
      </c>
      <c r="D411" s="483" t="s">
        <v>2234</v>
      </c>
      <c r="E411" s="483" t="s">
        <v>2235</v>
      </c>
    </row>
    <row r="412" customFormat="false" ht="15" hidden="false" customHeight="false" outlineLevel="0" collapsed="false">
      <c r="A412" s="483" t="s">
        <v>2236</v>
      </c>
      <c r="B412" s="483" t="s">
        <v>2237</v>
      </c>
      <c r="C412" s="480" t="n">
        <v>132181</v>
      </c>
      <c r="D412" s="483" t="s">
        <v>2238</v>
      </c>
      <c r="E412" s="483" t="s">
        <v>2239</v>
      </c>
    </row>
    <row r="413" customFormat="false" ht="15" hidden="false" customHeight="false" outlineLevel="0" collapsed="false">
      <c r="A413" s="483" t="s">
        <v>2240</v>
      </c>
      <c r="B413" s="483" t="s">
        <v>2241</v>
      </c>
      <c r="C413" s="480" t="n">
        <v>100670</v>
      </c>
      <c r="D413" s="483" t="s">
        <v>2242</v>
      </c>
      <c r="E413" s="483" t="s">
        <v>2243</v>
      </c>
    </row>
    <row r="414" customFormat="false" ht="15" hidden="false" customHeight="false" outlineLevel="0" collapsed="false">
      <c r="A414" s="483" t="s">
        <v>2244</v>
      </c>
      <c r="B414" s="483" t="s">
        <v>2245</v>
      </c>
      <c r="C414" s="480" t="n">
        <v>208264</v>
      </c>
      <c r="D414" s="483" t="s">
        <v>2246</v>
      </c>
      <c r="E414" s="483" t="s">
        <v>2247</v>
      </c>
    </row>
    <row r="415" customFormat="false" ht="15" hidden="false" customHeight="false" outlineLevel="0" collapsed="false">
      <c r="A415" s="483" t="s">
        <v>2248</v>
      </c>
      <c r="B415" s="483" t="s">
        <v>2249</v>
      </c>
      <c r="C415" s="480" t="n">
        <v>100690</v>
      </c>
      <c r="D415" s="483" t="s">
        <v>2250</v>
      </c>
      <c r="E415" s="483" t="s">
        <v>2251</v>
      </c>
    </row>
    <row r="416" customFormat="false" ht="15" hidden="false" customHeight="false" outlineLevel="0" collapsed="false">
      <c r="A416" s="483" t="s">
        <v>2252</v>
      </c>
      <c r="B416" s="483" t="s">
        <v>2253</v>
      </c>
      <c r="C416" s="480" t="n">
        <v>132702</v>
      </c>
      <c r="D416" s="483" t="s">
        <v>2254</v>
      </c>
      <c r="E416" s="483" t="s">
        <v>2255</v>
      </c>
    </row>
    <row r="417" customFormat="false" ht="15" hidden="false" customHeight="false" outlineLevel="0" collapsed="false">
      <c r="A417" s="483" t="s">
        <v>2256</v>
      </c>
      <c r="B417" s="483" t="s">
        <v>2257</v>
      </c>
      <c r="C417" s="480" t="n">
        <v>106879</v>
      </c>
      <c r="D417" s="483" t="s">
        <v>2258</v>
      </c>
      <c r="E417" s="483" t="s">
        <v>2259</v>
      </c>
    </row>
    <row r="418" customFormat="false" ht="15" hidden="false" customHeight="false" outlineLevel="0" collapsed="false">
      <c r="A418" s="483" t="s">
        <v>2260</v>
      </c>
      <c r="B418" s="483" t="s">
        <v>2261</v>
      </c>
      <c r="C418" s="480" t="n">
        <v>267543</v>
      </c>
      <c r="D418" s="483" t="s">
        <v>2262</v>
      </c>
      <c r="E418" s="483" t="s">
        <v>2263</v>
      </c>
    </row>
    <row r="419" customFormat="false" ht="15" hidden="false" customHeight="false" outlineLevel="0" collapsed="false">
      <c r="A419" s="483" t="s">
        <v>2264</v>
      </c>
      <c r="B419" s="483" t="s">
        <v>2265</v>
      </c>
      <c r="C419" s="480" t="n">
        <v>132457</v>
      </c>
      <c r="D419" s="483" t="s">
        <v>2266</v>
      </c>
      <c r="E419" s="483" t="s">
        <v>2267</v>
      </c>
    </row>
    <row r="420" customFormat="false" ht="15" hidden="false" customHeight="false" outlineLevel="0" collapsed="false">
      <c r="A420" s="483" t="s">
        <v>2268</v>
      </c>
      <c r="B420" s="483" t="s">
        <v>2269</v>
      </c>
      <c r="C420" s="480" t="n">
        <v>282626</v>
      </c>
      <c r="D420" s="483" t="s">
        <v>2270</v>
      </c>
      <c r="E420" s="483" t="s">
        <v>2271</v>
      </c>
    </row>
    <row r="421" customFormat="false" ht="15" hidden="false" customHeight="false" outlineLevel="0" collapsed="false">
      <c r="A421" s="483" t="s">
        <v>2272</v>
      </c>
      <c r="B421" s="483" t="s">
        <v>2273</v>
      </c>
      <c r="C421" s="480" t="n">
        <v>284232</v>
      </c>
      <c r="D421" s="483" t="s">
        <v>2274</v>
      </c>
      <c r="E421" s="483" t="s">
        <v>2275</v>
      </c>
    </row>
    <row r="422" customFormat="false" ht="15" hidden="false" customHeight="false" outlineLevel="0" collapsed="false">
      <c r="A422" s="483" t="s">
        <v>2276</v>
      </c>
      <c r="B422" s="483" t="s">
        <v>2277</v>
      </c>
      <c r="C422" s="480" t="n">
        <v>215739</v>
      </c>
      <c r="D422" s="483" t="s">
        <v>2278</v>
      </c>
      <c r="E422" s="483" t="s">
        <v>2279</v>
      </c>
    </row>
    <row r="423" customFormat="false" ht="15" hidden="false" customHeight="false" outlineLevel="0" collapsed="false">
      <c r="A423" s="483" t="s">
        <v>2280</v>
      </c>
      <c r="B423" s="483" t="s">
        <v>2281</v>
      </c>
      <c r="C423" s="480" t="n">
        <v>131531</v>
      </c>
      <c r="D423" s="483" t="s">
        <v>2282</v>
      </c>
      <c r="E423" s="483" t="s">
        <v>2283</v>
      </c>
    </row>
    <row r="424" customFormat="false" ht="15" hidden="false" customHeight="false" outlineLevel="0" collapsed="false">
      <c r="A424" s="483" t="s">
        <v>2284</v>
      </c>
      <c r="B424" s="483" t="s">
        <v>2285</v>
      </c>
      <c r="C424" s="480" t="n">
        <v>117354</v>
      </c>
      <c r="D424" s="483" t="s">
        <v>2286</v>
      </c>
      <c r="E424" s="483" t="s">
        <v>2287</v>
      </c>
    </row>
    <row r="425" customFormat="false" ht="15" hidden="false" customHeight="false" outlineLevel="0" collapsed="false">
      <c r="A425" s="483" t="s">
        <v>2288</v>
      </c>
      <c r="B425" s="483" t="s">
        <v>2289</v>
      </c>
      <c r="C425" s="480" t="n">
        <v>108486</v>
      </c>
      <c r="D425" s="483" t="s">
        <v>2290</v>
      </c>
      <c r="E425" s="483" t="s">
        <v>2291</v>
      </c>
    </row>
    <row r="426" customFormat="false" ht="15" hidden="false" customHeight="false" outlineLevel="0" collapsed="false">
      <c r="A426" s="483" t="s">
        <v>2292</v>
      </c>
      <c r="B426" s="483" t="s">
        <v>2293</v>
      </c>
      <c r="C426" s="480" t="n">
        <v>117271</v>
      </c>
      <c r="D426" s="483" t="s">
        <v>2294</v>
      </c>
      <c r="E426" s="483" t="s">
        <v>2295</v>
      </c>
    </row>
    <row r="427" customFormat="false" ht="15" hidden="false" customHeight="false" outlineLevel="0" collapsed="false">
      <c r="A427" s="483" t="s">
        <v>2296</v>
      </c>
      <c r="B427" s="483" t="s">
        <v>2297</v>
      </c>
      <c r="C427" s="480" t="n">
        <v>100179</v>
      </c>
      <c r="D427" s="483" t="s">
        <v>2298</v>
      </c>
      <c r="E427" s="483" t="s">
        <v>2299</v>
      </c>
    </row>
    <row r="428" customFormat="false" ht="15" hidden="false" customHeight="false" outlineLevel="0" collapsed="false">
      <c r="A428" s="483" t="s">
        <v>2300</v>
      </c>
      <c r="B428" s="483" t="s">
        <v>2301</v>
      </c>
      <c r="C428" s="480" t="n">
        <v>132281</v>
      </c>
      <c r="D428" s="483" t="s">
        <v>2302</v>
      </c>
      <c r="E428" s="483" t="s">
        <v>2303</v>
      </c>
    </row>
    <row r="429" customFormat="false" ht="15" hidden="false" customHeight="false" outlineLevel="0" collapsed="false">
      <c r="A429" s="483" t="s">
        <v>2304</v>
      </c>
      <c r="B429" s="483"/>
      <c r="C429" s="480" t="n">
        <v>126717</v>
      </c>
      <c r="D429" s="483" t="s">
        <v>2305</v>
      </c>
      <c r="E429" s="483" t="s">
        <v>2306</v>
      </c>
    </row>
    <row r="430" customFormat="false" ht="15" hidden="false" customHeight="false" outlineLevel="0" collapsed="false">
      <c r="A430" s="483" t="s">
        <v>2307</v>
      </c>
      <c r="B430" s="483" t="s">
        <v>2308</v>
      </c>
      <c r="C430" s="480" t="n">
        <v>208280</v>
      </c>
      <c r="D430" s="483" t="s">
        <v>2309</v>
      </c>
      <c r="E430" s="483" t="s">
        <v>2310</v>
      </c>
    </row>
    <row r="431" customFormat="false" ht="15" hidden="false" customHeight="false" outlineLevel="0" collapsed="false">
      <c r="A431" s="483" t="s">
        <v>2311</v>
      </c>
      <c r="B431" s="483" t="s">
        <v>2312</v>
      </c>
      <c r="C431" s="480" t="n">
        <v>100180</v>
      </c>
      <c r="D431" s="483" t="s">
        <v>2313</v>
      </c>
      <c r="E431" s="483" t="s">
        <v>2314</v>
      </c>
    </row>
    <row r="432" customFormat="false" ht="15" hidden="false" customHeight="false" outlineLevel="0" collapsed="false">
      <c r="A432" s="483" t="s">
        <v>2315</v>
      </c>
      <c r="B432" s="483" t="s">
        <v>2316</v>
      </c>
      <c r="C432" s="480" t="n">
        <v>217389</v>
      </c>
      <c r="D432" s="483" t="s">
        <v>2317</v>
      </c>
      <c r="E432" s="483" t="s">
        <v>2318</v>
      </c>
    </row>
    <row r="433" customFormat="false" ht="15" hidden="false" customHeight="false" outlineLevel="0" collapsed="false">
      <c r="A433" s="483" t="s">
        <v>2319</v>
      </c>
      <c r="B433" s="483" t="s">
        <v>2320</v>
      </c>
      <c r="C433" s="480" t="n">
        <v>210217</v>
      </c>
      <c r="D433" s="483" t="s">
        <v>2321</v>
      </c>
      <c r="E433" s="483" t="s">
        <v>2322</v>
      </c>
    </row>
    <row r="434" customFormat="false" ht="15" hidden="false" customHeight="false" outlineLevel="0" collapsed="false">
      <c r="A434" s="483" t="s">
        <v>2323</v>
      </c>
      <c r="B434" s="483" t="s">
        <v>2324</v>
      </c>
      <c r="C434" s="480" t="n">
        <v>109631</v>
      </c>
      <c r="D434" s="483" t="s">
        <v>2325</v>
      </c>
      <c r="E434" s="483" t="s">
        <v>2326</v>
      </c>
    </row>
    <row r="435" customFormat="false" ht="15" hidden="false" customHeight="false" outlineLevel="0" collapsed="false">
      <c r="A435" s="483" t="s">
        <v>2327</v>
      </c>
      <c r="B435" s="483" t="s">
        <v>2328</v>
      </c>
      <c r="C435" s="480" t="n">
        <v>100292</v>
      </c>
      <c r="D435" s="483" t="s">
        <v>2329</v>
      </c>
      <c r="E435" s="483" t="s">
        <v>2330</v>
      </c>
    </row>
    <row r="436" customFormat="false" ht="15" hidden="false" customHeight="false" outlineLevel="0" collapsed="false">
      <c r="A436" s="483" t="s">
        <v>2331</v>
      </c>
      <c r="B436" s="483" t="s">
        <v>2332</v>
      </c>
      <c r="C436" s="480" t="n">
        <v>296057</v>
      </c>
      <c r="D436" s="483" t="s">
        <v>2333</v>
      </c>
      <c r="E436" s="483" t="s">
        <v>2334</v>
      </c>
    </row>
    <row r="437" customFormat="false" ht="15" hidden="false" customHeight="false" outlineLevel="0" collapsed="false">
      <c r="A437" s="483" t="s">
        <v>2335</v>
      </c>
      <c r="B437" s="483" t="s">
        <v>2336</v>
      </c>
      <c r="C437" s="480" t="n">
        <v>223487</v>
      </c>
      <c r="D437" s="483" t="s">
        <v>2337</v>
      </c>
      <c r="E437" s="483" t="s">
        <v>2338</v>
      </c>
    </row>
    <row r="438" customFormat="false" ht="15" hidden="false" customHeight="false" outlineLevel="0" collapsed="false">
      <c r="A438" s="483" t="s">
        <v>2339</v>
      </c>
      <c r="B438" s="483" t="s">
        <v>2340</v>
      </c>
      <c r="C438" s="480" t="n">
        <v>119552</v>
      </c>
      <c r="D438" s="483" t="s">
        <v>2341</v>
      </c>
      <c r="E438" s="483" t="s">
        <v>2342</v>
      </c>
    </row>
    <row r="439" customFormat="false" ht="15" hidden="false" customHeight="false" outlineLevel="0" collapsed="false">
      <c r="A439" s="483" t="s">
        <v>2343</v>
      </c>
      <c r="B439" s="483" t="s">
        <v>2344</v>
      </c>
      <c r="C439" s="480" t="n">
        <v>100182</v>
      </c>
      <c r="D439" s="483" t="s">
        <v>2345</v>
      </c>
      <c r="E439" s="483" t="s">
        <v>2346</v>
      </c>
    </row>
    <row r="440" customFormat="false" ht="15" hidden="false" customHeight="false" outlineLevel="0" collapsed="false">
      <c r="A440" s="483" t="s">
        <v>2347</v>
      </c>
      <c r="B440" s="483" t="s">
        <v>2348</v>
      </c>
      <c r="C440" s="480" t="n">
        <v>124669</v>
      </c>
      <c r="D440" s="483" t="s">
        <v>2349</v>
      </c>
      <c r="E440" s="483" t="s">
        <v>2350</v>
      </c>
    </row>
    <row r="441" customFormat="false" ht="15" hidden="false" customHeight="false" outlineLevel="0" collapsed="false">
      <c r="A441" s="483" t="s">
        <v>2351</v>
      </c>
      <c r="B441" s="483" t="s">
        <v>2352</v>
      </c>
      <c r="C441" s="480" t="n">
        <v>228275</v>
      </c>
      <c r="D441" s="483" t="s">
        <v>2353</v>
      </c>
      <c r="E441" s="483" t="s">
        <v>2354</v>
      </c>
    </row>
    <row r="442" customFormat="false" ht="15" hidden="false" customHeight="false" outlineLevel="0" collapsed="false">
      <c r="A442" s="483" t="s">
        <v>2355</v>
      </c>
      <c r="B442" s="483" t="s">
        <v>2356</v>
      </c>
      <c r="C442" s="480" t="n">
        <v>100183</v>
      </c>
      <c r="D442" s="483" t="s">
        <v>2357</v>
      </c>
      <c r="E442" s="483" t="s">
        <v>2358</v>
      </c>
    </row>
    <row r="443" customFormat="false" ht="15" hidden="false" customHeight="false" outlineLevel="0" collapsed="false">
      <c r="A443" s="483" t="s">
        <v>2359</v>
      </c>
      <c r="B443" s="483" t="s">
        <v>2360</v>
      </c>
      <c r="C443" s="480" t="n">
        <v>124735</v>
      </c>
      <c r="D443" s="483" t="s">
        <v>2361</v>
      </c>
      <c r="E443" s="483" t="s">
        <v>2362</v>
      </c>
    </row>
    <row r="444" customFormat="false" ht="15" hidden="false" customHeight="false" outlineLevel="0" collapsed="false">
      <c r="A444" s="483" t="s">
        <v>2363</v>
      </c>
      <c r="B444" s="483" t="s">
        <v>2364</v>
      </c>
      <c r="C444" s="480" t="n">
        <v>109675</v>
      </c>
      <c r="D444" s="483" t="s">
        <v>2365</v>
      </c>
      <c r="E444" s="483" t="s">
        <v>2366</v>
      </c>
    </row>
    <row r="445" customFormat="false" ht="15" hidden="false" customHeight="false" outlineLevel="0" collapsed="false">
      <c r="A445" s="483" t="s">
        <v>2367</v>
      </c>
      <c r="B445" s="483" t="s">
        <v>2368</v>
      </c>
      <c r="C445" s="480" t="n">
        <v>100184</v>
      </c>
      <c r="D445" s="483" t="s">
        <v>2369</v>
      </c>
      <c r="E445" s="483" t="s">
        <v>2370</v>
      </c>
    </row>
    <row r="446" customFormat="false" ht="15" hidden="false" customHeight="false" outlineLevel="0" collapsed="false">
      <c r="A446" s="483" t="s">
        <v>2371</v>
      </c>
      <c r="B446" s="483" t="s">
        <v>2372</v>
      </c>
      <c r="C446" s="480" t="n">
        <v>114043</v>
      </c>
      <c r="D446" s="483" t="s">
        <v>2373</v>
      </c>
      <c r="E446" s="483" t="s">
        <v>2374</v>
      </c>
    </row>
    <row r="447" customFormat="false" ht="15" hidden="false" customHeight="false" outlineLevel="0" collapsed="false">
      <c r="A447" s="483" t="s">
        <v>2375</v>
      </c>
      <c r="B447" s="483" t="s">
        <v>2376</v>
      </c>
      <c r="C447" s="480" t="n">
        <v>100440</v>
      </c>
      <c r="D447" s="483" t="s">
        <v>2377</v>
      </c>
      <c r="E447" s="483" t="s">
        <v>2378</v>
      </c>
    </row>
    <row r="448" customFormat="false" ht="15" hidden="false" customHeight="false" outlineLevel="0" collapsed="false">
      <c r="A448" s="483" t="s">
        <v>2379</v>
      </c>
      <c r="B448" s="483" t="s">
        <v>2380</v>
      </c>
      <c r="C448" s="480" t="n">
        <v>132859</v>
      </c>
      <c r="D448" s="483" t="s">
        <v>2381</v>
      </c>
      <c r="E448" s="483" t="s">
        <v>2382</v>
      </c>
    </row>
    <row r="449" customFormat="false" ht="15" hidden="false" customHeight="false" outlineLevel="0" collapsed="false">
      <c r="A449" s="483" t="s">
        <v>2383</v>
      </c>
      <c r="B449" s="483" t="s">
        <v>2384</v>
      </c>
      <c r="C449" s="480" t="n">
        <v>219494</v>
      </c>
      <c r="D449" s="483" t="s">
        <v>2385</v>
      </c>
      <c r="E449" s="483" t="s">
        <v>2386</v>
      </c>
    </row>
    <row r="450" customFormat="false" ht="15" hidden="false" customHeight="false" outlineLevel="0" collapsed="false">
      <c r="A450" s="483" t="s">
        <v>2387</v>
      </c>
      <c r="B450" s="483" t="s">
        <v>2388</v>
      </c>
      <c r="C450" s="480" t="n">
        <v>100185</v>
      </c>
      <c r="D450" s="483" t="s">
        <v>2389</v>
      </c>
      <c r="E450" s="483" t="s">
        <v>2390</v>
      </c>
    </row>
    <row r="451" customFormat="false" ht="15" hidden="false" customHeight="false" outlineLevel="0" collapsed="false">
      <c r="A451" s="483" t="s">
        <v>2391</v>
      </c>
      <c r="B451" s="483" t="s">
        <v>2392</v>
      </c>
      <c r="C451" s="480" t="n">
        <v>113599</v>
      </c>
      <c r="D451" s="483" t="s">
        <v>2393</v>
      </c>
      <c r="E451" s="483" t="s">
        <v>2394</v>
      </c>
    </row>
    <row r="452" customFormat="false" ht="15" hidden="false" customHeight="false" outlineLevel="0" collapsed="false">
      <c r="A452" s="483" t="s">
        <v>2395</v>
      </c>
      <c r="B452" s="483" t="s">
        <v>2396</v>
      </c>
      <c r="C452" s="480" t="n">
        <v>119126</v>
      </c>
      <c r="D452" s="483" t="s">
        <v>2397</v>
      </c>
      <c r="E452" s="483" t="s">
        <v>2398</v>
      </c>
    </row>
    <row r="453" customFormat="false" ht="15" hidden="false" customHeight="false" outlineLevel="0" collapsed="false">
      <c r="A453" s="483" t="s">
        <v>2399</v>
      </c>
      <c r="B453" s="483" t="s">
        <v>2400</v>
      </c>
      <c r="C453" s="480" t="n">
        <v>220559</v>
      </c>
      <c r="D453" s="483" t="s">
        <v>2401</v>
      </c>
      <c r="E453" s="483" t="s">
        <v>2402</v>
      </c>
    </row>
    <row r="454" customFormat="false" ht="15" hidden="false" customHeight="false" outlineLevel="0" collapsed="false">
      <c r="A454" s="483" t="s">
        <v>2403</v>
      </c>
      <c r="B454" s="483" t="s">
        <v>2404</v>
      </c>
      <c r="C454" s="480" t="n">
        <v>100186</v>
      </c>
      <c r="D454" s="483" t="s">
        <v>2405</v>
      </c>
      <c r="E454" s="483" t="s">
        <v>2406</v>
      </c>
    </row>
    <row r="455" customFormat="false" ht="15" hidden="false" customHeight="false" outlineLevel="0" collapsed="false">
      <c r="A455" s="483" t="s">
        <v>2407</v>
      </c>
      <c r="B455" s="483" t="s">
        <v>2408</v>
      </c>
      <c r="C455" s="480" t="n">
        <v>100104</v>
      </c>
      <c r="D455" s="483" t="s">
        <v>2409</v>
      </c>
      <c r="E455" s="483" t="s">
        <v>2410</v>
      </c>
    </row>
    <row r="456" customFormat="false" ht="15" hidden="false" customHeight="false" outlineLevel="0" collapsed="false">
      <c r="A456" s="483" t="s">
        <v>2411</v>
      </c>
      <c r="B456" s="483" t="s">
        <v>2412</v>
      </c>
      <c r="C456" s="480" t="n">
        <v>100696</v>
      </c>
      <c r="D456" s="483" t="s">
        <v>2413</v>
      </c>
      <c r="E456" s="483" t="s">
        <v>2414</v>
      </c>
    </row>
    <row r="457" customFormat="false" ht="15" hidden="false" customHeight="false" outlineLevel="0" collapsed="false">
      <c r="A457" s="483" t="s">
        <v>2415</v>
      </c>
      <c r="B457" s="483" t="s">
        <v>2416</v>
      </c>
      <c r="C457" s="480" t="n">
        <v>100188</v>
      </c>
      <c r="D457" s="483" t="s">
        <v>2417</v>
      </c>
      <c r="E457" s="483" t="s">
        <v>2418</v>
      </c>
    </row>
    <row r="458" customFormat="false" ht="15" hidden="false" customHeight="false" outlineLevel="0" collapsed="false">
      <c r="A458" s="483" t="s">
        <v>2419</v>
      </c>
      <c r="B458" s="483"/>
      <c r="C458" s="480" t="n">
        <v>208341</v>
      </c>
      <c r="D458" s="483" t="s">
        <v>2420</v>
      </c>
      <c r="E458" s="483" t="s">
        <v>2421</v>
      </c>
    </row>
    <row r="459" customFormat="false" ht="15" hidden="false" customHeight="false" outlineLevel="0" collapsed="false">
      <c r="A459" s="483" t="s">
        <v>2422</v>
      </c>
      <c r="B459" s="483" t="s">
        <v>2423</v>
      </c>
      <c r="C459" s="480" t="n">
        <v>296765</v>
      </c>
      <c r="D459" s="483" t="s">
        <v>2424</v>
      </c>
      <c r="E459" s="483" t="s">
        <v>2425</v>
      </c>
    </row>
    <row r="460" customFormat="false" ht="15" hidden="false" customHeight="false" outlineLevel="0" collapsed="false">
      <c r="A460" s="483" t="s">
        <v>2426</v>
      </c>
      <c r="B460" s="483" t="s">
        <v>2427</v>
      </c>
      <c r="C460" s="480" t="n">
        <v>126217</v>
      </c>
      <c r="D460" s="483" t="s">
        <v>2428</v>
      </c>
      <c r="E460" s="483" t="s">
        <v>2429</v>
      </c>
    </row>
    <row r="461" customFormat="false" ht="15" hidden="false" customHeight="false" outlineLevel="0" collapsed="false">
      <c r="A461" s="483" t="s">
        <v>2430</v>
      </c>
      <c r="B461" s="483" t="s">
        <v>2431</v>
      </c>
      <c r="C461" s="480" t="n">
        <v>208345</v>
      </c>
      <c r="D461" s="483" t="s">
        <v>2432</v>
      </c>
      <c r="E461" s="483" t="s">
        <v>2433</v>
      </c>
    </row>
    <row r="462" customFormat="false" ht="15" hidden="false" customHeight="false" outlineLevel="0" collapsed="false">
      <c r="A462" s="483" t="s">
        <v>2434</v>
      </c>
      <c r="B462" s="483" t="s">
        <v>2435</v>
      </c>
      <c r="C462" s="480" t="n">
        <v>122215</v>
      </c>
      <c r="D462" s="483" t="s">
        <v>2436</v>
      </c>
      <c r="E462" s="483" t="s">
        <v>2437</v>
      </c>
    </row>
    <row r="463" customFormat="false" ht="15" hidden="false" customHeight="false" outlineLevel="0" collapsed="false">
      <c r="A463" s="483" t="s">
        <v>2438</v>
      </c>
      <c r="B463" s="483" t="s">
        <v>2439</v>
      </c>
      <c r="C463" s="480" t="n">
        <v>100193</v>
      </c>
      <c r="D463" s="483" t="s">
        <v>2440</v>
      </c>
      <c r="E463" s="483" t="s">
        <v>2441</v>
      </c>
    </row>
    <row r="464" customFormat="false" ht="15" hidden="false" customHeight="false" outlineLevel="0" collapsed="false">
      <c r="A464" s="483" t="s">
        <v>2442</v>
      </c>
      <c r="B464" s="483" t="s">
        <v>2443</v>
      </c>
      <c r="C464" s="480" t="n">
        <v>100191</v>
      </c>
      <c r="D464" s="483" t="s">
        <v>2444</v>
      </c>
      <c r="E464" s="483" t="s">
        <v>2445</v>
      </c>
    </row>
    <row r="465" customFormat="false" ht="15" hidden="false" customHeight="false" outlineLevel="0" collapsed="false">
      <c r="A465" s="483" t="s">
        <v>2446</v>
      </c>
      <c r="B465" s="483" t="s">
        <v>2447</v>
      </c>
      <c r="C465" s="480" t="n">
        <v>235955</v>
      </c>
      <c r="D465" s="483" t="s">
        <v>2448</v>
      </c>
      <c r="E465" s="483" t="s">
        <v>2449</v>
      </c>
    </row>
    <row r="466" customFormat="false" ht="15" hidden="false" customHeight="false" outlineLevel="0" collapsed="false">
      <c r="A466" s="483" t="s">
        <v>2450</v>
      </c>
      <c r="B466" s="483" t="s">
        <v>2451</v>
      </c>
      <c r="C466" s="480" t="n">
        <v>122064</v>
      </c>
      <c r="D466" s="483" t="s">
        <v>2452</v>
      </c>
      <c r="E466" s="483" t="s">
        <v>2453</v>
      </c>
    </row>
    <row r="467" customFormat="false" ht="15" hidden="false" customHeight="false" outlineLevel="0" collapsed="false">
      <c r="A467" s="483" t="s">
        <v>2454</v>
      </c>
      <c r="B467" s="483" t="s">
        <v>2455</v>
      </c>
      <c r="C467" s="480" t="n">
        <v>117174</v>
      </c>
      <c r="D467" s="483" t="s">
        <v>2456</v>
      </c>
      <c r="E467" s="483" t="s">
        <v>2457</v>
      </c>
    </row>
    <row r="468" customFormat="false" ht="15" hidden="false" customHeight="false" outlineLevel="0" collapsed="false">
      <c r="A468" s="483" t="s">
        <v>2458</v>
      </c>
      <c r="B468" s="483" t="s">
        <v>2459</v>
      </c>
      <c r="C468" s="480" t="n">
        <v>213327</v>
      </c>
      <c r="D468" s="483" t="s">
        <v>2460</v>
      </c>
      <c r="E468" s="483" t="s">
        <v>2461</v>
      </c>
    </row>
    <row r="469" customFormat="false" ht="15" hidden="false" customHeight="false" outlineLevel="0" collapsed="false">
      <c r="A469" s="483" t="s">
        <v>2462</v>
      </c>
      <c r="B469" s="483" t="s">
        <v>2463</v>
      </c>
      <c r="C469" s="480" t="n">
        <v>100010</v>
      </c>
      <c r="D469" s="483" t="s">
        <v>2464</v>
      </c>
      <c r="E469" s="483" t="s">
        <v>2465</v>
      </c>
    </row>
    <row r="470" customFormat="false" ht="15" hidden="false" customHeight="false" outlineLevel="0" collapsed="false">
      <c r="A470" s="483" t="s">
        <v>2466</v>
      </c>
      <c r="B470" s="483" t="s">
        <v>2467</v>
      </c>
      <c r="C470" s="480" t="n">
        <v>302830</v>
      </c>
      <c r="D470" s="483" t="s">
        <v>2468</v>
      </c>
      <c r="E470" s="483" t="s">
        <v>2469</v>
      </c>
    </row>
    <row r="471" customFormat="false" ht="15" hidden="false" customHeight="false" outlineLevel="0" collapsed="false">
      <c r="A471" s="483" t="s">
        <v>2470</v>
      </c>
      <c r="B471" s="483" t="s">
        <v>2471</v>
      </c>
      <c r="C471" s="480" t="n">
        <v>100187</v>
      </c>
      <c r="D471" s="483" t="s">
        <v>2472</v>
      </c>
      <c r="E471" s="483" t="s">
        <v>2473</v>
      </c>
    </row>
    <row r="472" customFormat="false" ht="15" hidden="false" customHeight="false" outlineLevel="0" collapsed="false">
      <c r="A472" s="483" t="s">
        <v>2474</v>
      </c>
      <c r="B472" s="483" t="s">
        <v>2475</v>
      </c>
      <c r="C472" s="480" t="n">
        <v>132662</v>
      </c>
      <c r="D472" s="483" t="s">
        <v>2476</v>
      </c>
      <c r="E472" s="483" t="s">
        <v>2477</v>
      </c>
    </row>
    <row r="473" customFormat="false" ht="15" hidden="false" customHeight="false" outlineLevel="0" collapsed="false">
      <c r="A473" s="483" t="s">
        <v>2478</v>
      </c>
      <c r="B473" s="483" t="s">
        <v>2479</v>
      </c>
      <c r="C473" s="480" t="n">
        <v>109820</v>
      </c>
      <c r="D473" s="483" t="s">
        <v>2480</v>
      </c>
      <c r="E473" s="483" t="s">
        <v>2481</v>
      </c>
    </row>
    <row r="474" customFormat="false" ht="15" hidden="false" customHeight="false" outlineLevel="0" collapsed="false">
      <c r="A474" s="483" t="s">
        <v>2482</v>
      </c>
      <c r="B474" s="483" t="s">
        <v>2483</v>
      </c>
      <c r="C474" s="480" t="n">
        <v>132174</v>
      </c>
      <c r="D474" s="483" t="s">
        <v>2484</v>
      </c>
      <c r="E474" s="483" t="s">
        <v>2485</v>
      </c>
    </row>
    <row r="475" customFormat="false" ht="15" hidden="false" customHeight="false" outlineLevel="0" collapsed="false">
      <c r="A475" s="483" t="s">
        <v>2486</v>
      </c>
      <c r="B475" s="483" t="s">
        <v>2487</v>
      </c>
      <c r="C475" s="480" t="n">
        <v>217379</v>
      </c>
      <c r="D475" s="483" t="s">
        <v>2488</v>
      </c>
      <c r="E475" s="483" t="s">
        <v>2489</v>
      </c>
    </row>
    <row r="476" customFormat="false" ht="15" hidden="false" customHeight="false" outlineLevel="0" collapsed="false">
      <c r="A476" s="483" t="s">
        <v>2490</v>
      </c>
      <c r="B476" s="483" t="s">
        <v>2491</v>
      </c>
      <c r="C476" s="480" t="n">
        <v>210258</v>
      </c>
      <c r="D476" s="483" t="s">
        <v>2492</v>
      </c>
      <c r="E476" s="483" t="s">
        <v>2493</v>
      </c>
    </row>
    <row r="477" customFormat="false" ht="15" hidden="false" customHeight="false" outlineLevel="0" collapsed="false">
      <c r="A477" s="483" t="s">
        <v>2494</v>
      </c>
      <c r="B477" s="483" t="s">
        <v>2495</v>
      </c>
      <c r="C477" s="480" t="n">
        <v>208365</v>
      </c>
      <c r="D477" s="483" t="s">
        <v>2496</v>
      </c>
      <c r="E477" s="483" t="s">
        <v>2497</v>
      </c>
    </row>
    <row r="478" customFormat="false" ht="15" hidden="false" customHeight="false" outlineLevel="0" collapsed="false">
      <c r="A478" s="483" t="s">
        <v>2498</v>
      </c>
      <c r="B478" s="483" t="s">
        <v>2499</v>
      </c>
      <c r="C478" s="480" t="n">
        <v>132835</v>
      </c>
      <c r="D478" s="483" t="s">
        <v>2500</v>
      </c>
      <c r="E478" s="483" t="s">
        <v>2501</v>
      </c>
    </row>
    <row r="479" customFormat="false" ht="15" hidden="false" customHeight="false" outlineLevel="0" collapsed="false">
      <c r="A479" s="483" t="s">
        <v>2502</v>
      </c>
      <c r="B479" s="483" t="s">
        <v>2503</v>
      </c>
      <c r="C479" s="480" t="n">
        <v>100116</v>
      </c>
      <c r="D479" s="483" t="s">
        <v>2504</v>
      </c>
      <c r="E479" s="483" t="s">
        <v>2505</v>
      </c>
    </row>
    <row r="480" customFormat="false" ht="15" hidden="false" customHeight="false" outlineLevel="0" collapsed="false">
      <c r="A480" s="483" t="s">
        <v>2506</v>
      </c>
      <c r="B480" s="483" t="s">
        <v>2507</v>
      </c>
      <c r="C480" s="480" t="n">
        <v>278580</v>
      </c>
      <c r="D480" s="483" t="s">
        <v>2508</v>
      </c>
      <c r="E480" s="483" t="s">
        <v>2509</v>
      </c>
    </row>
    <row r="481" customFormat="false" ht="15" hidden="false" customHeight="false" outlineLevel="0" collapsed="false">
      <c r="A481" s="483" t="s">
        <v>2510</v>
      </c>
      <c r="B481" s="483" t="s">
        <v>2511</v>
      </c>
      <c r="C481" s="480" t="n">
        <v>132659</v>
      </c>
      <c r="D481" s="483" t="s">
        <v>2512</v>
      </c>
      <c r="E481" s="483" t="s">
        <v>2513</v>
      </c>
    </row>
    <row r="482" customFormat="false" ht="15" hidden="false" customHeight="false" outlineLevel="0" collapsed="false">
      <c r="A482" s="483" t="s">
        <v>2514</v>
      </c>
      <c r="B482" s="483" t="s">
        <v>2515</v>
      </c>
      <c r="C482" s="480" t="n">
        <v>107438</v>
      </c>
      <c r="D482" s="483" t="s">
        <v>2516</v>
      </c>
      <c r="E482" s="483" t="s">
        <v>2517</v>
      </c>
    </row>
    <row r="483" customFormat="false" ht="15" hidden="false" customHeight="false" outlineLevel="0" collapsed="false">
      <c r="A483" s="483" t="s">
        <v>2518</v>
      </c>
      <c r="B483" s="483" t="s">
        <v>2519</v>
      </c>
      <c r="C483" s="480" t="n">
        <v>105726</v>
      </c>
      <c r="D483" s="483" t="s">
        <v>2520</v>
      </c>
      <c r="E483" s="483" t="s">
        <v>2521</v>
      </c>
    </row>
    <row r="484" customFormat="false" ht="15" hidden="false" customHeight="false" outlineLevel="0" collapsed="false">
      <c r="A484" s="483" t="s">
        <v>2522</v>
      </c>
      <c r="B484" s="483" t="s">
        <v>2523</v>
      </c>
      <c r="C484" s="480" t="n">
        <v>100106</v>
      </c>
      <c r="D484" s="483" t="s">
        <v>2524</v>
      </c>
      <c r="E484" s="483" t="s">
        <v>2525</v>
      </c>
    </row>
    <row r="485" customFormat="false" ht="15" hidden="false" customHeight="false" outlineLevel="0" collapsed="false">
      <c r="A485" s="483" t="s">
        <v>2526</v>
      </c>
      <c r="B485" s="483" t="s">
        <v>2527</v>
      </c>
      <c r="C485" s="480" t="n">
        <v>243998</v>
      </c>
      <c r="D485" s="483" t="s">
        <v>2528</v>
      </c>
      <c r="E485" s="483" t="s">
        <v>2529</v>
      </c>
    </row>
    <row r="486" customFormat="false" ht="15" hidden="false" customHeight="false" outlineLevel="0" collapsed="false">
      <c r="A486" s="483" t="s">
        <v>2530</v>
      </c>
      <c r="B486" s="483" t="s">
        <v>2531</v>
      </c>
      <c r="C486" s="480" t="n">
        <v>100199</v>
      </c>
      <c r="D486" s="483" t="s">
        <v>2532</v>
      </c>
      <c r="E486" s="483" t="s">
        <v>2533</v>
      </c>
    </row>
    <row r="487" customFormat="false" ht="15" hidden="false" customHeight="false" outlineLevel="0" collapsed="false">
      <c r="A487" s="483" t="s">
        <v>2534</v>
      </c>
      <c r="B487" s="483" t="s">
        <v>2535</v>
      </c>
      <c r="C487" s="480" t="n">
        <v>117380</v>
      </c>
      <c r="D487" s="483" t="s">
        <v>2536</v>
      </c>
      <c r="E487" s="483" t="s">
        <v>2537</v>
      </c>
    </row>
    <row r="488" customFormat="false" ht="15" hidden="false" customHeight="false" outlineLevel="0" collapsed="false">
      <c r="A488" s="483" t="s">
        <v>2538</v>
      </c>
      <c r="B488" s="483" t="s">
        <v>2539</v>
      </c>
      <c r="C488" s="480" t="n">
        <v>132636</v>
      </c>
      <c r="D488" s="483" t="s">
        <v>2540</v>
      </c>
      <c r="E488" s="483" t="s">
        <v>2541</v>
      </c>
    </row>
    <row r="489" customFormat="false" ht="15" hidden="false" customHeight="false" outlineLevel="0" collapsed="false">
      <c r="A489" s="483" t="s">
        <v>2542</v>
      </c>
      <c r="B489" s="483" t="s">
        <v>2543</v>
      </c>
      <c r="C489" s="480" t="n">
        <v>244005</v>
      </c>
      <c r="D489" s="483" t="s">
        <v>2544</v>
      </c>
      <c r="E489" s="483" t="s">
        <v>2545</v>
      </c>
    </row>
    <row r="490" customFormat="false" ht="15" hidden="false" customHeight="false" outlineLevel="0" collapsed="false">
      <c r="A490" s="483" t="s">
        <v>2546</v>
      </c>
      <c r="B490" s="483" t="s">
        <v>2547</v>
      </c>
      <c r="C490" s="480" t="n">
        <v>228974</v>
      </c>
      <c r="D490" s="483" t="s">
        <v>2548</v>
      </c>
      <c r="E490" s="483" t="s">
        <v>2549</v>
      </c>
    </row>
    <row r="491" customFormat="false" ht="15" hidden="false" customHeight="false" outlineLevel="0" collapsed="false">
      <c r="A491" s="483" t="s">
        <v>2550</v>
      </c>
      <c r="B491" s="483" t="s">
        <v>2551</v>
      </c>
      <c r="C491" s="480" t="n">
        <v>100201</v>
      </c>
      <c r="D491" s="483" t="s">
        <v>2552</v>
      </c>
      <c r="E491" s="483" t="s">
        <v>2553</v>
      </c>
    </row>
    <row r="492" customFormat="false" ht="15" hidden="false" customHeight="false" outlineLevel="0" collapsed="false">
      <c r="A492" s="483" t="s">
        <v>2554</v>
      </c>
      <c r="B492" s="483" t="s">
        <v>2555</v>
      </c>
      <c r="C492" s="480" t="n">
        <v>190065</v>
      </c>
      <c r="D492" s="483" t="s">
        <v>2556</v>
      </c>
      <c r="E492" s="483" t="s">
        <v>2557</v>
      </c>
    </row>
    <row r="493" customFormat="false" ht="15" hidden="false" customHeight="false" outlineLevel="0" collapsed="false">
      <c r="A493" s="483" t="s">
        <v>2558</v>
      </c>
      <c r="B493" s="483" t="s">
        <v>2559</v>
      </c>
      <c r="C493" s="480" t="n">
        <v>132240</v>
      </c>
      <c r="D493" s="483" t="s">
        <v>2560</v>
      </c>
      <c r="E493" s="483" t="s">
        <v>2561</v>
      </c>
    </row>
    <row r="494" customFormat="false" ht="15" hidden="false" customHeight="false" outlineLevel="0" collapsed="false">
      <c r="A494" s="483" t="s">
        <v>2562</v>
      </c>
      <c r="B494" s="483" t="s">
        <v>2563</v>
      </c>
      <c r="C494" s="480" t="n">
        <v>301327</v>
      </c>
      <c r="D494" s="483" t="s">
        <v>2564</v>
      </c>
      <c r="E494" s="483" t="s">
        <v>2565</v>
      </c>
    </row>
    <row r="495" customFormat="false" ht="15" hidden="false" customHeight="false" outlineLevel="0" collapsed="false">
      <c r="A495" s="483" t="s">
        <v>2566</v>
      </c>
      <c r="B495" s="483" t="s">
        <v>2567</v>
      </c>
      <c r="C495" s="480" t="n">
        <v>200503</v>
      </c>
      <c r="D495" s="483" t="s">
        <v>2568</v>
      </c>
      <c r="E495" s="483" t="s">
        <v>2569</v>
      </c>
    </row>
    <row r="496" customFormat="false" ht="15" hidden="false" customHeight="false" outlineLevel="0" collapsed="false">
      <c r="A496" s="483" t="s">
        <v>2570</v>
      </c>
      <c r="B496" s="483" t="s">
        <v>2571</v>
      </c>
      <c r="C496" s="480" t="n">
        <v>132189</v>
      </c>
      <c r="D496" s="483" t="s">
        <v>2572</v>
      </c>
      <c r="E496" s="483" t="s">
        <v>2573</v>
      </c>
    </row>
    <row r="497" customFormat="false" ht="15" hidden="false" customHeight="false" outlineLevel="0" collapsed="false">
      <c r="A497" s="483" t="s">
        <v>2574</v>
      </c>
      <c r="B497" s="483" t="s">
        <v>2575</v>
      </c>
      <c r="C497" s="480" t="n">
        <v>220741</v>
      </c>
      <c r="D497" s="483" t="s">
        <v>2576</v>
      </c>
      <c r="E497" s="483" t="s">
        <v>2577</v>
      </c>
    </row>
    <row r="498" customFormat="false" ht="15" hidden="false" customHeight="false" outlineLevel="0" collapsed="false">
      <c r="A498" s="483" t="s">
        <v>2578</v>
      </c>
      <c r="B498" s="483" t="s">
        <v>2579</v>
      </c>
      <c r="C498" s="480" t="n">
        <v>132832</v>
      </c>
      <c r="D498" s="483" t="s">
        <v>2580</v>
      </c>
      <c r="E498" s="483" t="s">
        <v>2581</v>
      </c>
    </row>
    <row r="499" customFormat="false" ht="15" hidden="false" customHeight="false" outlineLevel="0" collapsed="false">
      <c r="A499" s="483" t="s">
        <v>2582</v>
      </c>
      <c r="B499" s="483" t="s">
        <v>2583</v>
      </c>
      <c r="C499" s="480" t="n">
        <v>290269</v>
      </c>
      <c r="D499" s="483" t="s">
        <v>2584</v>
      </c>
      <c r="E499" s="483" t="s">
        <v>2585</v>
      </c>
    </row>
    <row r="500" customFormat="false" ht="15" hidden="false" customHeight="false" outlineLevel="0" collapsed="false">
      <c r="A500" s="483" t="s">
        <v>2586</v>
      </c>
      <c r="B500" s="483" t="s">
        <v>2587</v>
      </c>
      <c r="C500" s="480" t="n">
        <v>132814</v>
      </c>
      <c r="D500" s="483" t="s">
        <v>2588</v>
      </c>
      <c r="E500" s="483" t="s">
        <v>2589</v>
      </c>
    </row>
    <row r="501" customFormat="false" ht="15" hidden="false" customHeight="false" outlineLevel="0" collapsed="false">
      <c r="A501" s="483" t="s">
        <v>2590</v>
      </c>
      <c r="B501" s="483" t="s">
        <v>2591</v>
      </c>
      <c r="C501" s="480" t="n">
        <v>224623</v>
      </c>
      <c r="D501" s="483" t="s">
        <v>2592</v>
      </c>
      <c r="E501" s="483" t="s">
        <v>2593</v>
      </c>
    </row>
    <row r="502" customFormat="false" ht="15" hidden="false" customHeight="false" outlineLevel="0" collapsed="false">
      <c r="A502" s="483" t="s">
        <v>2594</v>
      </c>
      <c r="B502" s="483" t="s">
        <v>2595</v>
      </c>
      <c r="C502" s="480" t="n">
        <v>104741</v>
      </c>
      <c r="D502" s="483" t="s">
        <v>2596</v>
      </c>
      <c r="E502" s="483" t="s">
        <v>2597</v>
      </c>
    </row>
    <row r="503" customFormat="false" ht="15" hidden="false" customHeight="false" outlineLevel="0" collapsed="false">
      <c r="A503" s="483" t="s">
        <v>2598</v>
      </c>
      <c r="B503" s="483"/>
      <c r="C503" s="480" t="n">
        <v>109051</v>
      </c>
      <c r="D503" s="483" t="s">
        <v>2599</v>
      </c>
      <c r="E503" s="483" t="s">
        <v>2600</v>
      </c>
    </row>
    <row r="504" customFormat="false" ht="15" hidden="false" customHeight="false" outlineLevel="0" collapsed="false">
      <c r="A504" s="483" t="s">
        <v>2601</v>
      </c>
      <c r="B504" s="483" t="s">
        <v>2602</v>
      </c>
      <c r="C504" s="480" t="n">
        <v>217582</v>
      </c>
      <c r="D504" s="483" t="s">
        <v>2603</v>
      </c>
      <c r="E504" s="483" t="s">
        <v>2604</v>
      </c>
    </row>
    <row r="505" customFormat="false" ht="15" hidden="false" customHeight="false" outlineLevel="0" collapsed="false">
      <c r="A505" s="483" t="s">
        <v>2605</v>
      </c>
      <c r="B505" s="483" t="s">
        <v>2606</v>
      </c>
      <c r="C505" s="480" t="n">
        <v>130965</v>
      </c>
      <c r="D505" s="483" t="s">
        <v>2607</v>
      </c>
      <c r="E505" s="483" t="s">
        <v>2608</v>
      </c>
    </row>
    <row r="506" customFormat="false" ht="15" hidden="false" customHeight="false" outlineLevel="0" collapsed="false">
      <c r="A506" s="483" t="s">
        <v>2609</v>
      </c>
      <c r="B506" s="483" t="s">
        <v>2610</v>
      </c>
      <c r="C506" s="480" t="n">
        <v>132388</v>
      </c>
      <c r="D506" s="483" t="s">
        <v>2611</v>
      </c>
      <c r="E506" s="483" t="s">
        <v>2612</v>
      </c>
    </row>
    <row r="507" customFormat="false" ht="15" hidden="false" customHeight="false" outlineLevel="0" collapsed="false">
      <c r="A507" s="483" t="s">
        <v>2613</v>
      </c>
      <c r="B507" s="483" t="s">
        <v>2614</v>
      </c>
      <c r="C507" s="480" t="n">
        <v>208412</v>
      </c>
      <c r="D507" s="483" t="s">
        <v>2615</v>
      </c>
      <c r="E507" s="483" t="s">
        <v>2616</v>
      </c>
    </row>
    <row r="508" customFormat="false" ht="15" hidden="false" customHeight="false" outlineLevel="0" collapsed="false">
      <c r="A508" s="483" t="s">
        <v>2617</v>
      </c>
      <c r="B508" s="483" t="s">
        <v>2618</v>
      </c>
      <c r="C508" s="480" t="n">
        <v>217280</v>
      </c>
      <c r="D508" s="483" t="s">
        <v>2619</v>
      </c>
      <c r="E508" s="483" t="s">
        <v>2620</v>
      </c>
    </row>
    <row r="509" customFormat="false" ht="15" hidden="false" customHeight="false" outlineLevel="0" collapsed="false">
      <c r="A509" s="483" t="s">
        <v>2621</v>
      </c>
      <c r="B509" s="483" t="s">
        <v>2622</v>
      </c>
      <c r="C509" s="480" t="n">
        <v>296050</v>
      </c>
      <c r="D509" s="483" t="s">
        <v>2623</v>
      </c>
      <c r="E509" s="483" t="s">
        <v>2624</v>
      </c>
    </row>
    <row r="510" customFormat="false" ht="15" hidden="false" customHeight="false" outlineLevel="0" collapsed="false">
      <c r="A510" s="483" t="s">
        <v>2625</v>
      </c>
      <c r="B510" s="483"/>
      <c r="C510" s="480" t="n">
        <v>124648</v>
      </c>
      <c r="D510" s="483" t="s">
        <v>2626</v>
      </c>
      <c r="E510" s="483" t="s">
        <v>2627</v>
      </c>
    </row>
    <row r="511" customFormat="false" ht="15" hidden="false" customHeight="false" outlineLevel="0" collapsed="false">
      <c r="A511" s="483" t="s">
        <v>2628</v>
      </c>
      <c r="B511" s="483" t="s">
        <v>2629</v>
      </c>
      <c r="C511" s="480" t="n">
        <v>121016</v>
      </c>
      <c r="D511" s="483" t="s">
        <v>2630</v>
      </c>
      <c r="E511" s="483" t="s">
        <v>2631</v>
      </c>
    </row>
    <row r="512" customFormat="false" ht="15" hidden="false" customHeight="false" outlineLevel="0" collapsed="false">
      <c r="A512" s="483" t="s">
        <v>2632</v>
      </c>
      <c r="B512" s="483" t="s">
        <v>2633</v>
      </c>
      <c r="C512" s="480" t="n">
        <v>100207</v>
      </c>
      <c r="D512" s="483" t="s">
        <v>2634</v>
      </c>
      <c r="E512" s="483" t="s">
        <v>2635</v>
      </c>
    </row>
    <row r="513" customFormat="false" ht="15" hidden="false" customHeight="false" outlineLevel="0" collapsed="false">
      <c r="A513" s="483" t="s">
        <v>2636</v>
      </c>
      <c r="B513" s="483" t="s">
        <v>2637</v>
      </c>
      <c r="C513" s="480" t="n">
        <v>132612</v>
      </c>
      <c r="D513" s="483" t="s">
        <v>2638</v>
      </c>
      <c r="E513" s="483" t="s">
        <v>2639</v>
      </c>
    </row>
    <row r="514" customFormat="false" ht="15" hidden="false" customHeight="false" outlineLevel="0" collapsed="false">
      <c r="A514" s="483" t="s">
        <v>2640</v>
      </c>
      <c r="B514" s="483" t="s">
        <v>2641</v>
      </c>
      <c r="C514" s="480" t="n">
        <v>233932</v>
      </c>
      <c r="D514" s="483" t="s">
        <v>2642</v>
      </c>
      <c r="E514" s="483" t="s">
        <v>2643</v>
      </c>
    </row>
    <row r="515" customFormat="false" ht="15" hidden="false" customHeight="false" outlineLevel="0" collapsed="false">
      <c r="A515" s="483" t="s">
        <v>2644</v>
      </c>
      <c r="B515" s="483" t="s">
        <v>2645</v>
      </c>
      <c r="C515" s="480" t="n">
        <v>132514</v>
      </c>
      <c r="D515" s="483" t="s">
        <v>2646</v>
      </c>
      <c r="E515" s="483" t="s">
        <v>2647</v>
      </c>
    </row>
    <row r="516" customFormat="false" ht="15" hidden="false" customHeight="false" outlineLevel="0" collapsed="false">
      <c r="A516" s="483" t="s">
        <v>2648</v>
      </c>
      <c r="B516" s="483" t="s">
        <v>2649</v>
      </c>
      <c r="C516" s="480" t="n">
        <v>132150</v>
      </c>
      <c r="D516" s="483" t="s">
        <v>2650</v>
      </c>
      <c r="E516" s="483" t="s">
        <v>2651</v>
      </c>
    </row>
    <row r="517" customFormat="false" ht="15" hidden="false" customHeight="false" outlineLevel="0" collapsed="false">
      <c r="A517" s="483" t="s">
        <v>2652</v>
      </c>
      <c r="B517" s="483" t="s">
        <v>2653</v>
      </c>
      <c r="C517" s="480" t="n">
        <v>209967</v>
      </c>
      <c r="D517" s="483" t="s">
        <v>2654</v>
      </c>
      <c r="E517" s="483" t="s">
        <v>2655</v>
      </c>
    </row>
    <row r="518" customFormat="false" ht="15" hidden="false" customHeight="false" outlineLevel="0" collapsed="false">
      <c r="A518" s="483" t="s">
        <v>2656</v>
      </c>
      <c r="B518" s="483" t="s">
        <v>2657</v>
      </c>
      <c r="C518" s="480" t="n">
        <v>132187</v>
      </c>
      <c r="D518" s="483" t="s">
        <v>2658</v>
      </c>
      <c r="E518" s="483" t="s">
        <v>2659</v>
      </c>
    </row>
    <row r="519" customFormat="false" ht="15" hidden="false" customHeight="false" outlineLevel="0" collapsed="false">
      <c r="A519" s="483" t="s">
        <v>2660</v>
      </c>
      <c r="B519" s="483" t="s">
        <v>2661</v>
      </c>
      <c r="C519" s="480" t="n">
        <v>106222</v>
      </c>
      <c r="D519" s="483" t="s">
        <v>2662</v>
      </c>
      <c r="E519" s="483" t="s">
        <v>2663</v>
      </c>
    </row>
    <row r="520" customFormat="false" ht="15" hidden="false" customHeight="false" outlineLevel="0" collapsed="false">
      <c r="A520" s="483" t="s">
        <v>2664</v>
      </c>
      <c r="B520" s="483" t="s">
        <v>2665</v>
      </c>
      <c r="C520" s="480" t="n">
        <v>275070</v>
      </c>
      <c r="D520" s="483" t="s">
        <v>2666</v>
      </c>
      <c r="E520" s="483" t="s">
        <v>2667</v>
      </c>
    </row>
    <row r="521" customFormat="false" ht="15" hidden="false" customHeight="false" outlineLevel="0" collapsed="false">
      <c r="A521" s="483" t="s">
        <v>2668</v>
      </c>
      <c r="B521" s="483" t="s">
        <v>2669</v>
      </c>
      <c r="C521" s="480" t="n">
        <v>132777</v>
      </c>
      <c r="D521" s="483" t="s">
        <v>2670</v>
      </c>
      <c r="E521" s="483" t="s">
        <v>2671</v>
      </c>
    </row>
    <row r="522" customFormat="false" ht="15" hidden="false" customHeight="false" outlineLevel="0" collapsed="false">
      <c r="A522" s="483" t="s">
        <v>2672</v>
      </c>
      <c r="B522" s="483" t="s">
        <v>2673</v>
      </c>
      <c r="C522" s="480" t="n">
        <v>275220</v>
      </c>
      <c r="D522" s="483" t="s">
        <v>2674</v>
      </c>
      <c r="E522" s="483" t="s">
        <v>2675</v>
      </c>
    </row>
    <row r="523" customFormat="false" ht="15" hidden="false" customHeight="false" outlineLevel="0" collapsed="false">
      <c r="A523" s="483" t="s">
        <v>2676</v>
      </c>
      <c r="B523" s="483" t="s">
        <v>2677</v>
      </c>
      <c r="C523" s="480" t="n">
        <v>100209</v>
      </c>
      <c r="D523" s="483" t="s">
        <v>2678</v>
      </c>
      <c r="E523" s="483" t="s">
        <v>2679</v>
      </c>
    </row>
    <row r="524" customFormat="false" ht="15" hidden="false" customHeight="false" outlineLevel="0" collapsed="false">
      <c r="A524" s="483" t="s">
        <v>2680</v>
      </c>
      <c r="B524" s="483" t="s">
        <v>2681</v>
      </c>
      <c r="C524" s="480" t="n">
        <v>100210</v>
      </c>
      <c r="D524" s="483" t="s">
        <v>2682</v>
      </c>
      <c r="E524" s="483" t="s">
        <v>2683</v>
      </c>
    </row>
    <row r="525" customFormat="false" ht="15" hidden="false" customHeight="false" outlineLevel="0" collapsed="false">
      <c r="A525" s="483" t="s">
        <v>2684</v>
      </c>
      <c r="B525" s="483" t="s">
        <v>2685</v>
      </c>
      <c r="C525" s="480" t="n">
        <v>132706</v>
      </c>
      <c r="D525" s="483" t="s">
        <v>2686</v>
      </c>
      <c r="E525" s="483" t="s">
        <v>2687</v>
      </c>
    </row>
    <row r="526" customFormat="false" ht="15" hidden="false" customHeight="false" outlineLevel="0" collapsed="false">
      <c r="A526" s="483" t="s">
        <v>2688</v>
      </c>
      <c r="B526" s="483" t="s">
        <v>2689</v>
      </c>
      <c r="C526" s="480" t="n">
        <v>301915</v>
      </c>
      <c r="D526" s="483" t="s">
        <v>2690</v>
      </c>
      <c r="E526" s="483" t="s">
        <v>2691</v>
      </c>
    </row>
    <row r="527" customFormat="false" ht="15" hidden="false" customHeight="false" outlineLevel="0" collapsed="false">
      <c r="A527" s="483" t="s">
        <v>2692</v>
      </c>
      <c r="B527" s="483" t="s">
        <v>2693</v>
      </c>
      <c r="C527" s="480" t="n">
        <v>221809</v>
      </c>
      <c r="D527" s="483" t="s">
        <v>2694</v>
      </c>
      <c r="E527" s="483" t="s">
        <v>2695</v>
      </c>
    </row>
    <row r="528" customFormat="false" ht="15" hidden="false" customHeight="false" outlineLevel="0" collapsed="false">
      <c r="A528" s="483" t="s">
        <v>2696</v>
      </c>
      <c r="B528" s="483" t="s">
        <v>2697</v>
      </c>
      <c r="C528" s="480" t="n">
        <v>132851</v>
      </c>
      <c r="D528" s="483" t="s">
        <v>2698</v>
      </c>
      <c r="E528" s="483" t="s">
        <v>2699</v>
      </c>
    </row>
    <row r="529" customFormat="false" ht="15" hidden="false" customHeight="false" outlineLevel="0" collapsed="false">
      <c r="A529" s="483" t="s">
        <v>2700</v>
      </c>
      <c r="B529" s="483" t="s">
        <v>2701</v>
      </c>
      <c r="C529" s="480" t="n">
        <v>271581</v>
      </c>
      <c r="D529" s="483" t="s">
        <v>2702</v>
      </c>
      <c r="E529" s="483" t="s">
        <v>2703</v>
      </c>
    </row>
    <row r="530" customFormat="false" ht="15" hidden="false" customHeight="false" outlineLevel="0" collapsed="false">
      <c r="A530" s="483" t="s">
        <v>2704</v>
      </c>
      <c r="B530" s="483" t="s">
        <v>2705</v>
      </c>
      <c r="C530" s="480" t="n">
        <v>222055</v>
      </c>
      <c r="D530" s="483" t="s">
        <v>2706</v>
      </c>
      <c r="E530" s="483" t="s">
        <v>2707</v>
      </c>
    </row>
    <row r="531" customFormat="false" ht="15" hidden="false" customHeight="false" outlineLevel="0" collapsed="false">
      <c r="A531" s="483" t="s">
        <v>2708</v>
      </c>
      <c r="B531" s="483" t="s">
        <v>2709</v>
      </c>
      <c r="C531" s="480" t="n">
        <v>124164</v>
      </c>
      <c r="D531" s="483" t="s">
        <v>2710</v>
      </c>
      <c r="E531" s="483" t="s">
        <v>2711</v>
      </c>
    </row>
    <row r="532" customFormat="false" ht="15" hidden="false" customHeight="false" outlineLevel="0" collapsed="false">
      <c r="A532" s="483" t="s">
        <v>2712</v>
      </c>
      <c r="B532" s="483" t="s">
        <v>2713</v>
      </c>
      <c r="C532" s="480" t="n">
        <v>100214</v>
      </c>
      <c r="D532" s="483" t="s">
        <v>2714</v>
      </c>
      <c r="E532" s="483" t="s">
        <v>2715</v>
      </c>
    </row>
    <row r="533" customFormat="false" ht="15" hidden="false" customHeight="false" outlineLevel="0" collapsed="false">
      <c r="A533" s="483" t="s">
        <v>2716</v>
      </c>
      <c r="B533" s="483" t="s">
        <v>2717</v>
      </c>
      <c r="C533" s="480" t="n">
        <v>124494</v>
      </c>
      <c r="D533" s="483" t="s">
        <v>2718</v>
      </c>
      <c r="E533" s="483" t="s">
        <v>2719</v>
      </c>
    </row>
    <row r="534" customFormat="false" ht="15" hidden="false" customHeight="false" outlineLevel="0" collapsed="false">
      <c r="A534" s="483" t="s">
        <v>2720</v>
      </c>
      <c r="B534" s="483" t="s">
        <v>2721</v>
      </c>
      <c r="C534" s="480" t="n">
        <v>200048</v>
      </c>
      <c r="D534" s="483" t="s">
        <v>2722</v>
      </c>
      <c r="E534" s="483" t="s">
        <v>2723</v>
      </c>
    </row>
    <row r="535" customFormat="false" ht="15" hidden="false" customHeight="false" outlineLevel="0" collapsed="false">
      <c r="A535" s="483" t="s">
        <v>2724</v>
      </c>
      <c r="B535" s="483" t="s">
        <v>2725</v>
      </c>
      <c r="C535" s="480" t="n">
        <v>123596</v>
      </c>
      <c r="D535" s="483" t="s">
        <v>2726</v>
      </c>
      <c r="E535" s="483" t="s">
        <v>2727</v>
      </c>
    </row>
    <row r="536" customFormat="false" ht="15" hidden="false" customHeight="false" outlineLevel="0" collapsed="false">
      <c r="A536" s="483" t="s">
        <v>2728</v>
      </c>
      <c r="B536" s="483" t="s">
        <v>2729</v>
      </c>
      <c r="C536" s="480" t="n">
        <v>200025</v>
      </c>
      <c r="D536" s="483" t="s">
        <v>2730</v>
      </c>
      <c r="E536" s="483" t="s">
        <v>2731</v>
      </c>
    </row>
    <row r="537" customFormat="false" ht="15" hidden="false" customHeight="false" outlineLevel="0" collapsed="false">
      <c r="A537" s="483" t="s">
        <v>2732</v>
      </c>
      <c r="B537" s="483" t="s">
        <v>2733</v>
      </c>
      <c r="C537" s="480" t="n">
        <v>132479</v>
      </c>
      <c r="D537" s="483" t="s">
        <v>2734</v>
      </c>
      <c r="E537" s="483" t="s">
        <v>2735</v>
      </c>
    </row>
    <row r="538" customFormat="false" ht="15" hidden="false" customHeight="false" outlineLevel="0" collapsed="false">
      <c r="A538" s="483" t="s">
        <v>2736</v>
      </c>
      <c r="B538" s="483"/>
      <c r="C538" s="480" t="n">
        <v>108807</v>
      </c>
      <c r="D538" s="483" t="s">
        <v>2737</v>
      </c>
      <c r="E538" s="483" t="s">
        <v>2738</v>
      </c>
    </row>
    <row r="539" customFormat="false" ht="15" hidden="false" customHeight="false" outlineLevel="0" collapsed="false">
      <c r="A539" s="483" t="s">
        <v>2739</v>
      </c>
      <c r="B539" s="483" t="s">
        <v>2740</v>
      </c>
      <c r="C539" s="480" t="n">
        <v>100875</v>
      </c>
      <c r="D539" s="483" t="s">
        <v>2741</v>
      </c>
      <c r="E539" s="483" t="s">
        <v>2742</v>
      </c>
    </row>
    <row r="540" customFormat="false" ht="15" hidden="false" customHeight="false" outlineLevel="0" collapsed="false">
      <c r="A540" s="483" t="s">
        <v>2743</v>
      </c>
      <c r="B540" s="483" t="s">
        <v>2744</v>
      </c>
      <c r="C540" s="480" t="n">
        <v>109496</v>
      </c>
      <c r="D540" s="483" t="s">
        <v>2745</v>
      </c>
      <c r="E540" s="483" t="s">
        <v>2746</v>
      </c>
    </row>
    <row r="541" customFormat="false" ht="15" hidden="false" customHeight="false" outlineLevel="0" collapsed="false">
      <c r="A541" s="483" t="s">
        <v>2747</v>
      </c>
      <c r="B541" s="483" t="s">
        <v>2748</v>
      </c>
      <c r="C541" s="480" t="n">
        <v>123610</v>
      </c>
      <c r="D541" s="483" t="s">
        <v>2749</v>
      </c>
      <c r="E541" s="483" t="s">
        <v>2750</v>
      </c>
    </row>
    <row r="542" customFormat="false" ht="15" hidden="false" customHeight="false" outlineLevel="0" collapsed="false">
      <c r="A542" s="483" t="s">
        <v>2751</v>
      </c>
      <c r="B542" s="483" t="s">
        <v>2752</v>
      </c>
      <c r="C542" s="480" t="n">
        <v>200043</v>
      </c>
      <c r="D542" s="483" t="s">
        <v>2753</v>
      </c>
      <c r="E542" s="483" t="s">
        <v>2754</v>
      </c>
    </row>
    <row r="543" customFormat="false" ht="15" hidden="false" customHeight="false" outlineLevel="0" collapsed="false">
      <c r="A543" s="483" t="s">
        <v>2755</v>
      </c>
      <c r="B543" s="483" t="s">
        <v>2756</v>
      </c>
      <c r="C543" s="480" t="n">
        <v>132705</v>
      </c>
      <c r="D543" s="483" t="s">
        <v>2757</v>
      </c>
      <c r="E543" s="483" t="s">
        <v>2758</v>
      </c>
    </row>
    <row r="544" customFormat="false" ht="15" hidden="false" customHeight="false" outlineLevel="0" collapsed="false">
      <c r="A544" s="483" t="s">
        <v>2759</v>
      </c>
      <c r="B544" s="483" t="s">
        <v>2760</v>
      </c>
      <c r="C544" s="480" t="n">
        <v>190064</v>
      </c>
      <c r="D544" s="483" t="s">
        <v>2761</v>
      </c>
      <c r="E544" s="483" t="s">
        <v>2762</v>
      </c>
    </row>
    <row r="545" customFormat="false" ht="15" hidden="false" customHeight="false" outlineLevel="0" collapsed="false">
      <c r="A545" s="483" t="s">
        <v>2763</v>
      </c>
      <c r="B545" s="483" t="s">
        <v>2764</v>
      </c>
      <c r="C545" s="480" t="n">
        <v>112237</v>
      </c>
      <c r="D545" s="483" t="s">
        <v>2765</v>
      </c>
      <c r="E545" s="483" t="s">
        <v>2766</v>
      </c>
    </row>
    <row r="546" customFormat="false" ht="15" hidden="false" customHeight="false" outlineLevel="0" collapsed="false">
      <c r="A546" s="483" t="s">
        <v>2767</v>
      </c>
      <c r="B546" s="483" t="s">
        <v>2768</v>
      </c>
      <c r="C546" s="480" t="n">
        <v>100219</v>
      </c>
      <c r="D546" s="483" t="s">
        <v>2769</v>
      </c>
      <c r="E546" s="483" t="s">
        <v>2770</v>
      </c>
    </row>
    <row r="547" customFormat="false" ht="15" hidden="false" customHeight="false" outlineLevel="0" collapsed="false">
      <c r="A547" s="483" t="s">
        <v>2771</v>
      </c>
      <c r="B547" s="483" t="s">
        <v>2772</v>
      </c>
      <c r="C547" s="480" t="n">
        <v>132532</v>
      </c>
      <c r="D547" s="483" t="s">
        <v>2773</v>
      </c>
      <c r="E547" s="483" t="s">
        <v>2774</v>
      </c>
    </row>
    <row r="548" customFormat="false" ht="15" hidden="false" customHeight="false" outlineLevel="0" collapsed="false">
      <c r="A548" s="483" t="s">
        <v>2775</v>
      </c>
      <c r="B548" s="483" t="s">
        <v>2776</v>
      </c>
      <c r="C548" s="480" t="n">
        <v>132627</v>
      </c>
      <c r="D548" s="483" t="s">
        <v>2777</v>
      </c>
      <c r="E548" s="483" t="s">
        <v>2778</v>
      </c>
    </row>
    <row r="549" customFormat="false" ht="15" hidden="false" customHeight="false" outlineLevel="0" collapsed="false">
      <c r="A549" s="483" t="s">
        <v>2779</v>
      </c>
      <c r="B549" s="483" t="s">
        <v>2780</v>
      </c>
      <c r="C549" s="480" t="n">
        <v>120051</v>
      </c>
      <c r="D549" s="483" t="s">
        <v>2781</v>
      </c>
      <c r="E549" s="483" t="s">
        <v>2782</v>
      </c>
    </row>
    <row r="550" customFormat="false" ht="15" hidden="false" customHeight="false" outlineLevel="0" collapsed="false">
      <c r="A550" s="483" t="s">
        <v>2783</v>
      </c>
      <c r="B550" s="483" t="s">
        <v>2784</v>
      </c>
      <c r="C550" s="480" t="n">
        <v>229403</v>
      </c>
      <c r="D550" s="483" t="s">
        <v>2785</v>
      </c>
      <c r="E550" s="483" t="s">
        <v>2786</v>
      </c>
    </row>
    <row r="551" customFormat="false" ht="15" hidden="false" customHeight="false" outlineLevel="0" collapsed="false">
      <c r="A551" s="483" t="s">
        <v>2787</v>
      </c>
      <c r="B551" s="483" t="s">
        <v>2788</v>
      </c>
      <c r="C551" s="480" t="n">
        <v>120066</v>
      </c>
      <c r="D551" s="483" t="s">
        <v>2789</v>
      </c>
      <c r="E551" s="483" t="s">
        <v>2790</v>
      </c>
    </row>
    <row r="552" customFormat="false" ht="15" hidden="false" customHeight="false" outlineLevel="0" collapsed="false">
      <c r="A552" s="483" t="s">
        <v>2791</v>
      </c>
      <c r="B552" s="483" t="s">
        <v>2792</v>
      </c>
      <c r="C552" s="480" t="n">
        <v>124330</v>
      </c>
      <c r="D552" s="483" t="s">
        <v>2793</v>
      </c>
      <c r="E552" s="483" t="s">
        <v>2794</v>
      </c>
    </row>
    <row r="553" customFormat="false" ht="15" hidden="false" customHeight="false" outlineLevel="0" collapsed="false">
      <c r="A553" s="483" t="s">
        <v>2795</v>
      </c>
      <c r="B553" s="483" t="s">
        <v>2796</v>
      </c>
      <c r="C553" s="480" t="n">
        <v>122285</v>
      </c>
      <c r="D553" s="483" t="s">
        <v>2797</v>
      </c>
      <c r="E553" s="483" t="s">
        <v>2798</v>
      </c>
    </row>
    <row r="554" customFormat="false" ht="15" hidden="false" customHeight="false" outlineLevel="0" collapsed="false">
      <c r="A554" s="483" t="s">
        <v>2799</v>
      </c>
      <c r="B554" s="483" t="s">
        <v>2800</v>
      </c>
      <c r="C554" s="480" t="n">
        <v>106943</v>
      </c>
      <c r="D554" s="483" t="s">
        <v>2801</v>
      </c>
      <c r="E554" s="483" t="s">
        <v>2802</v>
      </c>
    </row>
    <row r="555" customFormat="false" ht="15" hidden="false" customHeight="false" outlineLevel="0" collapsed="false">
      <c r="A555" s="483" t="s">
        <v>2803</v>
      </c>
      <c r="B555" s="483" t="s">
        <v>2804</v>
      </c>
      <c r="C555" s="480" t="n">
        <v>132605</v>
      </c>
      <c r="D555" s="483" t="s">
        <v>2805</v>
      </c>
      <c r="E555" s="483" t="s">
        <v>2806</v>
      </c>
    </row>
    <row r="556" customFormat="false" ht="15" hidden="false" customHeight="false" outlineLevel="0" collapsed="false">
      <c r="A556" s="483" t="s">
        <v>2807</v>
      </c>
      <c r="B556" s="483" t="s">
        <v>2808</v>
      </c>
      <c r="C556" s="480" t="n">
        <v>100223</v>
      </c>
      <c r="D556" s="483" t="s">
        <v>2809</v>
      </c>
      <c r="E556" s="483" t="s">
        <v>2810</v>
      </c>
    </row>
    <row r="557" customFormat="false" ht="15" hidden="false" customHeight="false" outlineLevel="0" collapsed="false">
      <c r="A557" s="483" t="s">
        <v>2811</v>
      </c>
      <c r="B557" s="483" t="s">
        <v>2812</v>
      </c>
      <c r="C557" s="480" t="n">
        <v>132617</v>
      </c>
      <c r="D557" s="483" t="s">
        <v>2813</v>
      </c>
      <c r="E557" s="483" t="s">
        <v>2814</v>
      </c>
    </row>
    <row r="558" customFormat="false" ht="15" hidden="false" customHeight="false" outlineLevel="0" collapsed="false">
      <c r="A558" s="483" t="s">
        <v>2815</v>
      </c>
      <c r="B558" s="483" t="s">
        <v>2816</v>
      </c>
      <c r="C558" s="480" t="n">
        <v>100227</v>
      </c>
      <c r="D558" s="483" t="s">
        <v>2817</v>
      </c>
      <c r="E558" s="483" t="s">
        <v>2818</v>
      </c>
    </row>
    <row r="559" customFormat="false" ht="15" hidden="false" customHeight="false" outlineLevel="0" collapsed="false">
      <c r="A559" s="483" t="s">
        <v>2819</v>
      </c>
      <c r="B559" s="483" t="s">
        <v>2820</v>
      </c>
      <c r="C559" s="480" t="n">
        <v>100378</v>
      </c>
      <c r="D559" s="483" t="s">
        <v>2821</v>
      </c>
      <c r="E559" s="483" t="s">
        <v>2822</v>
      </c>
    </row>
    <row r="560" customFormat="false" ht="15" hidden="false" customHeight="false" outlineLevel="0" collapsed="false">
      <c r="A560" s="483" t="s">
        <v>2823</v>
      </c>
      <c r="B560" s="483" t="s">
        <v>2824</v>
      </c>
      <c r="C560" s="480" t="n">
        <v>279682</v>
      </c>
      <c r="D560" s="483" t="s">
        <v>2825</v>
      </c>
      <c r="E560" s="483" t="s">
        <v>2826</v>
      </c>
    </row>
    <row r="561" customFormat="false" ht="15" hidden="false" customHeight="false" outlineLevel="0" collapsed="false">
      <c r="A561" s="483" t="s">
        <v>2827</v>
      </c>
      <c r="B561" s="483" t="s">
        <v>2828</v>
      </c>
      <c r="C561" s="480" t="n">
        <v>132508</v>
      </c>
      <c r="D561" s="483" t="s">
        <v>2829</v>
      </c>
      <c r="E561" s="483" t="s">
        <v>2830</v>
      </c>
    </row>
    <row r="562" customFormat="false" ht="15" hidden="false" customHeight="false" outlineLevel="0" collapsed="false">
      <c r="A562" s="483" t="s">
        <v>2831</v>
      </c>
      <c r="B562" s="483" t="s">
        <v>2832</v>
      </c>
      <c r="C562" s="480" t="n">
        <v>132286</v>
      </c>
      <c r="D562" s="483" t="s">
        <v>2833</v>
      </c>
      <c r="E562" s="483" t="s">
        <v>2834</v>
      </c>
    </row>
    <row r="563" customFormat="false" ht="15" hidden="false" customHeight="false" outlineLevel="0" collapsed="false">
      <c r="A563" s="483" t="s">
        <v>2835</v>
      </c>
      <c r="B563" s="483" t="s">
        <v>2836</v>
      </c>
      <c r="C563" s="480" t="n">
        <v>131543</v>
      </c>
      <c r="D563" s="483" t="s">
        <v>2837</v>
      </c>
      <c r="E563" s="483" t="s">
        <v>2838</v>
      </c>
    </row>
    <row r="564" customFormat="false" ht="15" hidden="false" customHeight="false" outlineLevel="0" collapsed="false">
      <c r="A564" s="483" t="s">
        <v>2839</v>
      </c>
      <c r="B564" s="483" t="s">
        <v>2840</v>
      </c>
      <c r="C564" s="480" t="n">
        <v>132644</v>
      </c>
      <c r="D564" s="483" t="s">
        <v>2841</v>
      </c>
      <c r="E564" s="483" t="s">
        <v>2842</v>
      </c>
    </row>
    <row r="565" customFormat="false" ht="15" hidden="false" customHeight="false" outlineLevel="0" collapsed="false">
      <c r="A565" s="483" t="s">
        <v>2843</v>
      </c>
      <c r="B565" s="483" t="s">
        <v>2844</v>
      </c>
      <c r="C565" s="480" t="n">
        <v>100380</v>
      </c>
      <c r="D565" s="483" t="s">
        <v>2845</v>
      </c>
      <c r="E565" s="483" t="s">
        <v>2846</v>
      </c>
    </row>
    <row r="566" customFormat="false" ht="15" hidden="false" customHeight="false" outlineLevel="0" collapsed="false">
      <c r="A566" s="483" t="s">
        <v>2847</v>
      </c>
      <c r="B566" s="483" t="s">
        <v>2848</v>
      </c>
      <c r="C566" s="480" t="n">
        <v>132162</v>
      </c>
      <c r="D566" s="483" t="s">
        <v>2849</v>
      </c>
      <c r="E566" s="483" t="s">
        <v>2850</v>
      </c>
    </row>
    <row r="567" customFormat="false" ht="15" hidden="false" customHeight="false" outlineLevel="0" collapsed="false">
      <c r="A567" s="483" t="s">
        <v>2851</v>
      </c>
      <c r="B567" s="483" t="s">
        <v>2852</v>
      </c>
      <c r="C567" s="480" t="n">
        <v>130007</v>
      </c>
      <c r="D567" s="483" t="s">
        <v>2853</v>
      </c>
      <c r="E567" s="483" t="s">
        <v>2854</v>
      </c>
    </row>
    <row r="568" customFormat="false" ht="15" hidden="false" customHeight="false" outlineLevel="0" collapsed="false">
      <c r="A568" s="483" t="s">
        <v>2855</v>
      </c>
      <c r="B568" s="483" t="s">
        <v>2856</v>
      </c>
      <c r="C568" s="480" t="n">
        <v>123405</v>
      </c>
      <c r="D568" s="483" t="s">
        <v>2857</v>
      </c>
      <c r="E568" s="483" t="s">
        <v>2858</v>
      </c>
    </row>
    <row r="569" customFormat="false" ht="15" hidden="false" customHeight="false" outlineLevel="0" collapsed="false">
      <c r="A569" s="483" t="s">
        <v>2859</v>
      </c>
      <c r="B569" s="483" t="s">
        <v>2860</v>
      </c>
      <c r="C569" s="480" t="n">
        <v>122263</v>
      </c>
      <c r="D569" s="483" t="s">
        <v>2861</v>
      </c>
      <c r="E569" s="483" t="s">
        <v>2862</v>
      </c>
    </row>
    <row r="570" customFormat="false" ht="15" hidden="false" customHeight="false" outlineLevel="0" collapsed="false">
      <c r="A570" s="483" t="s">
        <v>2863</v>
      </c>
      <c r="B570" s="483" t="s">
        <v>2864</v>
      </c>
      <c r="C570" s="480" t="n">
        <v>100147</v>
      </c>
      <c r="D570" s="483" t="s">
        <v>2865</v>
      </c>
      <c r="E570" s="483" t="s">
        <v>2866</v>
      </c>
    </row>
    <row r="571" customFormat="false" ht="15" hidden="false" customHeight="false" outlineLevel="0" collapsed="false">
      <c r="A571" s="483" t="s">
        <v>2867</v>
      </c>
      <c r="B571" s="483" t="s">
        <v>2868</v>
      </c>
      <c r="C571" s="480" t="n">
        <v>123398</v>
      </c>
      <c r="D571" s="483" t="s">
        <v>2869</v>
      </c>
      <c r="E571" s="483" t="s">
        <v>2870</v>
      </c>
    </row>
    <row r="572" customFormat="false" ht="15" hidden="false" customHeight="false" outlineLevel="0" collapsed="false">
      <c r="A572" s="483" t="s">
        <v>2871</v>
      </c>
      <c r="B572" s="483" t="s">
        <v>2872</v>
      </c>
      <c r="C572" s="480" t="n">
        <v>208461</v>
      </c>
      <c r="D572" s="483" t="s">
        <v>2873</v>
      </c>
      <c r="E572" s="483" t="s">
        <v>2874</v>
      </c>
    </row>
    <row r="573" customFormat="false" ht="15" hidden="false" customHeight="false" outlineLevel="0" collapsed="false">
      <c r="A573" s="483" t="s">
        <v>2875</v>
      </c>
      <c r="B573" s="483" t="s">
        <v>2876</v>
      </c>
      <c r="C573" s="480" t="n">
        <v>132642</v>
      </c>
      <c r="D573" s="483" t="s">
        <v>2877</v>
      </c>
      <c r="E573" s="483" t="s">
        <v>2878</v>
      </c>
    </row>
    <row r="574" customFormat="false" ht="15" hidden="false" customHeight="false" outlineLevel="0" collapsed="false">
      <c r="A574" s="483" t="s">
        <v>2879</v>
      </c>
      <c r="B574" s="483" t="s">
        <v>2880</v>
      </c>
      <c r="C574" s="480" t="n">
        <v>113446</v>
      </c>
      <c r="D574" s="483" t="s">
        <v>2881</v>
      </c>
      <c r="E574" s="483" t="s">
        <v>2882</v>
      </c>
    </row>
    <row r="575" customFormat="false" ht="15" hidden="false" customHeight="false" outlineLevel="0" collapsed="false">
      <c r="A575" s="483" t="s">
        <v>2883</v>
      </c>
      <c r="B575" s="483" t="s">
        <v>2884</v>
      </c>
      <c r="C575" s="480" t="n">
        <v>100228</v>
      </c>
      <c r="D575" s="483" t="s">
        <v>2885</v>
      </c>
      <c r="E575" s="483" t="s">
        <v>2886</v>
      </c>
    </row>
    <row r="576" customFormat="false" ht="15" hidden="false" customHeight="false" outlineLevel="0" collapsed="false">
      <c r="A576" s="483" t="s">
        <v>2887</v>
      </c>
      <c r="B576" s="483" t="s">
        <v>2888</v>
      </c>
      <c r="C576" s="480" t="n">
        <v>120057</v>
      </c>
      <c r="D576" s="483" t="s">
        <v>2889</v>
      </c>
      <c r="E576" s="483" t="s">
        <v>2890</v>
      </c>
    </row>
    <row r="577" customFormat="false" ht="15" hidden="false" customHeight="false" outlineLevel="0" collapsed="false">
      <c r="A577" s="483" t="s">
        <v>2891</v>
      </c>
      <c r="B577" s="483" t="s">
        <v>2892</v>
      </c>
      <c r="C577" s="480" t="n">
        <v>237594</v>
      </c>
      <c r="D577" s="483" t="s">
        <v>2893</v>
      </c>
      <c r="E577" s="483" t="s">
        <v>2894</v>
      </c>
    </row>
    <row r="578" customFormat="false" ht="15" hidden="false" customHeight="false" outlineLevel="0" collapsed="false">
      <c r="A578" s="483" t="s">
        <v>2895</v>
      </c>
      <c r="B578" s="483" t="s">
        <v>2896</v>
      </c>
      <c r="C578" s="480" t="n">
        <v>215367</v>
      </c>
      <c r="D578" s="483" t="s">
        <v>2897</v>
      </c>
      <c r="E578" s="483" t="s">
        <v>2898</v>
      </c>
    </row>
    <row r="579" customFormat="false" ht="15" hidden="false" customHeight="false" outlineLevel="0" collapsed="false">
      <c r="A579" s="483" t="s">
        <v>2899</v>
      </c>
      <c r="B579" s="483" t="s">
        <v>2900</v>
      </c>
      <c r="C579" s="480" t="n">
        <v>222821</v>
      </c>
      <c r="D579" s="483" t="s">
        <v>2901</v>
      </c>
      <c r="E579" s="483" t="s">
        <v>2902</v>
      </c>
    </row>
    <row r="580" customFormat="false" ht="15" hidden="false" customHeight="false" outlineLevel="0" collapsed="false">
      <c r="A580" s="483" t="s">
        <v>2903</v>
      </c>
      <c r="B580" s="483" t="s">
        <v>2904</v>
      </c>
      <c r="C580" s="480" t="n">
        <v>301578</v>
      </c>
      <c r="D580" s="483" t="s">
        <v>2905</v>
      </c>
      <c r="E580" s="483" t="s">
        <v>2906</v>
      </c>
    </row>
    <row r="581" customFormat="false" ht="15" hidden="false" customHeight="false" outlineLevel="0" collapsed="false">
      <c r="A581" s="483" t="s">
        <v>2907</v>
      </c>
      <c r="B581" s="483" t="s">
        <v>2908</v>
      </c>
      <c r="C581" s="480" t="n">
        <v>130019</v>
      </c>
      <c r="D581" s="483" t="s">
        <v>2909</v>
      </c>
      <c r="E581" s="483" t="s">
        <v>2910</v>
      </c>
    </row>
    <row r="582" customFormat="false" ht="15" hidden="false" customHeight="false" outlineLevel="0" collapsed="false">
      <c r="A582" s="483" t="s">
        <v>2911</v>
      </c>
      <c r="B582" s="483" t="s">
        <v>2912</v>
      </c>
      <c r="C582" s="480" t="n">
        <v>211531</v>
      </c>
      <c r="D582" s="483" t="s">
        <v>2913</v>
      </c>
      <c r="E582" s="483" t="s">
        <v>2914</v>
      </c>
    </row>
    <row r="583" customFormat="false" ht="15" hidden="false" customHeight="false" outlineLevel="0" collapsed="false">
      <c r="A583" s="483" t="s">
        <v>2915</v>
      </c>
      <c r="B583" s="483" t="s">
        <v>2916</v>
      </c>
      <c r="C583" s="480" t="n">
        <v>200007</v>
      </c>
      <c r="D583" s="483" t="s">
        <v>2917</v>
      </c>
      <c r="E583" s="483" t="s">
        <v>2918</v>
      </c>
    </row>
    <row r="584" customFormat="false" ht="15" hidden="false" customHeight="false" outlineLevel="0" collapsed="false">
      <c r="A584" s="483" t="s">
        <v>2919</v>
      </c>
      <c r="B584" s="483" t="s">
        <v>2920</v>
      </c>
      <c r="C584" s="480" t="n">
        <v>113250</v>
      </c>
      <c r="D584" s="483" t="s">
        <v>2921</v>
      </c>
      <c r="E584" s="483" t="s">
        <v>2922</v>
      </c>
    </row>
    <row r="585" customFormat="false" ht="15" hidden="false" customHeight="false" outlineLevel="0" collapsed="false">
      <c r="A585" s="483" t="s">
        <v>2923</v>
      </c>
      <c r="B585" s="483" t="s">
        <v>2924</v>
      </c>
      <c r="C585" s="480" t="n">
        <v>132889</v>
      </c>
      <c r="D585" s="483" t="s">
        <v>2925</v>
      </c>
      <c r="E585" s="483" t="s">
        <v>2926</v>
      </c>
    </row>
    <row r="586" customFormat="false" ht="15" hidden="false" customHeight="false" outlineLevel="0" collapsed="false">
      <c r="A586" s="483" t="s">
        <v>2927</v>
      </c>
      <c r="B586" s="483" t="s">
        <v>2928</v>
      </c>
      <c r="C586" s="480" t="n">
        <v>124109</v>
      </c>
      <c r="D586" s="483" t="s">
        <v>2929</v>
      </c>
      <c r="E586" s="483" t="s">
        <v>2930</v>
      </c>
    </row>
    <row r="587" customFormat="false" ht="15" hidden="false" customHeight="false" outlineLevel="0" collapsed="false">
      <c r="A587" s="483" t="s">
        <v>2931</v>
      </c>
      <c r="B587" s="483" t="s">
        <v>2932</v>
      </c>
      <c r="C587" s="480" t="n">
        <v>100233</v>
      </c>
      <c r="D587" s="483" t="s">
        <v>2933</v>
      </c>
      <c r="E587" s="483" t="s">
        <v>2934</v>
      </c>
    </row>
    <row r="588" customFormat="false" ht="15" hidden="false" customHeight="false" outlineLevel="0" collapsed="false">
      <c r="A588" s="483" t="s">
        <v>2935</v>
      </c>
      <c r="B588" s="483" t="s">
        <v>2936</v>
      </c>
      <c r="C588" s="480" t="n">
        <v>122287</v>
      </c>
      <c r="D588" s="483" t="s">
        <v>2937</v>
      </c>
      <c r="E588" s="483" t="s">
        <v>2938</v>
      </c>
    </row>
    <row r="589" customFormat="false" ht="15" hidden="false" customHeight="false" outlineLevel="0" collapsed="false">
      <c r="A589" s="483" t="s">
        <v>2939</v>
      </c>
      <c r="B589" s="483" t="s">
        <v>2940</v>
      </c>
      <c r="C589" s="480" t="n">
        <v>226720</v>
      </c>
      <c r="D589" s="483" t="s">
        <v>2941</v>
      </c>
      <c r="E589" s="483" t="s">
        <v>2942</v>
      </c>
    </row>
    <row r="590" customFormat="false" ht="15" hidden="false" customHeight="false" outlineLevel="0" collapsed="false">
      <c r="A590" s="483" t="s">
        <v>2943</v>
      </c>
      <c r="B590" s="483" t="s">
        <v>2944</v>
      </c>
      <c r="C590" s="480" t="n">
        <v>220965</v>
      </c>
      <c r="D590" s="483" t="s">
        <v>2945</v>
      </c>
      <c r="E590" s="483" t="s">
        <v>2946</v>
      </c>
    </row>
    <row r="591" customFormat="false" ht="15" hidden="false" customHeight="false" outlineLevel="0" collapsed="false">
      <c r="A591" s="483" t="s">
        <v>2947</v>
      </c>
      <c r="B591" s="483" t="s">
        <v>2948</v>
      </c>
      <c r="C591" s="480" t="n">
        <v>100235</v>
      </c>
      <c r="D591" s="483" t="s">
        <v>2949</v>
      </c>
      <c r="E591" s="483" t="s">
        <v>2950</v>
      </c>
    </row>
    <row r="592" customFormat="false" ht="15" hidden="false" customHeight="false" outlineLevel="0" collapsed="false">
      <c r="A592" s="483" t="s">
        <v>2951</v>
      </c>
      <c r="B592" s="483"/>
      <c r="C592" s="480" t="n">
        <v>132468</v>
      </c>
      <c r="D592" s="483" t="s">
        <v>2952</v>
      </c>
      <c r="E592" s="483" t="s">
        <v>2953</v>
      </c>
    </row>
    <row r="593" customFormat="false" ht="15" hidden="false" customHeight="false" outlineLevel="0" collapsed="false">
      <c r="A593" s="483" t="s">
        <v>2954</v>
      </c>
      <c r="B593" s="483" t="s">
        <v>2955</v>
      </c>
      <c r="C593" s="480" t="n">
        <v>132741</v>
      </c>
      <c r="D593" s="483" t="s">
        <v>2956</v>
      </c>
      <c r="E593" s="483" t="s">
        <v>2957</v>
      </c>
    </row>
    <row r="594" customFormat="false" ht="15" hidden="false" customHeight="false" outlineLevel="0" collapsed="false">
      <c r="A594" s="483" t="s">
        <v>2958</v>
      </c>
      <c r="B594" s="483" t="s">
        <v>2959</v>
      </c>
      <c r="C594" s="480" t="n">
        <v>106525</v>
      </c>
      <c r="D594" s="483" t="s">
        <v>2960</v>
      </c>
      <c r="E594" s="483" t="s">
        <v>2961</v>
      </c>
    </row>
    <row r="595" customFormat="false" ht="15" hidden="false" customHeight="false" outlineLevel="0" collapsed="false">
      <c r="A595" s="483" t="s">
        <v>2962</v>
      </c>
      <c r="B595" s="483" t="s">
        <v>2963</v>
      </c>
      <c r="C595" s="480" t="n">
        <v>100165</v>
      </c>
      <c r="D595" s="483" t="s">
        <v>2964</v>
      </c>
      <c r="E595" s="483" t="s">
        <v>2965</v>
      </c>
    </row>
    <row r="596" customFormat="false" ht="15" hidden="false" customHeight="false" outlineLevel="0" collapsed="false">
      <c r="A596" s="483" t="s">
        <v>2966</v>
      </c>
      <c r="B596" s="483" t="s">
        <v>2967</v>
      </c>
      <c r="C596" s="480" t="n">
        <v>190003</v>
      </c>
      <c r="D596" s="483" t="s">
        <v>2968</v>
      </c>
      <c r="E596" s="483" t="s">
        <v>2969</v>
      </c>
    </row>
    <row r="597" customFormat="false" ht="15" hidden="false" customHeight="false" outlineLevel="0" collapsed="false">
      <c r="A597" s="483" t="s">
        <v>2970</v>
      </c>
      <c r="B597" s="483" t="s">
        <v>2971</v>
      </c>
      <c r="C597" s="480" t="n">
        <v>132899</v>
      </c>
      <c r="D597" s="483" t="s">
        <v>2972</v>
      </c>
      <c r="E597" s="483" t="s">
        <v>2973</v>
      </c>
    </row>
    <row r="598" customFormat="false" ht="15" hidden="false" customHeight="false" outlineLevel="0" collapsed="false">
      <c r="A598" s="483" t="s">
        <v>2974</v>
      </c>
      <c r="B598" s="483" t="s">
        <v>2975</v>
      </c>
      <c r="C598" s="480" t="n">
        <v>224770</v>
      </c>
      <c r="D598" s="483" t="s">
        <v>2976</v>
      </c>
      <c r="E598" s="483" t="s">
        <v>2977</v>
      </c>
    </row>
    <row r="599" customFormat="false" ht="15" hidden="false" customHeight="false" outlineLevel="0" collapsed="false">
      <c r="A599" s="483" t="s">
        <v>2978</v>
      </c>
      <c r="B599" s="483" t="s">
        <v>2979</v>
      </c>
      <c r="C599" s="480" t="n">
        <v>273610</v>
      </c>
      <c r="D599" s="483" t="s">
        <v>2980</v>
      </c>
      <c r="E599" s="483" t="s">
        <v>2981</v>
      </c>
    </row>
    <row r="600" customFormat="false" ht="15" hidden="false" customHeight="false" outlineLevel="0" collapsed="false">
      <c r="A600" s="483" t="s">
        <v>2982</v>
      </c>
      <c r="B600" s="483" t="s">
        <v>2983</v>
      </c>
      <c r="C600" s="480" t="n">
        <v>190066</v>
      </c>
      <c r="D600" s="483" t="s">
        <v>2984</v>
      </c>
      <c r="E600" s="483" t="s">
        <v>2985</v>
      </c>
    </row>
    <row r="601" customFormat="false" ht="15" hidden="false" customHeight="false" outlineLevel="0" collapsed="false">
      <c r="A601" s="483" t="s">
        <v>2986</v>
      </c>
      <c r="B601" s="483" t="s">
        <v>2987</v>
      </c>
      <c r="C601" s="480" t="n">
        <v>132054</v>
      </c>
      <c r="D601" s="483" t="s">
        <v>2988</v>
      </c>
      <c r="E601" s="483" t="s">
        <v>2989</v>
      </c>
    </row>
    <row r="602" customFormat="false" ht="15" hidden="false" customHeight="false" outlineLevel="0" collapsed="false">
      <c r="A602" s="483" t="s">
        <v>2990</v>
      </c>
      <c r="B602" s="483" t="s">
        <v>2991</v>
      </c>
      <c r="C602" s="480" t="n">
        <v>132714</v>
      </c>
      <c r="D602" s="483" t="s">
        <v>2992</v>
      </c>
      <c r="E602" s="483" t="s">
        <v>2993</v>
      </c>
    </row>
    <row r="603" customFormat="false" ht="15" hidden="false" customHeight="false" outlineLevel="0" collapsed="false">
      <c r="A603" s="483" t="s">
        <v>2994</v>
      </c>
      <c r="B603" s="483" t="s">
        <v>2995</v>
      </c>
      <c r="C603" s="480" t="n">
        <v>117569</v>
      </c>
      <c r="D603" s="483" t="s">
        <v>2996</v>
      </c>
      <c r="E603" s="483" t="s">
        <v>2997</v>
      </c>
    </row>
    <row r="604" customFormat="false" ht="15" hidden="false" customHeight="false" outlineLevel="0" collapsed="false">
      <c r="A604" s="483" t="s">
        <v>2998</v>
      </c>
      <c r="B604" s="483" t="s">
        <v>2999</v>
      </c>
      <c r="C604" s="480" t="n">
        <v>119602</v>
      </c>
      <c r="D604" s="483" t="s">
        <v>3000</v>
      </c>
      <c r="E604" s="483" t="s">
        <v>3001</v>
      </c>
    </row>
    <row r="605" customFormat="false" ht="15" hidden="false" customHeight="false" outlineLevel="0" collapsed="false">
      <c r="A605" s="483" t="s">
        <v>3002</v>
      </c>
      <c r="B605" s="483" t="s">
        <v>3003</v>
      </c>
      <c r="C605" s="480" t="n">
        <v>105890</v>
      </c>
      <c r="D605" s="483" t="s">
        <v>3004</v>
      </c>
      <c r="E605" s="483" t="s">
        <v>3005</v>
      </c>
    </row>
    <row r="606" customFormat="false" ht="15" hidden="false" customHeight="false" outlineLevel="0" collapsed="false">
      <c r="A606" s="483" t="s">
        <v>3006</v>
      </c>
      <c r="B606" s="483" t="s">
        <v>3007</v>
      </c>
      <c r="C606" s="480" t="n">
        <v>102937</v>
      </c>
      <c r="D606" s="483" t="s">
        <v>3008</v>
      </c>
      <c r="E606" s="483" t="s">
        <v>3009</v>
      </c>
    </row>
    <row r="607" customFormat="false" ht="15" hidden="false" customHeight="false" outlineLevel="0" collapsed="false">
      <c r="A607" s="483" t="s">
        <v>3010</v>
      </c>
      <c r="B607" s="483" t="s">
        <v>3011</v>
      </c>
      <c r="C607" s="480" t="n">
        <v>132732</v>
      </c>
      <c r="D607" s="483" t="s">
        <v>3012</v>
      </c>
      <c r="E607" s="483" t="s">
        <v>3013</v>
      </c>
    </row>
    <row r="608" customFormat="false" ht="15" hidden="false" customHeight="false" outlineLevel="0" collapsed="false">
      <c r="A608" s="483" t="s">
        <v>3014</v>
      </c>
      <c r="B608" s="483" t="s">
        <v>3015</v>
      </c>
      <c r="C608" s="480" t="n">
        <v>107794</v>
      </c>
      <c r="D608" s="483" t="s">
        <v>3016</v>
      </c>
      <c r="E608" s="483" t="s">
        <v>3017</v>
      </c>
    </row>
    <row r="609" customFormat="false" ht="15" hidden="false" customHeight="false" outlineLevel="0" collapsed="false">
      <c r="A609" s="483" t="s">
        <v>3018</v>
      </c>
      <c r="B609" s="483" t="s">
        <v>3019</v>
      </c>
      <c r="C609" s="480" t="n">
        <v>124019</v>
      </c>
      <c r="D609" s="483" t="s">
        <v>3020</v>
      </c>
      <c r="E609" s="483" t="s">
        <v>3021</v>
      </c>
    </row>
    <row r="610" customFormat="false" ht="15" hidden="false" customHeight="false" outlineLevel="0" collapsed="false">
      <c r="A610" s="483" t="s">
        <v>3022</v>
      </c>
      <c r="B610" s="483" t="s">
        <v>3023</v>
      </c>
      <c r="C610" s="480" t="n">
        <v>220053</v>
      </c>
      <c r="D610" s="483" t="s">
        <v>3024</v>
      </c>
      <c r="E610" s="483" t="s">
        <v>3025</v>
      </c>
    </row>
    <row r="611" customFormat="false" ht="15" hidden="false" customHeight="false" outlineLevel="0" collapsed="false">
      <c r="A611" s="483" t="s">
        <v>3026</v>
      </c>
      <c r="B611" s="483" t="s">
        <v>3027</v>
      </c>
      <c r="C611" s="480" t="n">
        <v>200079</v>
      </c>
      <c r="D611" s="483" t="s">
        <v>3028</v>
      </c>
      <c r="E611" s="483" t="s">
        <v>3029</v>
      </c>
    </row>
    <row r="612" customFormat="false" ht="15" hidden="false" customHeight="false" outlineLevel="0" collapsed="false">
      <c r="A612" s="483" t="s">
        <v>3030</v>
      </c>
      <c r="B612" s="483" t="s">
        <v>3031</v>
      </c>
      <c r="C612" s="480" t="n">
        <v>100241</v>
      </c>
      <c r="D612" s="483" t="s">
        <v>3032</v>
      </c>
      <c r="E612" s="483" t="s">
        <v>3033</v>
      </c>
    </row>
    <row r="613" customFormat="false" ht="15" hidden="false" customHeight="false" outlineLevel="0" collapsed="false">
      <c r="A613" s="483" t="s">
        <v>3034</v>
      </c>
      <c r="B613" s="483" t="s">
        <v>3035</v>
      </c>
      <c r="C613" s="480" t="n">
        <v>100245</v>
      </c>
      <c r="D613" s="483" t="s">
        <v>3036</v>
      </c>
      <c r="E613" s="483" t="s">
        <v>3037</v>
      </c>
    </row>
    <row r="614" customFormat="false" ht="15" hidden="false" customHeight="false" outlineLevel="0" collapsed="false">
      <c r="A614" s="483" t="s">
        <v>3038</v>
      </c>
      <c r="B614" s="483" t="s">
        <v>3039</v>
      </c>
      <c r="C614" s="480" t="n">
        <v>100243</v>
      </c>
      <c r="D614" s="483" t="s">
        <v>3040</v>
      </c>
      <c r="E614" s="483" t="s">
        <v>3041</v>
      </c>
    </row>
    <row r="615" customFormat="false" ht="15" hidden="false" customHeight="false" outlineLevel="0" collapsed="false">
      <c r="A615" s="483" t="s">
        <v>3042</v>
      </c>
      <c r="B615" s="483" t="s">
        <v>3043</v>
      </c>
      <c r="C615" s="480" t="n">
        <v>222961</v>
      </c>
      <c r="D615" s="483" t="s">
        <v>3044</v>
      </c>
      <c r="E615" s="483" t="s">
        <v>3045</v>
      </c>
    </row>
    <row r="616" customFormat="false" ht="15" hidden="false" customHeight="false" outlineLevel="0" collapsed="false">
      <c r="A616" s="483" t="s">
        <v>3046</v>
      </c>
      <c r="B616" s="483" t="s">
        <v>3047</v>
      </c>
      <c r="C616" s="480" t="n">
        <v>105283</v>
      </c>
      <c r="D616" s="483" t="s">
        <v>3048</v>
      </c>
      <c r="E616" s="483" t="s">
        <v>3049</v>
      </c>
    </row>
    <row r="617" customFormat="false" ht="15" hidden="false" customHeight="false" outlineLevel="0" collapsed="false">
      <c r="A617" s="483" t="s">
        <v>3050</v>
      </c>
      <c r="B617" s="483" t="s">
        <v>3051</v>
      </c>
      <c r="C617" s="480" t="n">
        <v>121248</v>
      </c>
      <c r="D617" s="483" t="s">
        <v>3052</v>
      </c>
      <c r="E617" s="483" t="s">
        <v>3053</v>
      </c>
    </row>
    <row r="618" customFormat="false" ht="15" hidden="false" customHeight="false" outlineLevel="0" collapsed="false">
      <c r="A618" s="483" t="s">
        <v>3054</v>
      </c>
      <c r="B618" s="483"/>
      <c r="C618" s="480" t="n">
        <v>124520</v>
      </c>
      <c r="D618" s="483" t="s">
        <v>3055</v>
      </c>
      <c r="E618" s="483" t="s">
        <v>3056</v>
      </c>
    </row>
    <row r="619" customFormat="false" ht="15" hidden="false" customHeight="false" outlineLevel="0" collapsed="false">
      <c r="A619" s="483" t="s">
        <v>3057</v>
      </c>
      <c r="B619" s="483" t="s">
        <v>3058</v>
      </c>
      <c r="C619" s="480" t="n">
        <v>200046</v>
      </c>
      <c r="D619" s="483" t="s">
        <v>3059</v>
      </c>
      <c r="E619" s="483" t="s">
        <v>3060</v>
      </c>
    </row>
    <row r="620" customFormat="false" ht="15" hidden="false" customHeight="false" outlineLevel="0" collapsed="false">
      <c r="A620" s="483" t="s">
        <v>3061</v>
      </c>
      <c r="B620" s="483" t="s">
        <v>3062</v>
      </c>
      <c r="C620" s="480" t="n">
        <v>123207</v>
      </c>
      <c r="D620" s="483" t="s">
        <v>3063</v>
      </c>
      <c r="E620" s="483" t="s">
        <v>3064</v>
      </c>
    </row>
    <row r="621" customFormat="false" ht="15" hidden="false" customHeight="false" outlineLevel="0" collapsed="false">
      <c r="A621" s="483" t="s">
        <v>3065</v>
      </c>
      <c r="B621" s="483" t="s">
        <v>3066</v>
      </c>
      <c r="C621" s="480" t="n">
        <v>200009</v>
      </c>
      <c r="D621" s="483" t="s">
        <v>3067</v>
      </c>
      <c r="E621" s="483" t="s">
        <v>3068</v>
      </c>
    </row>
    <row r="622" customFormat="false" ht="15" hidden="false" customHeight="false" outlineLevel="0" collapsed="false">
      <c r="A622" s="483" t="s">
        <v>3069</v>
      </c>
      <c r="B622" s="483" t="s">
        <v>3070</v>
      </c>
      <c r="C622" s="480" t="n">
        <v>124280</v>
      </c>
      <c r="D622" s="483" t="s">
        <v>3071</v>
      </c>
      <c r="E622" s="483" t="s">
        <v>3072</v>
      </c>
    </row>
    <row r="623" customFormat="false" ht="15" hidden="false" customHeight="false" outlineLevel="0" collapsed="false">
      <c r="A623" s="483" t="s">
        <v>3073</v>
      </c>
      <c r="B623" s="483" t="s">
        <v>3074</v>
      </c>
      <c r="C623" s="480" t="n">
        <v>100247</v>
      </c>
      <c r="D623" s="483" t="s">
        <v>3075</v>
      </c>
      <c r="E623" s="483" t="s">
        <v>3076</v>
      </c>
    </row>
    <row r="624" customFormat="false" ht="15" hidden="false" customHeight="false" outlineLevel="0" collapsed="false">
      <c r="A624" s="483" t="s">
        <v>3077</v>
      </c>
      <c r="B624" s="483" t="s">
        <v>3078</v>
      </c>
      <c r="C624" s="480" t="n">
        <v>123323</v>
      </c>
      <c r="D624" s="483" t="s">
        <v>3079</v>
      </c>
      <c r="E624" s="483" t="s">
        <v>3080</v>
      </c>
    </row>
    <row r="625" customFormat="false" ht="15" hidden="false" customHeight="false" outlineLevel="0" collapsed="false">
      <c r="A625" s="483" t="s">
        <v>3081</v>
      </c>
      <c r="B625" s="483" t="s">
        <v>3082</v>
      </c>
      <c r="C625" s="480" t="n">
        <v>293000</v>
      </c>
      <c r="D625" s="483" t="s">
        <v>3083</v>
      </c>
      <c r="E625" s="483" t="s">
        <v>3084</v>
      </c>
    </row>
    <row r="626" customFormat="false" ht="15" hidden="false" customHeight="false" outlineLevel="0" collapsed="false">
      <c r="A626" s="483" t="s">
        <v>3085</v>
      </c>
      <c r="B626" s="483" t="s">
        <v>3086</v>
      </c>
      <c r="C626" s="480" t="n">
        <v>294320</v>
      </c>
      <c r="D626" s="483" t="s">
        <v>3087</v>
      </c>
      <c r="E626" s="483" t="s">
        <v>3088</v>
      </c>
    </row>
    <row r="627" customFormat="false" ht="15" hidden="false" customHeight="false" outlineLevel="0" collapsed="false">
      <c r="A627" s="483" t="s">
        <v>3089</v>
      </c>
      <c r="B627" s="483" t="s">
        <v>3090</v>
      </c>
      <c r="C627" s="480" t="n">
        <v>130813</v>
      </c>
      <c r="D627" s="483" t="s">
        <v>3091</v>
      </c>
      <c r="E627" s="483" t="s">
        <v>3092</v>
      </c>
    </row>
    <row r="628" customFormat="false" ht="15" hidden="false" customHeight="false" outlineLevel="0" collapsed="false">
      <c r="A628" s="483" t="s">
        <v>3093</v>
      </c>
      <c r="B628" s="483" t="s">
        <v>3094</v>
      </c>
      <c r="C628" s="480" t="n">
        <v>284634</v>
      </c>
      <c r="D628" s="483" t="s">
        <v>3095</v>
      </c>
      <c r="E628" s="483" t="s">
        <v>3096</v>
      </c>
    </row>
    <row r="629" customFormat="false" ht="15" hidden="false" customHeight="false" outlineLevel="0" collapsed="false">
      <c r="A629" s="483" t="s">
        <v>3097</v>
      </c>
      <c r="B629" s="483" t="s">
        <v>3098</v>
      </c>
      <c r="C629" s="480" t="n">
        <v>221645</v>
      </c>
      <c r="D629" s="483" t="s">
        <v>3099</v>
      </c>
      <c r="E629" s="483" t="s">
        <v>3100</v>
      </c>
    </row>
    <row r="630" customFormat="false" ht="15" hidden="false" customHeight="false" outlineLevel="0" collapsed="false">
      <c r="A630" s="483" t="s">
        <v>3101</v>
      </c>
      <c r="B630" s="483" t="s">
        <v>3102</v>
      </c>
      <c r="C630" s="480" t="n">
        <v>126423</v>
      </c>
      <c r="D630" s="483" t="s">
        <v>3103</v>
      </c>
      <c r="E630" s="483" t="s">
        <v>3104</v>
      </c>
    </row>
    <row r="631" customFormat="false" ht="15" hidden="false" customHeight="false" outlineLevel="0" collapsed="false">
      <c r="A631" s="483" t="s">
        <v>3105</v>
      </c>
      <c r="B631" s="483" t="s">
        <v>3106</v>
      </c>
      <c r="C631" s="480" t="n">
        <v>302244</v>
      </c>
      <c r="D631" s="483" t="s">
        <v>3107</v>
      </c>
      <c r="E631" s="483" t="s">
        <v>3108</v>
      </c>
    </row>
    <row r="632" customFormat="false" ht="15" hidden="false" customHeight="false" outlineLevel="0" collapsed="false">
      <c r="A632" s="483" t="s">
        <v>3109</v>
      </c>
      <c r="B632" s="483" t="s">
        <v>3110</v>
      </c>
      <c r="C632" s="480" t="n">
        <v>100249</v>
      </c>
      <c r="D632" s="483" t="s">
        <v>3111</v>
      </c>
      <c r="E632" s="483" t="s">
        <v>3112</v>
      </c>
    </row>
    <row r="633" customFormat="false" ht="15" hidden="false" customHeight="false" outlineLevel="0" collapsed="false">
      <c r="A633" s="483" t="s">
        <v>3113</v>
      </c>
      <c r="B633" s="483" t="s">
        <v>3114</v>
      </c>
      <c r="C633" s="480" t="n">
        <v>119421</v>
      </c>
      <c r="D633" s="483" t="s">
        <v>3115</v>
      </c>
      <c r="E633" s="483" t="s">
        <v>3116</v>
      </c>
    </row>
    <row r="634" customFormat="false" ht="15" hidden="false" customHeight="false" outlineLevel="0" collapsed="false">
      <c r="A634" s="483" t="s">
        <v>3117</v>
      </c>
      <c r="B634" s="483" t="s">
        <v>3118</v>
      </c>
      <c r="C634" s="480" t="n">
        <v>200572</v>
      </c>
      <c r="D634" s="483" t="s">
        <v>3119</v>
      </c>
      <c r="E634" s="483" t="s">
        <v>3120</v>
      </c>
    </row>
    <row r="635" customFormat="false" ht="15" hidden="false" customHeight="false" outlineLevel="0" collapsed="false">
      <c r="A635" s="483" t="s">
        <v>3121</v>
      </c>
      <c r="B635" s="483"/>
      <c r="C635" s="480" t="n">
        <v>281566</v>
      </c>
      <c r="D635" s="483" t="s">
        <v>3122</v>
      </c>
      <c r="E635" s="483" t="s">
        <v>3123</v>
      </c>
    </row>
    <row r="636" customFormat="false" ht="15" hidden="false" customHeight="false" outlineLevel="0" collapsed="false">
      <c r="A636" s="483" t="s">
        <v>3124</v>
      </c>
      <c r="B636" s="483" t="s">
        <v>3125</v>
      </c>
      <c r="C636" s="480" t="n">
        <v>220350</v>
      </c>
      <c r="D636" s="483" t="s">
        <v>3126</v>
      </c>
      <c r="E636" s="483" t="s">
        <v>3127</v>
      </c>
    </row>
    <row r="637" customFormat="false" ht="15" hidden="false" customHeight="false" outlineLevel="0" collapsed="false">
      <c r="A637" s="483" t="s">
        <v>3128</v>
      </c>
      <c r="B637" s="483" t="s">
        <v>3129</v>
      </c>
      <c r="C637" s="480" t="n">
        <v>268618</v>
      </c>
      <c r="D637" s="483" t="s">
        <v>3130</v>
      </c>
      <c r="E637" s="483" t="s">
        <v>3131</v>
      </c>
    </row>
    <row r="638" customFormat="false" ht="15" hidden="false" customHeight="false" outlineLevel="0" collapsed="false">
      <c r="A638" s="483" t="s">
        <v>3132</v>
      </c>
      <c r="B638" s="483" t="s">
        <v>3133</v>
      </c>
      <c r="C638" s="480" t="n">
        <v>126947</v>
      </c>
      <c r="D638" s="483" t="s">
        <v>3134</v>
      </c>
      <c r="E638" s="483" t="s">
        <v>3135</v>
      </c>
    </row>
    <row r="639" customFormat="false" ht="15" hidden="false" customHeight="false" outlineLevel="0" collapsed="false">
      <c r="A639" s="483" t="s">
        <v>3136</v>
      </c>
      <c r="B639" s="483" t="s">
        <v>3137</v>
      </c>
      <c r="C639" s="480" t="n">
        <v>100252</v>
      </c>
      <c r="D639" s="483" t="s">
        <v>3138</v>
      </c>
      <c r="E639" s="483" t="s">
        <v>3139</v>
      </c>
    </row>
    <row r="640" customFormat="false" ht="15" hidden="false" customHeight="false" outlineLevel="0" collapsed="false">
      <c r="A640" s="483" t="s">
        <v>3140</v>
      </c>
      <c r="B640" s="483"/>
      <c r="C640" s="480" t="n">
        <v>254912</v>
      </c>
      <c r="D640" s="483" t="s">
        <v>3141</v>
      </c>
      <c r="E640" s="483" t="s">
        <v>3142</v>
      </c>
    </row>
    <row r="641" customFormat="false" ht="15" hidden="false" customHeight="false" outlineLevel="0" collapsed="false">
      <c r="A641" s="483" t="s">
        <v>3143</v>
      </c>
      <c r="B641" s="483" t="s">
        <v>3144</v>
      </c>
      <c r="C641" s="480" t="n">
        <v>216156</v>
      </c>
      <c r="D641" s="483" t="s">
        <v>3145</v>
      </c>
      <c r="E641" s="483" t="s">
        <v>3146</v>
      </c>
    </row>
    <row r="642" customFormat="false" ht="15" hidden="false" customHeight="false" outlineLevel="0" collapsed="false">
      <c r="A642" s="483" t="s">
        <v>3147</v>
      </c>
      <c r="B642" s="483" t="s">
        <v>3148</v>
      </c>
      <c r="C642" s="480" t="n">
        <v>100510</v>
      </c>
      <c r="D642" s="483" t="s">
        <v>3149</v>
      </c>
      <c r="E642" s="483" t="s">
        <v>3150</v>
      </c>
    </row>
    <row r="643" customFormat="false" ht="15" hidden="false" customHeight="false" outlineLevel="0" collapsed="false">
      <c r="A643" s="483" t="s">
        <v>3151</v>
      </c>
      <c r="B643" s="483" t="s">
        <v>3152</v>
      </c>
      <c r="C643" s="480" t="n">
        <v>232592</v>
      </c>
      <c r="D643" s="483" t="s">
        <v>3153</v>
      </c>
      <c r="E643" s="483" t="s">
        <v>3154</v>
      </c>
    </row>
    <row r="644" customFormat="false" ht="15" hidden="false" customHeight="false" outlineLevel="0" collapsed="false">
      <c r="A644" s="483" t="s">
        <v>3155</v>
      </c>
      <c r="B644" s="483" t="s">
        <v>3156</v>
      </c>
      <c r="C644" s="480" t="n">
        <v>271867</v>
      </c>
      <c r="D644" s="483" t="s">
        <v>3157</v>
      </c>
      <c r="E644" s="483" t="s">
        <v>3158</v>
      </c>
    </row>
    <row r="645" customFormat="false" ht="15" hidden="false" customHeight="false" outlineLevel="0" collapsed="false">
      <c r="A645" s="483" t="s">
        <v>3159</v>
      </c>
      <c r="B645" s="483" t="s">
        <v>3160</v>
      </c>
      <c r="C645" s="480" t="n">
        <v>208615</v>
      </c>
      <c r="D645" s="483" t="s">
        <v>3161</v>
      </c>
      <c r="E645" s="483" t="s">
        <v>3162</v>
      </c>
    </row>
    <row r="646" customFormat="false" ht="15" hidden="false" customHeight="false" outlineLevel="0" collapsed="false">
      <c r="A646" s="483" t="s">
        <v>3163</v>
      </c>
      <c r="B646" s="483" t="s">
        <v>3164</v>
      </c>
      <c r="C646" s="480" t="n">
        <v>213429</v>
      </c>
      <c r="D646" s="483" t="s">
        <v>3165</v>
      </c>
      <c r="E646" s="483" t="s">
        <v>3166</v>
      </c>
    </row>
    <row r="647" customFormat="false" ht="15" hidden="false" customHeight="false" outlineLevel="0" collapsed="false">
      <c r="A647" s="483" t="s">
        <v>3167</v>
      </c>
      <c r="B647" s="483" t="s">
        <v>3168</v>
      </c>
      <c r="C647" s="480" t="n">
        <v>100250</v>
      </c>
      <c r="D647" s="483" t="s">
        <v>3169</v>
      </c>
      <c r="E647" s="483" t="s">
        <v>3170</v>
      </c>
    </row>
    <row r="648" customFormat="false" ht="15" hidden="false" customHeight="false" outlineLevel="0" collapsed="false">
      <c r="A648" s="483" t="s">
        <v>3171</v>
      </c>
      <c r="B648" s="483" t="s">
        <v>3172</v>
      </c>
      <c r="C648" s="480" t="n">
        <v>100253</v>
      </c>
      <c r="D648" s="483" t="s">
        <v>3173</v>
      </c>
      <c r="E648" s="483" t="s">
        <v>3174</v>
      </c>
    </row>
    <row r="649" customFormat="false" ht="15" hidden="false" customHeight="false" outlineLevel="0" collapsed="false">
      <c r="A649" s="483" t="s">
        <v>3175</v>
      </c>
      <c r="B649" s="483" t="s">
        <v>3176</v>
      </c>
      <c r="C649" s="480" t="n">
        <v>297009</v>
      </c>
      <c r="D649" s="483" t="s">
        <v>3177</v>
      </c>
      <c r="E649" s="483" t="s">
        <v>3178</v>
      </c>
    </row>
    <row r="650" customFormat="false" ht="15" hidden="false" customHeight="false" outlineLevel="0" collapsed="false">
      <c r="A650" s="483" t="s">
        <v>3179</v>
      </c>
      <c r="B650" s="483" t="s">
        <v>3180</v>
      </c>
      <c r="C650" s="480" t="n">
        <v>131633</v>
      </c>
      <c r="D650" s="483" t="s">
        <v>3181</v>
      </c>
      <c r="E650" s="483" t="s">
        <v>3182</v>
      </c>
    </row>
    <row r="651" customFormat="false" ht="15" hidden="false" customHeight="false" outlineLevel="0" collapsed="false">
      <c r="A651" s="483" t="s">
        <v>3183</v>
      </c>
      <c r="B651" s="483" t="s">
        <v>3184</v>
      </c>
      <c r="C651" s="480" t="n">
        <v>123457</v>
      </c>
      <c r="D651" s="483" t="s">
        <v>3185</v>
      </c>
      <c r="E651" s="483" t="s">
        <v>3186</v>
      </c>
    </row>
    <row r="652" customFormat="false" ht="15" hidden="false" customHeight="false" outlineLevel="0" collapsed="false">
      <c r="A652" s="483" t="s">
        <v>3187</v>
      </c>
      <c r="B652" s="483" t="s">
        <v>3188</v>
      </c>
      <c r="C652" s="480" t="n">
        <v>112455</v>
      </c>
      <c r="D652" s="483" t="s">
        <v>3189</v>
      </c>
      <c r="E652" s="483" t="s">
        <v>3190</v>
      </c>
    </row>
    <row r="653" customFormat="false" ht="15" hidden="false" customHeight="false" outlineLevel="0" collapsed="false">
      <c r="A653" s="483" t="s">
        <v>3191</v>
      </c>
      <c r="B653" s="483" t="s">
        <v>3192</v>
      </c>
      <c r="C653" s="480" t="n">
        <v>282112</v>
      </c>
      <c r="D653" s="483" t="s">
        <v>3193</v>
      </c>
      <c r="E653" s="483" t="s">
        <v>3194</v>
      </c>
    </row>
    <row r="654" customFormat="false" ht="15" hidden="false" customHeight="false" outlineLevel="0" collapsed="false">
      <c r="A654" s="483" t="s">
        <v>3195</v>
      </c>
      <c r="B654" s="483"/>
      <c r="C654" s="480" t="n">
        <v>114036</v>
      </c>
      <c r="D654" s="483" t="s">
        <v>3196</v>
      </c>
      <c r="E654" s="483" t="s">
        <v>3197</v>
      </c>
    </row>
    <row r="655" customFormat="false" ht="15" hidden="false" customHeight="false" outlineLevel="0" collapsed="false">
      <c r="A655" s="483" t="s">
        <v>3198</v>
      </c>
      <c r="B655" s="483" t="s">
        <v>3199</v>
      </c>
      <c r="C655" s="480" t="n">
        <v>132783</v>
      </c>
      <c r="D655" s="483" t="s">
        <v>3200</v>
      </c>
      <c r="E655" s="483" t="s">
        <v>3201</v>
      </c>
    </row>
    <row r="656" customFormat="false" ht="15" hidden="false" customHeight="false" outlineLevel="0" collapsed="false">
      <c r="A656" s="483" t="s">
        <v>3202</v>
      </c>
      <c r="B656" s="483" t="s">
        <v>3203</v>
      </c>
      <c r="C656" s="480" t="n">
        <v>132796</v>
      </c>
      <c r="D656" s="483" t="s">
        <v>3204</v>
      </c>
      <c r="E656" s="483" t="s">
        <v>3205</v>
      </c>
    </row>
    <row r="657" customFormat="false" ht="15" hidden="false" customHeight="false" outlineLevel="0" collapsed="false">
      <c r="A657" s="483" t="s">
        <v>3206</v>
      </c>
      <c r="B657" s="483" t="s">
        <v>3207</v>
      </c>
      <c r="C657" s="480" t="n">
        <v>117206</v>
      </c>
      <c r="D657" s="483" t="s">
        <v>3208</v>
      </c>
      <c r="E657" s="483" t="s">
        <v>3209</v>
      </c>
    </row>
    <row r="658" customFormat="false" ht="15" hidden="false" customHeight="false" outlineLevel="0" collapsed="false">
      <c r="A658" s="483" t="s">
        <v>3210</v>
      </c>
      <c r="B658" s="483" t="s">
        <v>3211</v>
      </c>
      <c r="C658" s="480" t="n">
        <v>100257</v>
      </c>
      <c r="D658" s="483" t="s">
        <v>3212</v>
      </c>
      <c r="E658" s="483" t="s">
        <v>3213</v>
      </c>
    </row>
    <row r="659" customFormat="false" ht="15" hidden="false" customHeight="false" outlineLevel="0" collapsed="false">
      <c r="A659" s="483" t="s">
        <v>3214</v>
      </c>
      <c r="B659" s="483" t="s">
        <v>3215</v>
      </c>
      <c r="C659" s="480" t="n">
        <v>213488</v>
      </c>
      <c r="D659" s="483" t="s">
        <v>3216</v>
      </c>
      <c r="E659" s="483" t="s">
        <v>3217</v>
      </c>
    </row>
    <row r="660" customFormat="false" ht="15" hidden="false" customHeight="false" outlineLevel="0" collapsed="false">
      <c r="A660" s="483" t="s">
        <v>3218</v>
      </c>
      <c r="B660" s="483" t="s">
        <v>3219</v>
      </c>
      <c r="C660" s="480" t="n">
        <v>100259</v>
      </c>
      <c r="D660" s="483" t="s">
        <v>3220</v>
      </c>
      <c r="E660" s="483" t="s">
        <v>3221</v>
      </c>
    </row>
    <row r="661" customFormat="false" ht="15" hidden="false" customHeight="false" outlineLevel="0" collapsed="false">
      <c r="A661" s="483" t="s">
        <v>3222</v>
      </c>
      <c r="B661" s="483"/>
      <c r="C661" s="480" t="n">
        <v>107836</v>
      </c>
      <c r="D661" s="483" t="s">
        <v>3223</v>
      </c>
      <c r="E661" s="483" t="s">
        <v>3224</v>
      </c>
    </row>
    <row r="662" customFormat="false" ht="15" hidden="false" customHeight="false" outlineLevel="0" collapsed="false">
      <c r="A662" s="483" t="s">
        <v>3225</v>
      </c>
      <c r="B662" s="483" t="s">
        <v>3226</v>
      </c>
      <c r="C662" s="480" t="n">
        <v>219442</v>
      </c>
      <c r="D662" s="483" t="s">
        <v>3227</v>
      </c>
      <c r="E662" s="483" t="s">
        <v>3228</v>
      </c>
    </row>
    <row r="663" customFormat="false" ht="15" hidden="false" customHeight="false" outlineLevel="0" collapsed="false">
      <c r="A663" s="483" t="s">
        <v>3229</v>
      </c>
      <c r="B663" s="483" t="s">
        <v>3230</v>
      </c>
      <c r="C663" s="480" t="n">
        <v>208661</v>
      </c>
      <c r="D663" s="483" t="s">
        <v>3231</v>
      </c>
      <c r="E663" s="483" t="s">
        <v>3232</v>
      </c>
    </row>
    <row r="664" customFormat="false" ht="15" hidden="false" customHeight="false" outlineLevel="0" collapsed="false">
      <c r="A664" s="483" t="s">
        <v>3233</v>
      </c>
      <c r="B664" s="483" t="s">
        <v>3234</v>
      </c>
      <c r="C664" s="480" t="n">
        <v>100108</v>
      </c>
      <c r="D664" s="483" t="s">
        <v>3235</v>
      </c>
      <c r="E664" s="483" t="s">
        <v>3236</v>
      </c>
    </row>
    <row r="665" customFormat="false" ht="15" hidden="false" customHeight="false" outlineLevel="0" collapsed="false">
      <c r="A665" s="483" t="s">
        <v>3237</v>
      </c>
      <c r="B665" s="483" t="s">
        <v>3238</v>
      </c>
      <c r="C665" s="480" t="n">
        <v>100266</v>
      </c>
      <c r="D665" s="483" t="s">
        <v>3239</v>
      </c>
      <c r="E665" s="483" t="s">
        <v>3240</v>
      </c>
    </row>
    <row r="666" customFormat="false" ht="15" hidden="false" customHeight="false" outlineLevel="0" collapsed="false">
      <c r="A666" s="483" t="s">
        <v>3241</v>
      </c>
      <c r="B666" s="483" t="s">
        <v>3242</v>
      </c>
      <c r="C666" s="480" t="n">
        <v>100265</v>
      </c>
      <c r="D666" s="483" t="s">
        <v>3243</v>
      </c>
      <c r="E666" s="483" t="s">
        <v>3244</v>
      </c>
    </row>
    <row r="667" customFormat="false" ht="15" hidden="false" customHeight="false" outlineLevel="0" collapsed="false">
      <c r="A667" s="483" t="s">
        <v>3245</v>
      </c>
      <c r="B667" s="483" t="s">
        <v>3246</v>
      </c>
      <c r="C667" s="480" t="n">
        <v>132720</v>
      </c>
      <c r="D667" s="483" t="s">
        <v>3247</v>
      </c>
      <c r="E667" s="483" t="s">
        <v>3248</v>
      </c>
    </row>
    <row r="668" customFormat="false" ht="15" hidden="false" customHeight="false" outlineLevel="0" collapsed="false">
      <c r="A668" s="483" t="s">
        <v>3249</v>
      </c>
      <c r="B668" s="483" t="s">
        <v>3250</v>
      </c>
      <c r="C668" s="480" t="n">
        <v>100520</v>
      </c>
      <c r="D668" s="483" t="s">
        <v>3251</v>
      </c>
      <c r="E668" s="483" t="s">
        <v>3252</v>
      </c>
    </row>
    <row r="669" customFormat="false" ht="15" hidden="false" customHeight="false" outlineLevel="0" collapsed="false">
      <c r="A669" s="483" t="s">
        <v>3253</v>
      </c>
      <c r="B669" s="483" t="s">
        <v>3254</v>
      </c>
      <c r="C669" s="480" t="n">
        <v>132756</v>
      </c>
      <c r="D669" s="483" t="s">
        <v>3255</v>
      </c>
      <c r="E669" s="483" t="s">
        <v>3256</v>
      </c>
    </row>
    <row r="670" customFormat="false" ht="15" hidden="false" customHeight="false" outlineLevel="0" collapsed="false">
      <c r="A670" s="483" t="s">
        <v>3257</v>
      </c>
      <c r="B670" s="483" t="s">
        <v>3258</v>
      </c>
      <c r="C670" s="480" t="n">
        <v>200082</v>
      </c>
      <c r="D670" s="483" t="s">
        <v>3259</v>
      </c>
      <c r="E670" s="483" t="s">
        <v>3260</v>
      </c>
    </row>
    <row r="671" customFormat="false" ht="15" hidden="false" customHeight="false" outlineLevel="0" collapsed="false">
      <c r="A671" s="483" t="s">
        <v>3261</v>
      </c>
      <c r="B671" s="483" t="s">
        <v>3262</v>
      </c>
      <c r="C671" s="480" t="n">
        <v>132313</v>
      </c>
      <c r="D671" s="483" t="s">
        <v>3263</v>
      </c>
      <c r="E671" s="483" t="s">
        <v>3264</v>
      </c>
    </row>
    <row r="672" customFormat="false" ht="15" hidden="false" customHeight="false" outlineLevel="0" collapsed="false">
      <c r="A672" s="483" t="s">
        <v>3265</v>
      </c>
      <c r="B672" s="483" t="s">
        <v>3266</v>
      </c>
      <c r="C672" s="480" t="n">
        <v>218067</v>
      </c>
      <c r="D672" s="483" t="s">
        <v>3267</v>
      </c>
      <c r="E672" s="483" t="s">
        <v>3268</v>
      </c>
    </row>
    <row r="673" customFormat="false" ht="15" hidden="false" customHeight="false" outlineLevel="0" collapsed="false">
      <c r="A673" s="483" t="s">
        <v>3269</v>
      </c>
      <c r="B673" s="483" t="s">
        <v>3270</v>
      </c>
      <c r="C673" s="480" t="n">
        <v>200556</v>
      </c>
      <c r="D673" s="483" t="s">
        <v>3271</v>
      </c>
      <c r="E673" s="483" t="s">
        <v>3272</v>
      </c>
    </row>
    <row r="674" customFormat="false" ht="15" hidden="false" customHeight="false" outlineLevel="0" collapsed="false">
      <c r="A674" s="483" t="s">
        <v>3273</v>
      </c>
      <c r="B674" s="483" t="s">
        <v>3274</v>
      </c>
      <c r="C674" s="480" t="n">
        <v>113269</v>
      </c>
      <c r="D674" s="483" t="s">
        <v>3275</v>
      </c>
      <c r="E674" s="483" t="s">
        <v>3276</v>
      </c>
    </row>
    <row r="675" customFormat="false" ht="15" hidden="false" customHeight="false" outlineLevel="0" collapsed="false">
      <c r="A675" s="483" t="s">
        <v>3277</v>
      </c>
      <c r="B675" s="483" t="s">
        <v>3278</v>
      </c>
      <c r="C675" s="480" t="n">
        <v>200083</v>
      </c>
      <c r="D675" s="483" t="s">
        <v>3279</v>
      </c>
      <c r="E675" s="483" t="s">
        <v>3280</v>
      </c>
    </row>
    <row r="676" customFormat="false" ht="15" hidden="false" customHeight="false" outlineLevel="0" collapsed="false">
      <c r="A676" s="483" t="s">
        <v>3281</v>
      </c>
      <c r="B676" s="483" t="s">
        <v>3282</v>
      </c>
      <c r="C676" s="480" t="n">
        <v>100268</v>
      </c>
      <c r="D676" s="483" t="s">
        <v>3283</v>
      </c>
      <c r="E676" s="483" t="s">
        <v>3284</v>
      </c>
    </row>
    <row r="677" customFormat="false" ht="15" hidden="false" customHeight="false" outlineLevel="0" collapsed="false">
      <c r="A677" s="483" t="s">
        <v>3285</v>
      </c>
      <c r="B677" s="483" t="s">
        <v>3286</v>
      </c>
      <c r="C677" s="480" t="n">
        <v>131213</v>
      </c>
      <c r="D677" s="483" t="s">
        <v>3287</v>
      </c>
      <c r="E677" s="483" t="s">
        <v>3288</v>
      </c>
    </row>
    <row r="678" customFormat="false" ht="15" hidden="false" customHeight="false" outlineLevel="0" collapsed="false">
      <c r="A678" s="483" t="s">
        <v>3289</v>
      </c>
      <c r="B678" s="483" t="s">
        <v>3290</v>
      </c>
      <c r="C678" s="480" t="n">
        <v>102157</v>
      </c>
      <c r="D678" s="483" t="s">
        <v>3291</v>
      </c>
      <c r="E678" s="483" t="s">
        <v>3292</v>
      </c>
    </row>
    <row r="679" customFormat="false" ht="15" hidden="false" customHeight="false" outlineLevel="0" collapsed="false">
      <c r="A679" s="483" t="s">
        <v>3293</v>
      </c>
      <c r="B679" s="483"/>
      <c r="C679" s="480" t="n">
        <v>244361</v>
      </c>
      <c r="D679" s="483" t="s">
        <v>3294</v>
      </c>
      <c r="E679" s="483" t="s">
        <v>3295</v>
      </c>
    </row>
    <row r="680" customFormat="false" ht="15" hidden="false" customHeight="false" outlineLevel="0" collapsed="false">
      <c r="A680" s="483" t="s">
        <v>3296</v>
      </c>
      <c r="B680" s="483" t="s">
        <v>3297</v>
      </c>
      <c r="C680" s="480" t="n">
        <v>114418</v>
      </c>
      <c r="D680" s="483" t="s">
        <v>3298</v>
      </c>
      <c r="E680" s="483" t="s">
        <v>3299</v>
      </c>
    </row>
    <row r="681" customFormat="false" ht="15" hidden="false" customHeight="false" outlineLevel="0" collapsed="false">
      <c r="A681" s="483" t="s">
        <v>3300</v>
      </c>
      <c r="B681" s="483" t="s">
        <v>3301</v>
      </c>
      <c r="C681" s="480" t="n">
        <v>130011</v>
      </c>
      <c r="D681" s="483" t="s">
        <v>3302</v>
      </c>
      <c r="E681" s="483" t="s">
        <v>3303</v>
      </c>
    </row>
    <row r="682" customFormat="false" ht="15" hidden="false" customHeight="false" outlineLevel="0" collapsed="false">
      <c r="A682" s="483" t="s">
        <v>3304</v>
      </c>
      <c r="B682" s="483" t="s">
        <v>3305</v>
      </c>
      <c r="C682" s="480" t="n">
        <v>100109</v>
      </c>
      <c r="D682" s="483" t="s">
        <v>3306</v>
      </c>
      <c r="E682" s="483" t="s">
        <v>3307</v>
      </c>
    </row>
    <row r="683" customFormat="false" ht="15" hidden="false" customHeight="false" outlineLevel="0" collapsed="false">
      <c r="A683" s="483" t="s">
        <v>3308</v>
      </c>
      <c r="B683" s="483"/>
      <c r="C683" s="480" t="n">
        <v>289858</v>
      </c>
      <c r="D683" s="483" t="s">
        <v>3309</v>
      </c>
      <c r="E683" s="483" t="s">
        <v>3310</v>
      </c>
    </row>
    <row r="684" customFormat="false" ht="15" hidden="false" customHeight="false" outlineLevel="0" collapsed="false">
      <c r="A684" s="483" t="s">
        <v>3311</v>
      </c>
      <c r="B684" s="483" t="s">
        <v>3312</v>
      </c>
      <c r="C684" s="480" t="n">
        <v>103101</v>
      </c>
      <c r="D684" s="483" t="s">
        <v>3313</v>
      </c>
      <c r="E684" s="483" t="s">
        <v>3314</v>
      </c>
    </row>
    <row r="685" customFormat="false" ht="15" hidden="false" customHeight="false" outlineLevel="0" collapsed="false">
      <c r="A685" s="483" t="s">
        <v>3315</v>
      </c>
      <c r="B685" s="483" t="s">
        <v>3316</v>
      </c>
      <c r="C685" s="480" t="n">
        <v>131642</v>
      </c>
      <c r="D685" s="483" t="s">
        <v>3317</v>
      </c>
      <c r="E685" s="483" t="s">
        <v>3318</v>
      </c>
    </row>
    <row r="686" customFormat="false" ht="15" hidden="false" customHeight="false" outlineLevel="0" collapsed="false">
      <c r="A686" s="483" t="s">
        <v>3319</v>
      </c>
      <c r="B686" s="483" t="s">
        <v>3320</v>
      </c>
      <c r="C686" s="480" t="n">
        <v>291578</v>
      </c>
      <c r="D686" s="483" t="s">
        <v>3321</v>
      </c>
      <c r="E686" s="483" t="s">
        <v>3322</v>
      </c>
    </row>
    <row r="687" customFormat="false" ht="15" hidden="false" customHeight="false" outlineLevel="0" collapsed="false">
      <c r="A687" s="483" t="s">
        <v>3323</v>
      </c>
      <c r="B687" s="483" t="s">
        <v>3324</v>
      </c>
      <c r="C687" s="480" t="n">
        <v>124404</v>
      </c>
      <c r="D687" s="483" t="s">
        <v>3325</v>
      </c>
      <c r="E687" s="483" t="s">
        <v>3326</v>
      </c>
    </row>
    <row r="688" customFormat="false" ht="15" hidden="false" customHeight="false" outlineLevel="0" collapsed="false">
      <c r="A688" s="483" t="s">
        <v>3327</v>
      </c>
      <c r="B688" s="483" t="s">
        <v>3328</v>
      </c>
      <c r="C688" s="480" t="n">
        <v>132500</v>
      </c>
      <c r="D688" s="483" t="s">
        <v>3329</v>
      </c>
      <c r="E688" s="483" t="s">
        <v>3330</v>
      </c>
    </row>
    <row r="689" customFormat="false" ht="15" hidden="false" customHeight="false" outlineLevel="0" collapsed="false">
      <c r="A689" s="483" t="s">
        <v>3331</v>
      </c>
      <c r="B689" s="483" t="s">
        <v>3332</v>
      </c>
      <c r="C689" s="480" t="n">
        <v>226625</v>
      </c>
      <c r="D689" s="483" t="s">
        <v>3333</v>
      </c>
      <c r="E689" s="483" t="s">
        <v>3334</v>
      </c>
    </row>
    <row r="690" customFormat="false" ht="15" hidden="false" customHeight="false" outlineLevel="0" collapsed="false">
      <c r="A690" s="483" t="s">
        <v>3335</v>
      </c>
      <c r="B690" s="483" t="s">
        <v>3336</v>
      </c>
      <c r="C690" s="480" t="n">
        <v>123704</v>
      </c>
      <c r="D690" s="483" t="s">
        <v>3337</v>
      </c>
      <c r="E690" s="483" t="s">
        <v>3338</v>
      </c>
    </row>
    <row r="691" customFormat="false" ht="15" hidden="false" customHeight="false" outlineLevel="0" collapsed="false">
      <c r="A691" s="483" t="s">
        <v>3339</v>
      </c>
      <c r="B691" s="483" t="s">
        <v>3340</v>
      </c>
      <c r="C691" s="480" t="n">
        <v>223140</v>
      </c>
      <c r="D691" s="483" t="s">
        <v>3341</v>
      </c>
      <c r="E691" s="483" t="s">
        <v>3342</v>
      </c>
    </row>
    <row r="692" customFormat="false" ht="15" hidden="false" customHeight="false" outlineLevel="0" collapsed="false">
      <c r="A692" s="483" t="s">
        <v>3343</v>
      </c>
      <c r="B692" s="483" t="s">
        <v>3344</v>
      </c>
      <c r="C692" s="480" t="n">
        <v>100271</v>
      </c>
      <c r="D692" s="483" t="s">
        <v>3345</v>
      </c>
      <c r="E692" s="483" t="s">
        <v>3346</v>
      </c>
    </row>
    <row r="693" customFormat="false" ht="15" hidden="false" customHeight="false" outlineLevel="0" collapsed="false">
      <c r="A693" s="483" t="s">
        <v>3347</v>
      </c>
      <c r="B693" s="483" t="s">
        <v>3348</v>
      </c>
      <c r="C693" s="480" t="n">
        <v>218071</v>
      </c>
      <c r="D693" s="483" t="s">
        <v>3349</v>
      </c>
      <c r="E693" s="483" t="s">
        <v>3350</v>
      </c>
    </row>
    <row r="694" customFormat="false" ht="15" hidden="false" customHeight="false" outlineLevel="0" collapsed="false">
      <c r="A694" s="483" t="s">
        <v>3351</v>
      </c>
      <c r="B694" s="483" t="s">
        <v>3352</v>
      </c>
      <c r="C694" s="480" t="n">
        <v>279685</v>
      </c>
      <c r="D694" s="483" t="s">
        <v>3353</v>
      </c>
      <c r="E694" s="483" t="s">
        <v>3354</v>
      </c>
    </row>
    <row r="695" customFormat="false" ht="15" hidden="false" customHeight="false" outlineLevel="0" collapsed="false">
      <c r="A695" s="483" t="s">
        <v>3355</v>
      </c>
      <c r="B695" s="483" t="s">
        <v>3356</v>
      </c>
      <c r="C695" s="480" t="n">
        <v>122249</v>
      </c>
      <c r="D695" s="483" t="s">
        <v>3357</v>
      </c>
      <c r="E695" s="483" t="s">
        <v>3358</v>
      </c>
    </row>
    <row r="696" customFormat="false" ht="15" hidden="false" customHeight="false" outlineLevel="0" collapsed="false">
      <c r="A696" s="483" t="s">
        <v>3359</v>
      </c>
      <c r="B696" s="483" t="s">
        <v>3360</v>
      </c>
      <c r="C696" s="480" t="n">
        <v>219700</v>
      </c>
      <c r="D696" s="483" t="s">
        <v>3361</v>
      </c>
      <c r="E696" s="483" t="s">
        <v>3362</v>
      </c>
    </row>
    <row r="697" customFormat="false" ht="15" hidden="false" customHeight="false" outlineLevel="0" collapsed="false">
      <c r="A697" s="483" t="s">
        <v>3363</v>
      </c>
      <c r="B697" s="483" t="s">
        <v>3364</v>
      </c>
      <c r="C697" s="480" t="n">
        <v>112267</v>
      </c>
      <c r="D697" s="483" t="s">
        <v>3365</v>
      </c>
      <c r="E697" s="483" t="s">
        <v>3366</v>
      </c>
    </row>
    <row r="698" customFormat="false" ht="15" hidden="false" customHeight="false" outlineLevel="0" collapsed="false">
      <c r="A698" s="483" t="s">
        <v>3367</v>
      </c>
      <c r="B698" s="483" t="s">
        <v>3368</v>
      </c>
      <c r="C698" s="480" t="n">
        <v>131146</v>
      </c>
      <c r="D698" s="483" t="s">
        <v>3369</v>
      </c>
      <c r="E698" s="483" t="s">
        <v>3370</v>
      </c>
    </row>
    <row r="699" customFormat="false" ht="15" hidden="false" customHeight="false" outlineLevel="0" collapsed="false">
      <c r="A699" s="483" t="s">
        <v>3371</v>
      </c>
      <c r="B699" s="483" t="s">
        <v>3372</v>
      </c>
      <c r="C699" s="480" t="n">
        <v>232604</v>
      </c>
      <c r="D699" s="483" t="s">
        <v>3373</v>
      </c>
      <c r="E699" s="483" t="s">
        <v>3374</v>
      </c>
    </row>
    <row r="700" customFormat="false" ht="15" hidden="false" customHeight="false" outlineLevel="0" collapsed="false">
      <c r="A700" s="483" t="s">
        <v>3375</v>
      </c>
      <c r="B700" s="483" t="s">
        <v>3376</v>
      </c>
      <c r="C700" s="480" t="n">
        <v>132408</v>
      </c>
      <c r="D700" s="483" t="s">
        <v>3377</v>
      </c>
      <c r="E700" s="483" t="s">
        <v>3378</v>
      </c>
    </row>
    <row r="701" customFormat="false" ht="15" hidden="false" customHeight="false" outlineLevel="0" collapsed="false">
      <c r="A701" s="483" t="s">
        <v>3379</v>
      </c>
      <c r="B701" s="483" t="s">
        <v>3380</v>
      </c>
      <c r="C701" s="480" t="n">
        <v>210481</v>
      </c>
      <c r="D701" s="483" t="s">
        <v>3381</v>
      </c>
      <c r="E701" s="483" t="s">
        <v>3382</v>
      </c>
    </row>
    <row r="702" customFormat="false" ht="15" hidden="false" customHeight="false" outlineLevel="0" collapsed="false">
      <c r="A702" s="483" t="s">
        <v>3383</v>
      </c>
      <c r="B702" s="483" t="s">
        <v>3384</v>
      </c>
      <c r="C702" s="480" t="n">
        <v>302222</v>
      </c>
      <c r="D702" s="483" t="s">
        <v>3385</v>
      </c>
      <c r="E702" s="483" t="s">
        <v>3386</v>
      </c>
    </row>
    <row r="703" customFormat="false" ht="15" hidden="false" customHeight="false" outlineLevel="0" collapsed="false">
      <c r="A703" s="483" t="s">
        <v>3387</v>
      </c>
      <c r="B703" s="483" t="s">
        <v>3388</v>
      </c>
      <c r="C703" s="480" t="n">
        <v>208727</v>
      </c>
      <c r="D703" s="483" t="s">
        <v>3389</v>
      </c>
      <c r="E703" s="483" t="s">
        <v>3390</v>
      </c>
    </row>
    <row r="704" customFormat="false" ht="15" hidden="false" customHeight="false" outlineLevel="0" collapsed="false">
      <c r="A704" s="483" t="s">
        <v>3391</v>
      </c>
      <c r="B704" s="483" t="s">
        <v>3392</v>
      </c>
      <c r="C704" s="480" t="n">
        <v>235506</v>
      </c>
      <c r="D704" s="483" t="s">
        <v>3393</v>
      </c>
      <c r="E704" s="483" t="s">
        <v>3394</v>
      </c>
    </row>
    <row r="705" customFormat="false" ht="15" hidden="false" customHeight="false" outlineLevel="0" collapsed="false">
      <c r="A705" s="483" t="s">
        <v>3395</v>
      </c>
      <c r="B705" s="483" t="s">
        <v>3396</v>
      </c>
      <c r="C705" s="480" t="n">
        <v>213597</v>
      </c>
      <c r="D705" s="483" t="s">
        <v>3397</v>
      </c>
      <c r="E705" s="483" t="s">
        <v>3398</v>
      </c>
    </row>
    <row r="706" customFormat="false" ht="15" hidden="false" customHeight="false" outlineLevel="0" collapsed="false">
      <c r="A706" s="483" t="s">
        <v>3399</v>
      </c>
      <c r="B706" s="483" t="s">
        <v>3400</v>
      </c>
      <c r="C706" s="480" t="n">
        <v>132539</v>
      </c>
      <c r="D706" s="483" t="s">
        <v>3401</v>
      </c>
      <c r="E706" s="483" t="s">
        <v>3402</v>
      </c>
    </row>
    <row r="707" customFormat="false" ht="15" hidden="false" customHeight="false" outlineLevel="0" collapsed="false">
      <c r="A707" s="483" t="s">
        <v>3403</v>
      </c>
      <c r="B707" s="483" t="s">
        <v>3404</v>
      </c>
      <c r="C707" s="480" t="n">
        <v>132819</v>
      </c>
      <c r="D707" s="483" t="s">
        <v>3405</v>
      </c>
      <c r="E707" s="483" t="s">
        <v>3406</v>
      </c>
    </row>
    <row r="708" customFormat="false" ht="15" hidden="false" customHeight="false" outlineLevel="0" collapsed="false">
      <c r="A708" s="483" t="s">
        <v>3407</v>
      </c>
      <c r="B708" s="483" t="s">
        <v>3408</v>
      </c>
      <c r="C708" s="480" t="n">
        <v>100279</v>
      </c>
      <c r="D708" s="483" t="s">
        <v>3409</v>
      </c>
      <c r="E708" s="483" t="s">
        <v>3410</v>
      </c>
    </row>
    <row r="709" customFormat="false" ht="15" hidden="false" customHeight="false" outlineLevel="0" collapsed="false">
      <c r="A709" s="483" t="s">
        <v>3411</v>
      </c>
      <c r="B709" s="483" t="s">
        <v>3412</v>
      </c>
      <c r="C709" s="480" t="n">
        <v>126642</v>
      </c>
      <c r="D709" s="483" t="s">
        <v>3413</v>
      </c>
      <c r="E709" s="483" t="s">
        <v>3414</v>
      </c>
    </row>
    <row r="710" customFormat="false" ht="15" hidden="false" customHeight="false" outlineLevel="0" collapsed="false">
      <c r="A710" s="483" t="s">
        <v>3415</v>
      </c>
      <c r="B710" s="483" t="s">
        <v>3416</v>
      </c>
      <c r="C710" s="480" t="n">
        <v>208745</v>
      </c>
      <c r="D710" s="483" t="s">
        <v>3417</v>
      </c>
      <c r="E710" s="483" t="s">
        <v>3418</v>
      </c>
    </row>
    <row r="711" customFormat="false" ht="15" hidden="false" customHeight="false" outlineLevel="0" collapsed="false">
      <c r="A711" s="483" t="s">
        <v>3419</v>
      </c>
      <c r="B711" s="483"/>
      <c r="C711" s="480" t="n">
        <v>279657</v>
      </c>
      <c r="D711" s="483" t="s">
        <v>3420</v>
      </c>
      <c r="E711" s="483" t="s">
        <v>3421</v>
      </c>
    </row>
    <row r="712" customFormat="false" ht="15" hidden="false" customHeight="false" outlineLevel="0" collapsed="false">
      <c r="A712" s="483" t="s">
        <v>3422</v>
      </c>
      <c r="B712" s="483" t="s">
        <v>3423</v>
      </c>
      <c r="C712" s="480" t="n">
        <v>122241</v>
      </c>
      <c r="D712" s="483" t="s">
        <v>3424</v>
      </c>
      <c r="E712" s="483" t="s">
        <v>3425</v>
      </c>
    </row>
    <row r="713" customFormat="false" ht="15" hidden="false" customHeight="false" outlineLevel="0" collapsed="false">
      <c r="A713" s="483" t="s">
        <v>3426</v>
      </c>
      <c r="B713" s="483" t="s">
        <v>3427</v>
      </c>
      <c r="C713" s="480" t="n">
        <v>113377</v>
      </c>
      <c r="D713" s="483" t="s">
        <v>3428</v>
      </c>
      <c r="E713" s="483" t="s">
        <v>3429</v>
      </c>
    </row>
    <row r="714" customFormat="false" ht="15" hidden="false" customHeight="false" outlineLevel="0" collapsed="false">
      <c r="A714" s="483" t="s">
        <v>3430</v>
      </c>
      <c r="B714" s="483" t="s">
        <v>3431</v>
      </c>
      <c r="C714" s="480" t="n">
        <v>208690</v>
      </c>
      <c r="D714" s="483" t="s">
        <v>3432</v>
      </c>
      <c r="E714" s="483" t="s">
        <v>3433</v>
      </c>
    </row>
    <row r="715" customFormat="false" ht="15" hidden="false" customHeight="false" outlineLevel="0" collapsed="false">
      <c r="A715" s="483" t="s">
        <v>3434</v>
      </c>
      <c r="B715" s="483" t="s">
        <v>3435</v>
      </c>
      <c r="C715" s="480" t="n">
        <v>218761</v>
      </c>
      <c r="D715" s="483" t="s">
        <v>3436</v>
      </c>
      <c r="E715" s="483" t="s">
        <v>3437</v>
      </c>
    </row>
    <row r="716" customFormat="false" ht="15" hidden="false" customHeight="false" outlineLevel="0" collapsed="false">
      <c r="A716" s="483" t="s">
        <v>3438</v>
      </c>
      <c r="B716" s="483" t="s">
        <v>3439</v>
      </c>
      <c r="C716" s="480" t="n">
        <v>255045</v>
      </c>
      <c r="D716" s="483" t="s">
        <v>3440</v>
      </c>
      <c r="E716" s="483" t="s">
        <v>3441</v>
      </c>
    </row>
    <row r="717" customFormat="false" ht="15" hidden="false" customHeight="false" outlineLevel="0" collapsed="false">
      <c r="A717" s="483" t="s">
        <v>3442</v>
      </c>
      <c r="B717" s="483" t="s">
        <v>3443</v>
      </c>
      <c r="C717" s="480" t="n">
        <v>100288</v>
      </c>
      <c r="D717" s="483" t="s">
        <v>3444</v>
      </c>
      <c r="E717" s="483" t="s">
        <v>3445</v>
      </c>
    </row>
    <row r="718" customFormat="false" ht="15" hidden="false" customHeight="false" outlineLevel="0" collapsed="false">
      <c r="A718" s="483" t="s">
        <v>3446</v>
      </c>
      <c r="B718" s="483"/>
      <c r="C718" s="480" t="n">
        <v>123160</v>
      </c>
      <c r="D718" s="483" t="s">
        <v>3447</v>
      </c>
      <c r="E718" s="483" t="s">
        <v>3448</v>
      </c>
    </row>
    <row r="719" customFormat="false" ht="15" hidden="false" customHeight="false" outlineLevel="0" collapsed="false">
      <c r="A719" s="483" t="s">
        <v>3449</v>
      </c>
      <c r="B719" s="483"/>
      <c r="C719" s="480" t="n">
        <v>132407</v>
      </c>
      <c r="D719" s="483" t="s">
        <v>3450</v>
      </c>
      <c r="E719" s="483" t="s">
        <v>3451</v>
      </c>
    </row>
    <row r="720" customFormat="false" ht="15" hidden="false" customHeight="false" outlineLevel="0" collapsed="false">
      <c r="A720" s="483" t="s">
        <v>3452</v>
      </c>
      <c r="B720" s="483" t="s">
        <v>3453</v>
      </c>
      <c r="C720" s="480" t="n">
        <v>117334</v>
      </c>
      <c r="D720" s="483" t="s">
        <v>3454</v>
      </c>
      <c r="E720" s="483" t="s">
        <v>3455</v>
      </c>
    </row>
    <row r="721" customFormat="false" ht="15" hidden="false" customHeight="false" outlineLevel="0" collapsed="false">
      <c r="A721" s="483" t="s">
        <v>3456</v>
      </c>
      <c r="B721" s="483" t="s">
        <v>3457</v>
      </c>
      <c r="C721" s="480" t="n">
        <v>132892</v>
      </c>
      <c r="D721" s="483" t="s">
        <v>3458</v>
      </c>
      <c r="E721" s="483" t="s">
        <v>3459</v>
      </c>
    </row>
    <row r="722" customFormat="false" ht="15" hidden="false" customHeight="false" outlineLevel="0" collapsed="false">
      <c r="A722" s="483" t="s">
        <v>3460</v>
      </c>
      <c r="B722" s="483" t="s">
        <v>3461</v>
      </c>
      <c r="C722" s="480" t="n">
        <v>126299</v>
      </c>
      <c r="D722" s="483" t="s">
        <v>3462</v>
      </c>
      <c r="E722" s="483" t="s">
        <v>3463</v>
      </c>
    </row>
    <row r="723" customFormat="false" ht="15" hidden="false" customHeight="false" outlineLevel="0" collapsed="false">
      <c r="A723" s="483" t="s">
        <v>3464</v>
      </c>
      <c r="B723" s="483" t="s">
        <v>3465</v>
      </c>
      <c r="C723" s="480" t="n">
        <v>132440</v>
      </c>
      <c r="D723" s="483" t="s">
        <v>3466</v>
      </c>
      <c r="E723" s="483" t="s">
        <v>3467</v>
      </c>
    </row>
    <row r="724" customFormat="false" ht="15" hidden="false" customHeight="false" outlineLevel="0" collapsed="false">
      <c r="A724" s="483" t="s">
        <v>3468</v>
      </c>
      <c r="B724" s="483" t="s">
        <v>3469</v>
      </c>
      <c r="C724" s="480" t="n">
        <v>100290</v>
      </c>
      <c r="D724" s="483" t="s">
        <v>3470</v>
      </c>
      <c r="E724" s="483" t="s">
        <v>3471</v>
      </c>
    </row>
    <row r="725" customFormat="false" ht="15" hidden="false" customHeight="false" outlineLevel="0" collapsed="false">
      <c r="A725" s="483" t="s">
        <v>3472</v>
      </c>
      <c r="B725" s="483" t="s">
        <v>3473</v>
      </c>
      <c r="C725" s="480" t="n">
        <v>223478</v>
      </c>
      <c r="D725" s="483" t="s">
        <v>3474</v>
      </c>
      <c r="E725" s="483" t="s">
        <v>3475</v>
      </c>
    </row>
    <row r="726" customFormat="false" ht="15" hidden="false" customHeight="false" outlineLevel="0" collapsed="false">
      <c r="A726" s="483" t="s">
        <v>3476</v>
      </c>
      <c r="B726" s="483" t="s">
        <v>3477</v>
      </c>
      <c r="C726" s="480" t="n">
        <v>208646</v>
      </c>
      <c r="D726" s="483" t="s">
        <v>3478</v>
      </c>
      <c r="E726" s="483" t="s">
        <v>3479</v>
      </c>
    </row>
    <row r="727" customFormat="false" ht="15" hidden="false" customHeight="false" outlineLevel="0" collapsed="false">
      <c r="A727" s="483" t="s">
        <v>3480</v>
      </c>
      <c r="B727" s="483" t="s">
        <v>3481</v>
      </c>
      <c r="C727" s="480" t="n">
        <v>208763</v>
      </c>
      <c r="D727" s="483" t="s">
        <v>3482</v>
      </c>
      <c r="E727" s="483" t="s">
        <v>3483</v>
      </c>
    </row>
    <row r="728" customFormat="false" ht="15" hidden="false" customHeight="false" outlineLevel="0" collapsed="false">
      <c r="A728" s="483" t="s">
        <v>3484</v>
      </c>
      <c r="B728" s="483" t="s">
        <v>3485</v>
      </c>
      <c r="C728" s="480" t="n">
        <v>100460</v>
      </c>
      <c r="D728" s="483" t="s">
        <v>3486</v>
      </c>
      <c r="E728" s="483" t="s">
        <v>3487</v>
      </c>
    </row>
    <row r="729" customFormat="false" ht="15" hidden="false" customHeight="false" outlineLevel="0" collapsed="false">
      <c r="A729" s="483" t="s">
        <v>3488</v>
      </c>
      <c r="B729" s="483" t="s">
        <v>3489</v>
      </c>
      <c r="C729" s="480" t="n">
        <v>208766</v>
      </c>
      <c r="D729" s="483" t="s">
        <v>3490</v>
      </c>
      <c r="E729" s="483" t="s">
        <v>3491</v>
      </c>
    </row>
    <row r="730" customFormat="false" ht="15" hidden="false" customHeight="false" outlineLevel="0" collapsed="false">
      <c r="A730" s="483" t="s">
        <v>3492</v>
      </c>
      <c r="B730" s="483" t="s">
        <v>3493</v>
      </c>
      <c r="C730" s="480" t="n">
        <v>120059</v>
      </c>
      <c r="D730" s="483" t="s">
        <v>3494</v>
      </c>
      <c r="E730" s="483" t="s">
        <v>3495</v>
      </c>
    </row>
    <row r="731" customFormat="false" ht="15" hidden="false" customHeight="false" outlineLevel="0" collapsed="false">
      <c r="A731" s="483" t="s">
        <v>3496</v>
      </c>
      <c r="B731" s="483" t="s">
        <v>3497</v>
      </c>
      <c r="C731" s="480" t="n">
        <v>221106</v>
      </c>
      <c r="D731" s="483" t="s">
        <v>3498</v>
      </c>
      <c r="E731" s="483" t="s">
        <v>3499</v>
      </c>
    </row>
    <row r="732" customFormat="false" ht="15" hidden="false" customHeight="false" outlineLevel="0" collapsed="false">
      <c r="A732" s="483" t="s">
        <v>3500</v>
      </c>
      <c r="B732" s="483" t="s">
        <v>3501</v>
      </c>
      <c r="C732" s="480" t="n">
        <v>111766</v>
      </c>
      <c r="D732" s="483" t="s">
        <v>3502</v>
      </c>
      <c r="E732" s="483" t="s">
        <v>3503</v>
      </c>
    </row>
    <row r="733" customFormat="false" ht="15" hidden="false" customHeight="false" outlineLevel="0" collapsed="false">
      <c r="A733" s="483" t="s">
        <v>3504</v>
      </c>
      <c r="B733" s="483" t="s">
        <v>3505</v>
      </c>
      <c r="C733" s="480" t="n">
        <v>221790</v>
      </c>
      <c r="D733" s="483" t="s">
        <v>3506</v>
      </c>
      <c r="E733" s="483" t="s">
        <v>3507</v>
      </c>
    </row>
    <row r="734" customFormat="false" ht="15" hidden="false" customHeight="false" outlineLevel="0" collapsed="false">
      <c r="A734" s="483" t="s">
        <v>3508</v>
      </c>
      <c r="B734" s="483" t="s">
        <v>3509</v>
      </c>
      <c r="C734" s="480" t="n">
        <v>225029</v>
      </c>
      <c r="D734" s="483" t="s">
        <v>3510</v>
      </c>
      <c r="E734" s="483" t="s">
        <v>3511</v>
      </c>
    </row>
    <row r="735" customFormat="false" ht="15" hidden="false" customHeight="false" outlineLevel="0" collapsed="false">
      <c r="A735" s="483" t="s">
        <v>3512</v>
      </c>
      <c r="B735" s="483" t="s">
        <v>3513</v>
      </c>
      <c r="C735" s="480" t="n">
        <v>124709</v>
      </c>
      <c r="D735" s="483" t="s">
        <v>3514</v>
      </c>
      <c r="E735" s="483" t="s">
        <v>3515</v>
      </c>
    </row>
    <row r="736" customFormat="false" ht="15" hidden="false" customHeight="false" outlineLevel="0" collapsed="false">
      <c r="A736" s="483" t="s">
        <v>3516</v>
      </c>
      <c r="B736" s="483" t="s">
        <v>3517</v>
      </c>
      <c r="C736" s="480" t="n">
        <v>226981</v>
      </c>
      <c r="D736" s="483" t="s">
        <v>3518</v>
      </c>
      <c r="E736" s="483" t="s">
        <v>3519</v>
      </c>
    </row>
    <row r="737" customFormat="false" ht="15" hidden="false" customHeight="false" outlineLevel="0" collapsed="false">
      <c r="A737" s="483" t="s">
        <v>3520</v>
      </c>
      <c r="B737" s="483" t="s">
        <v>3521</v>
      </c>
      <c r="C737" s="480" t="n">
        <v>200126</v>
      </c>
      <c r="D737" s="483" t="s">
        <v>3522</v>
      </c>
      <c r="E737" s="483" t="s">
        <v>3523</v>
      </c>
    </row>
    <row r="738" customFormat="false" ht="15" hidden="false" customHeight="false" outlineLevel="0" collapsed="false">
      <c r="A738" s="483" t="s">
        <v>3524</v>
      </c>
      <c r="B738" s="483" t="s">
        <v>3525</v>
      </c>
      <c r="C738" s="480" t="n">
        <v>123391</v>
      </c>
      <c r="D738" s="483" t="s">
        <v>3526</v>
      </c>
      <c r="E738" s="483" t="s">
        <v>3527</v>
      </c>
    </row>
    <row r="739" customFormat="false" ht="15" hidden="false" customHeight="false" outlineLevel="0" collapsed="false">
      <c r="A739" s="483" t="s">
        <v>3528</v>
      </c>
      <c r="B739" s="483" t="s">
        <v>3529</v>
      </c>
      <c r="C739" s="480" t="n">
        <v>100296</v>
      </c>
      <c r="D739" s="483" t="s">
        <v>3530</v>
      </c>
      <c r="E739" s="483" t="s">
        <v>3531</v>
      </c>
    </row>
    <row r="740" customFormat="false" ht="15" hidden="false" customHeight="false" outlineLevel="0" collapsed="false">
      <c r="A740" s="483" t="s">
        <v>3532</v>
      </c>
      <c r="B740" s="483" t="s">
        <v>3533</v>
      </c>
      <c r="C740" s="480" t="n">
        <v>132256</v>
      </c>
      <c r="D740" s="483" t="s">
        <v>3534</v>
      </c>
      <c r="E740" s="483" t="s">
        <v>3535</v>
      </c>
    </row>
    <row r="741" customFormat="false" ht="15" hidden="false" customHeight="false" outlineLevel="0" collapsed="false">
      <c r="A741" s="483" t="s">
        <v>3536</v>
      </c>
      <c r="B741" s="483" t="s">
        <v>3537</v>
      </c>
      <c r="C741" s="480" t="n">
        <v>132641</v>
      </c>
      <c r="D741" s="483" t="s">
        <v>3538</v>
      </c>
      <c r="E741" s="483" t="s">
        <v>3539</v>
      </c>
    </row>
    <row r="742" customFormat="false" ht="15" hidden="false" customHeight="false" outlineLevel="0" collapsed="false">
      <c r="A742" s="483" t="s">
        <v>3540</v>
      </c>
      <c r="B742" s="483" t="s">
        <v>3541</v>
      </c>
      <c r="C742" s="480" t="n">
        <v>218533</v>
      </c>
      <c r="D742" s="483" t="s">
        <v>3542</v>
      </c>
      <c r="E742" s="483" t="s">
        <v>3543</v>
      </c>
    </row>
    <row r="743" customFormat="false" ht="15" hidden="false" customHeight="false" outlineLevel="0" collapsed="false">
      <c r="A743" s="483" t="s">
        <v>3544</v>
      </c>
      <c r="B743" s="483" t="s">
        <v>3545</v>
      </c>
      <c r="C743" s="480" t="n">
        <v>124816</v>
      </c>
      <c r="D743" s="483" t="s">
        <v>3546</v>
      </c>
      <c r="E743" s="483" t="s">
        <v>3547</v>
      </c>
    </row>
    <row r="744" customFormat="false" ht="15" hidden="false" customHeight="false" outlineLevel="0" collapsed="false">
      <c r="A744" s="483" t="s">
        <v>3548</v>
      </c>
      <c r="B744" s="483" t="s">
        <v>3549</v>
      </c>
      <c r="C744" s="480" t="n">
        <v>132234</v>
      </c>
      <c r="D744" s="483" t="s">
        <v>3550</v>
      </c>
      <c r="E744" s="483" t="s">
        <v>3551</v>
      </c>
    </row>
    <row r="745" customFormat="false" ht="15" hidden="false" customHeight="false" outlineLevel="0" collapsed="false">
      <c r="A745" s="483" t="s">
        <v>3552</v>
      </c>
      <c r="B745" s="483" t="s">
        <v>3553</v>
      </c>
      <c r="C745" s="480" t="n">
        <v>123630</v>
      </c>
      <c r="D745" s="483" t="s">
        <v>3554</v>
      </c>
      <c r="E745" s="483" t="s">
        <v>3555</v>
      </c>
    </row>
    <row r="746" customFormat="false" ht="15" hidden="false" customHeight="false" outlineLevel="0" collapsed="false">
      <c r="A746" s="483" t="s">
        <v>3556</v>
      </c>
      <c r="B746" s="483" t="s">
        <v>3557</v>
      </c>
      <c r="C746" s="480" t="n">
        <v>100298</v>
      </c>
      <c r="D746" s="483" t="s">
        <v>3558</v>
      </c>
      <c r="E746" s="483" t="s">
        <v>3559</v>
      </c>
    </row>
    <row r="747" customFormat="false" ht="15" hidden="false" customHeight="false" outlineLevel="0" collapsed="false">
      <c r="A747" s="483" t="s">
        <v>3560</v>
      </c>
      <c r="B747" s="483"/>
      <c r="C747" s="480" t="n">
        <v>104882</v>
      </c>
      <c r="D747" s="483" t="s">
        <v>3561</v>
      </c>
      <c r="E747" s="483" t="s">
        <v>3562</v>
      </c>
    </row>
    <row r="748" customFormat="false" ht="15" hidden="false" customHeight="false" outlineLevel="0" collapsed="false">
      <c r="A748" s="483" t="s">
        <v>3563</v>
      </c>
      <c r="B748" s="483" t="s">
        <v>3564</v>
      </c>
      <c r="C748" s="480" t="n">
        <v>113023</v>
      </c>
      <c r="D748" s="483" t="s">
        <v>3565</v>
      </c>
      <c r="E748" s="483" t="s">
        <v>3566</v>
      </c>
    </row>
    <row r="749" customFormat="false" ht="15" hidden="false" customHeight="false" outlineLevel="0" collapsed="false">
      <c r="A749" s="483" t="s">
        <v>3567</v>
      </c>
      <c r="B749" s="483" t="s">
        <v>3568</v>
      </c>
      <c r="C749" s="480" t="n">
        <v>132504</v>
      </c>
      <c r="D749" s="483" t="s">
        <v>3569</v>
      </c>
      <c r="E749" s="483" t="s">
        <v>3570</v>
      </c>
    </row>
    <row r="750" customFormat="false" ht="15" hidden="false" customHeight="false" outlineLevel="0" collapsed="false">
      <c r="A750" s="483" t="s">
        <v>3571</v>
      </c>
      <c r="B750" s="483" t="s">
        <v>3572</v>
      </c>
      <c r="C750" s="480" t="n">
        <v>227718</v>
      </c>
      <c r="D750" s="483" t="s">
        <v>3573</v>
      </c>
      <c r="E750" s="483" t="s">
        <v>3574</v>
      </c>
    </row>
    <row r="751" customFormat="false" ht="15" hidden="false" customHeight="false" outlineLevel="0" collapsed="false">
      <c r="A751" s="483" t="s">
        <v>3575</v>
      </c>
      <c r="B751" s="483" t="s">
        <v>3576</v>
      </c>
      <c r="C751" s="480" t="n">
        <v>108989</v>
      </c>
      <c r="D751" s="483" t="s">
        <v>3577</v>
      </c>
      <c r="E751" s="483" t="s">
        <v>3578</v>
      </c>
    </row>
    <row r="752" customFormat="false" ht="15" hidden="false" customHeight="false" outlineLevel="0" collapsed="false">
      <c r="A752" s="483" t="s">
        <v>3579</v>
      </c>
      <c r="B752" s="483" t="s">
        <v>3580</v>
      </c>
      <c r="C752" s="480" t="n">
        <v>229414</v>
      </c>
      <c r="D752" s="483" t="s">
        <v>3581</v>
      </c>
      <c r="E752" s="483" t="s">
        <v>3582</v>
      </c>
    </row>
    <row r="753" customFormat="false" ht="15" hidden="false" customHeight="false" outlineLevel="0" collapsed="false">
      <c r="A753" s="483" t="s">
        <v>3583</v>
      </c>
      <c r="B753" s="483" t="s">
        <v>3584</v>
      </c>
      <c r="C753" s="480" t="n">
        <v>208801</v>
      </c>
      <c r="D753" s="483" t="s">
        <v>3585</v>
      </c>
      <c r="E753" s="483" t="s">
        <v>3586</v>
      </c>
    </row>
    <row r="754" customFormat="false" ht="15" hidden="false" customHeight="false" outlineLevel="0" collapsed="false">
      <c r="A754" s="483" t="s">
        <v>3587</v>
      </c>
      <c r="B754" s="483" t="s">
        <v>3588</v>
      </c>
      <c r="C754" s="480" t="n">
        <v>100294</v>
      </c>
      <c r="D754" s="483" t="s">
        <v>3589</v>
      </c>
      <c r="E754" s="483" t="s">
        <v>3590</v>
      </c>
    </row>
    <row r="755" customFormat="false" ht="15" hidden="false" customHeight="false" outlineLevel="0" collapsed="false">
      <c r="A755" s="483" t="s">
        <v>3591</v>
      </c>
      <c r="B755" s="483" t="s">
        <v>3592</v>
      </c>
      <c r="C755" s="480" t="n">
        <v>102168</v>
      </c>
      <c r="D755" s="483" t="s">
        <v>3593</v>
      </c>
      <c r="E755" s="483" t="s">
        <v>3594</v>
      </c>
    </row>
    <row r="756" customFormat="false" ht="15" hidden="false" customHeight="false" outlineLevel="0" collapsed="false">
      <c r="A756" s="483" t="s">
        <v>3595</v>
      </c>
      <c r="B756" s="483" t="s">
        <v>3596</v>
      </c>
      <c r="C756" s="480" t="n">
        <v>132649</v>
      </c>
      <c r="D756" s="483" t="s">
        <v>3597</v>
      </c>
      <c r="E756" s="483" t="s">
        <v>3598</v>
      </c>
    </row>
    <row r="757" customFormat="false" ht="15" hidden="false" customHeight="false" outlineLevel="0" collapsed="false">
      <c r="A757" s="483" t="s">
        <v>3599</v>
      </c>
      <c r="B757" s="483" t="s">
        <v>3600</v>
      </c>
      <c r="C757" s="480" t="n">
        <v>132864</v>
      </c>
      <c r="D757" s="483" t="s">
        <v>3601</v>
      </c>
      <c r="E757" s="483" t="s">
        <v>3602</v>
      </c>
    </row>
    <row r="758" customFormat="false" ht="15" hidden="false" customHeight="false" outlineLevel="0" collapsed="false">
      <c r="A758" s="483" t="s">
        <v>3603</v>
      </c>
      <c r="B758" s="483" t="s">
        <v>3604</v>
      </c>
      <c r="C758" s="480" t="n">
        <v>104112</v>
      </c>
      <c r="D758" s="483" t="s">
        <v>3605</v>
      </c>
      <c r="E758" s="483" t="s">
        <v>3606</v>
      </c>
    </row>
    <row r="759" customFormat="false" ht="15" hidden="false" customHeight="false" outlineLevel="0" collapsed="false">
      <c r="A759" s="483" t="s">
        <v>3607</v>
      </c>
      <c r="B759" s="483" t="s">
        <v>3608</v>
      </c>
      <c r="C759" s="480" t="n">
        <v>241159</v>
      </c>
      <c r="D759" s="483" t="s">
        <v>3609</v>
      </c>
      <c r="E759" s="483" t="s">
        <v>3610</v>
      </c>
    </row>
    <row r="760" customFormat="false" ht="15" hidden="false" customHeight="false" outlineLevel="0" collapsed="false">
      <c r="A760" s="483" t="s">
        <v>3611</v>
      </c>
      <c r="B760" s="483" t="s">
        <v>3612</v>
      </c>
      <c r="C760" s="480" t="n">
        <v>105355</v>
      </c>
      <c r="D760" s="483" t="s">
        <v>3613</v>
      </c>
      <c r="E760" s="483" t="s">
        <v>3614</v>
      </c>
    </row>
    <row r="761" customFormat="false" ht="15" hidden="false" customHeight="false" outlineLevel="0" collapsed="false">
      <c r="A761" s="483" t="s">
        <v>3615</v>
      </c>
      <c r="B761" s="483" t="s">
        <v>3616</v>
      </c>
      <c r="C761" s="480" t="n">
        <v>100790</v>
      </c>
      <c r="D761" s="483" t="s">
        <v>3617</v>
      </c>
      <c r="E761" s="483" t="s">
        <v>3618</v>
      </c>
    </row>
    <row r="762" customFormat="false" ht="15" hidden="false" customHeight="false" outlineLevel="0" collapsed="false">
      <c r="A762" s="483" t="s">
        <v>3619</v>
      </c>
      <c r="B762" s="483" t="s">
        <v>3620</v>
      </c>
      <c r="C762" s="480" t="n">
        <v>132798</v>
      </c>
      <c r="D762" s="483" t="s">
        <v>3621</v>
      </c>
      <c r="E762" s="483" t="s">
        <v>3622</v>
      </c>
    </row>
    <row r="763" customFormat="false" ht="15" hidden="false" customHeight="false" outlineLevel="0" collapsed="false">
      <c r="A763" s="483" t="s">
        <v>3623</v>
      </c>
      <c r="B763" s="483" t="s">
        <v>3624</v>
      </c>
      <c r="C763" s="480" t="n">
        <v>124558</v>
      </c>
      <c r="D763" s="483" t="s">
        <v>3625</v>
      </c>
      <c r="E763" s="483" t="s">
        <v>3626</v>
      </c>
    </row>
    <row r="764" customFormat="false" ht="15" hidden="false" customHeight="false" outlineLevel="0" collapsed="false">
      <c r="A764" s="483" t="s">
        <v>3627</v>
      </c>
      <c r="B764" s="483" t="s">
        <v>3628</v>
      </c>
      <c r="C764" s="480" t="n">
        <v>132529</v>
      </c>
      <c r="D764" s="483" t="s">
        <v>3629</v>
      </c>
      <c r="E764" s="483" t="s">
        <v>3630</v>
      </c>
    </row>
    <row r="765" customFormat="false" ht="15" hidden="false" customHeight="false" outlineLevel="0" collapsed="false">
      <c r="A765" s="483" t="s">
        <v>3631</v>
      </c>
      <c r="B765" s="483" t="s">
        <v>3632</v>
      </c>
      <c r="C765" s="480" t="n">
        <v>213672</v>
      </c>
      <c r="D765" s="483" t="s">
        <v>3633</v>
      </c>
      <c r="E765" s="483" t="s">
        <v>3634</v>
      </c>
    </row>
    <row r="766" customFormat="false" ht="15" hidden="false" customHeight="false" outlineLevel="0" collapsed="false">
      <c r="A766" s="483" t="s">
        <v>3635</v>
      </c>
      <c r="B766" s="483"/>
      <c r="C766" s="480" t="n">
        <v>124774</v>
      </c>
      <c r="D766" s="483" t="s">
        <v>3636</v>
      </c>
      <c r="E766" s="483" t="s">
        <v>3637</v>
      </c>
    </row>
    <row r="767" customFormat="false" ht="15" hidden="false" customHeight="false" outlineLevel="0" collapsed="false">
      <c r="A767" s="483" t="s">
        <v>3638</v>
      </c>
      <c r="B767" s="483" t="s">
        <v>3639</v>
      </c>
      <c r="C767" s="480" t="n">
        <v>216369</v>
      </c>
      <c r="D767" s="483" t="s">
        <v>3640</v>
      </c>
      <c r="E767" s="483" t="s">
        <v>3641</v>
      </c>
    </row>
    <row r="768" customFormat="false" ht="15" hidden="false" customHeight="false" outlineLevel="0" collapsed="false">
      <c r="A768" s="483" t="s">
        <v>3642</v>
      </c>
      <c r="B768" s="483" t="s">
        <v>3643</v>
      </c>
      <c r="C768" s="480" t="n">
        <v>100304</v>
      </c>
      <c r="D768" s="483" t="s">
        <v>3644</v>
      </c>
      <c r="E768" s="483" t="s">
        <v>3645</v>
      </c>
    </row>
    <row r="769" customFormat="false" ht="15" hidden="false" customHeight="false" outlineLevel="0" collapsed="false">
      <c r="A769" s="483" t="s">
        <v>3646</v>
      </c>
      <c r="B769" s="483" t="s">
        <v>3647</v>
      </c>
      <c r="C769" s="480" t="n">
        <v>123385</v>
      </c>
      <c r="D769" s="483" t="s">
        <v>3648</v>
      </c>
      <c r="E769" s="483" t="s">
        <v>3649</v>
      </c>
    </row>
    <row r="770" customFormat="false" ht="15" hidden="false" customHeight="false" outlineLevel="0" collapsed="false">
      <c r="A770" s="483" t="s">
        <v>3650</v>
      </c>
      <c r="B770" s="483" t="s">
        <v>3651</v>
      </c>
      <c r="C770" s="480" t="n">
        <v>209078</v>
      </c>
      <c r="D770" s="483" t="s">
        <v>3652</v>
      </c>
      <c r="E770" s="483" t="s">
        <v>3653</v>
      </c>
    </row>
    <row r="771" customFormat="false" ht="15" hidden="false" customHeight="false" outlineLevel="0" collapsed="false">
      <c r="A771" s="483" t="s">
        <v>3654</v>
      </c>
      <c r="B771" s="483" t="s">
        <v>3655</v>
      </c>
      <c r="C771" s="480" t="n">
        <v>100307</v>
      </c>
      <c r="D771" s="483" t="s">
        <v>3656</v>
      </c>
      <c r="E771" s="483" t="s">
        <v>3657</v>
      </c>
    </row>
    <row r="772" customFormat="false" ht="15" hidden="false" customHeight="false" outlineLevel="0" collapsed="false">
      <c r="A772" s="483" t="s">
        <v>3658</v>
      </c>
      <c r="B772" s="483" t="s">
        <v>3659</v>
      </c>
      <c r="C772" s="480" t="n">
        <v>132698</v>
      </c>
      <c r="D772" s="483" t="s">
        <v>3660</v>
      </c>
      <c r="E772" s="483" t="s">
        <v>3661</v>
      </c>
    </row>
    <row r="773" customFormat="false" ht="15" hidden="false" customHeight="false" outlineLevel="0" collapsed="false">
      <c r="A773" s="483" t="s">
        <v>3662</v>
      </c>
      <c r="B773" s="483"/>
      <c r="C773" s="480" t="n">
        <v>245636</v>
      </c>
      <c r="D773" s="483" t="s">
        <v>3663</v>
      </c>
      <c r="E773" s="483" t="s">
        <v>3664</v>
      </c>
    </row>
    <row r="774" customFormat="false" ht="15" hidden="false" customHeight="false" outlineLevel="0" collapsed="false">
      <c r="A774" s="483" t="s">
        <v>3665</v>
      </c>
      <c r="B774" s="483" t="s">
        <v>3666</v>
      </c>
      <c r="C774" s="480" t="n">
        <v>113683</v>
      </c>
      <c r="D774" s="483" t="s">
        <v>3667</v>
      </c>
      <c r="E774" s="483" t="s">
        <v>3668</v>
      </c>
    </row>
    <row r="775" customFormat="false" ht="15" hidden="false" customHeight="false" outlineLevel="0" collapsed="false">
      <c r="A775" s="483" t="s">
        <v>3669</v>
      </c>
      <c r="B775" s="483" t="s">
        <v>3670</v>
      </c>
      <c r="C775" s="480" t="n">
        <v>126371</v>
      </c>
      <c r="D775" s="483" t="s">
        <v>3671</v>
      </c>
      <c r="E775" s="483" t="s">
        <v>3672</v>
      </c>
    </row>
    <row r="776" customFormat="false" ht="15" hidden="false" customHeight="false" outlineLevel="0" collapsed="false">
      <c r="A776" s="483" t="s">
        <v>3673</v>
      </c>
      <c r="B776" s="483" t="s">
        <v>3674</v>
      </c>
      <c r="C776" s="480" t="n">
        <v>100730</v>
      </c>
      <c r="D776" s="483" t="s">
        <v>3675</v>
      </c>
      <c r="E776" s="483" t="s">
        <v>3676</v>
      </c>
    </row>
    <row r="777" customFormat="false" ht="15" hidden="false" customHeight="false" outlineLevel="0" collapsed="false">
      <c r="A777" s="483" t="s">
        <v>3677</v>
      </c>
      <c r="B777" s="483" t="s">
        <v>3678</v>
      </c>
      <c r="C777" s="480" t="n">
        <v>100672</v>
      </c>
      <c r="D777" s="483" t="s">
        <v>3679</v>
      </c>
      <c r="E777" s="483" t="s">
        <v>3680</v>
      </c>
    </row>
    <row r="778" customFormat="false" ht="15" hidden="false" customHeight="false" outlineLevel="0" collapsed="false">
      <c r="A778" s="483" t="s">
        <v>3681</v>
      </c>
      <c r="B778" s="483" t="s">
        <v>3682</v>
      </c>
      <c r="C778" s="480" t="n">
        <v>130367</v>
      </c>
      <c r="D778" s="483" t="s">
        <v>3683</v>
      </c>
      <c r="E778" s="483" t="s">
        <v>3684</v>
      </c>
    </row>
    <row r="779" customFormat="false" ht="15" hidden="false" customHeight="false" outlineLevel="0" collapsed="false">
      <c r="A779" s="483" t="s">
        <v>3685</v>
      </c>
      <c r="B779" s="483" t="s">
        <v>3686</v>
      </c>
      <c r="C779" s="480" t="n">
        <v>132555</v>
      </c>
      <c r="D779" s="483" t="s">
        <v>3687</v>
      </c>
      <c r="E779" s="483" t="s">
        <v>3688</v>
      </c>
    </row>
    <row r="780" customFormat="false" ht="15" hidden="false" customHeight="false" outlineLevel="0" collapsed="false">
      <c r="A780" s="483" t="s">
        <v>3689</v>
      </c>
      <c r="B780" s="483" t="s">
        <v>3690</v>
      </c>
      <c r="C780" s="480" t="n">
        <v>131209</v>
      </c>
      <c r="D780" s="483" t="s">
        <v>3691</v>
      </c>
      <c r="E780" s="483" t="s">
        <v>3692</v>
      </c>
    </row>
    <row r="781" customFormat="false" ht="15" hidden="false" customHeight="false" outlineLevel="0" collapsed="false">
      <c r="A781" s="483" t="s">
        <v>3693</v>
      </c>
      <c r="B781" s="483" t="s">
        <v>3694</v>
      </c>
      <c r="C781" s="480" t="n">
        <v>300435</v>
      </c>
      <c r="D781" s="483" t="s">
        <v>3695</v>
      </c>
      <c r="E781" s="483" t="s">
        <v>3696</v>
      </c>
    </row>
    <row r="782" customFormat="false" ht="15" hidden="false" customHeight="false" outlineLevel="0" collapsed="false">
      <c r="A782" s="483" t="s">
        <v>3697</v>
      </c>
      <c r="B782" s="483" t="s">
        <v>3698</v>
      </c>
      <c r="C782" s="480" t="n">
        <v>216147</v>
      </c>
      <c r="D782" s="483" t="s">
        <v>3699</v>
      </c>
      <c r="E782" s="483" t="s">
        <v>3700</v>
      </c>
    </row>
    <row r="783" customFormat="false" ht="15" hidden="false" customHeight="false" outlineLevel="0" collapsed="false">
      <c r="A783" s="483" t="s">
        <v>3701</v>
      </c>
      <c r="B783" s="483" t="s">
        <v>3702</v>
      </c>
      <c r="C783" s="480" t="n">
        <v>100189</v>
      </c>
      <c r="D783" s="483" t="s">
        <v>3703</v>
      </c>
      <c r="E783" s="483" t="s">
        <v>3704</v>
      </c>
    </row>
    <row r="784" customFormat="false" ht="15" hidden="false" customHeight="false" outlineLevel="0" collapsed="false">
      <c r="A784" s="483" t="s">
        <v>3705</v>
      </c>
      <c r="B784" s="483" t="s">
        <v>3706</v>
      </c>
      <c r="C784" s="480" t="n">
        <v>220018</v>
      </c>
      <c r="D784" s="483" t="s">
        <v>3707</v>
      </c>
      <c r="E784" s="483" t="s">
        <v>3708</v>
      </c>
    </row>
    <row r="785" customFormat="false" ht="15" hidden="false" customHeight="false" outlineLevel="0" collapsed="false">
      <c r="A785" s="483" t="s">
        <v>3709</v>
      </c>
      <c r="B785" s="483" t="s">
        <v>3710</v>
      </c>
      <c r="C785" s="480" t="n">
        <v>100312</v>
      </c>
      <c r="D785" s="483" t="s">
        <v>3711</v>
      </c>
      <c r="E785" s="483" t="s">
        <v>3712</v>
      </c>
    </row>
    <row r="786" customFormat="false" ht="15" hidden="false" customHeight="false" outlineLevel="0" collapsed="false">
      <c r="A786" s="483" t="s">
        <v>3713</v>
      </c>
      <c r="B786" s="483" t="s">
        <v>3714</v>
      </c>
      <c r="C786" s="480" t="n">
        <v>200091</v>
      </c>
      <c r="D786" s="483" t="s">
        <v>3715</v>
      </c>
      <c r="E786" s="483" t="s">
        <v>3716</v>
      </c>
    </row>
    <row r="787" customFormat="false" ht="15" hidden="false" customHeight="false" outlineLevel="0" collapsed="false">
      <c r="A787" s="483" t="s">
        <v>3717</v>
      </c>
      <c r="B787" s="483" t="s">
        <v>3718</v>
      </c>
      <c r="C787" s="480" t="n">
        <v>132439</v>
      </c>
      <c r="D787" s="483" t="s">
        <v>3719</v>
      </c>
      <c r="E787" s="483" t="s">
        <v>3720</v>
      </c>
    </row>
    <row r="788" customFormat="false" ht="15" hidden="false" customHeight="false" outlineLevel="0" collapsed="false">
      <c r="A788" s="483" t="s">
        <v>3721</v>
      </c>
      <c r="B788" s="483" t="s">
        <v>3722</v>
      </c>
      <c r="C788" s="480" t="n">
        <v>132880</v>
      </c>
      <c r="D788" s="483" t="s">
        <v>3723</v>
      </c>
      <c r="E788" s="483" t="s">
        <v>3724</v>
      </c>
    </row>
    <row r="789" customFormat="false" ht="15" hidden="false" customHeight="false" outlineLevel="0" collapsed="false">
      <c r="A789" s="483" t="s">
        <v>3725</v>
      </c>
      <c r="B789" s="483" t="s">
        <v>3726</v>
      </c>
      <c r="C789" s="480" t="n">
        <v>208883</v>
      </c>
      <c r="D789" s="483" t="s">
        <v>3727</v>
      </c>
      <c r="E789" s="483" t="s">
        <v>3728</v>
      </c>
    </row>
    <row r="790" customFormat="false" ht="15" hidden="false" customHeight="false" outlineLevel="0" collapsed="false">
      <c r="A790" s="483" t="s">
        <v>3729</v>
      </c>
      <c r="B790" s="483" t="s">
        <v>3730</v>
      </c>
      <c r="C790" s="480" t="n">
        <v>200044</v>
      </c>
      <c r="D790" s="483" t="s">
        <v>3731</v>
      </c>
      <c r="E790" s="483" t="s">
        <v>3732</v>
      </c>
    </row>
    <row r="791" customFormat="false" ht="15" hidden="false" customHeight="false" outlineLevel="0" collapsed="false">
      <c r="A791" s="483" t="s">
        <v>3733</v>
      </c>
      <c r="B791" s="483" t="s">
        <v>3734</v>
      </c>
      <c r="C791" s="480" t="n">
        <v>117536</v>
      </c>
      <c r="D791" s="483" t="s">
        <v>3735</v>
      </c>
      <c r="E791" s="483" t="s">
        <v>3736</v>
      </c>
    </row>
    <row r="792" customFormat="false" ht="15" hidden="false" customHeight="false" outlineLevel="0" collapsed="false">
      <c r="A792" s="483" t="s">
        <v>3737</v>
      </c>
      <c r="B792" s="483" t="s">
        <v>3738</v>
      </c>
      <c r="C792" s="480" t="n">
        <v>130135</v>
      </c>
      <c r="D792" s="483" t="s">
        <v>3739</v>
      </c>
      <c r="E792" s="483" t="s">
        <v>3740</v>
      </c>
    </row>
    <row r="793" customFormat="false" ht="15" hidden="false" customHeight="false" outlineLevel="0" collapsed="false">
      <c r="A793" s="483" t="s">
        <v>3741</v>
      </c>
      <c r="B793" s="483" t="s">
        <v>3742</v>
      </c>
      <c r="C793" s="480" t="n">
        <v>132466</v>
      </c>
      <c r="D793" s="483" t="s">
        <v>3743</v>
      </c>
      <c r="E793" s="483" t="s">
        <v>3744</v>
      </c>
    </row>
    <row r="794" customFormat="false" ht="15" hidden="false" customHeight="false" outlineLevel="0" collapsed="false">
      <c r="A794" s="483" t="s">
        <v>3745</v>
      </c>
      <c r="B794" s="483" t="s">
        <v>3746</v>
      </c>
      <c r="C794" s="480" t="n">
        <v>124372</v>
      </c>
      <c r="D794" s="483" t="s">
        <v>3747</v>
      </c>
      <c r="E794" s="483" t="s">
        <v>3748</v>
      </c>
    </row>
    <row r="795" customFormat="false" ht="15" hidden="false" customHeight="false" outlineLevel="0" collapsed="false">
      <c r="A795" s="483" t="s">
        <v>3749</v>
      </c>
      <c r="B795" s="483" t="s">
        <v>3750</v>
      </c>
      <c r="C795" s="480" t="n">
        <v>113121</v>
      </c>
      <c r="D795" s="483" t="s">
        <v>3751</v>
      </c>
      <c r="E795" s="483" t="s">
        <v>3752</v>
      </c>
    </row>
    <row r="796" customFormat="false" ht="15" hidden="false" customHeight="false" outlineLevel="0" collapsed="false">
      <c r="A796" s="483" t="s">
        <v>3753</v>
      </c>
      <c r="B796" s="483" t="s">
        <v>3754</v>
      </c>
      <c r="C796" s="480" t="n">
        <v>242477</v>
      </c>
      <c r="D796" s="483" t="s">
        <v>3755</v>
      </c>
      <c r="E796" s="483" t="s">
        <v>3756</v>
      </c>
    </row>
    <row r="797" customFormat="false" ht="15" hidden="false" customHeight="false" outlineLevel="0" collapsed="false">
      <c r="A797" s="483" t="s">
        <v>3757</v>
      </c>
      <c r="B797" s="483" t="s">
        <v>3758</v>
      </c>
      <c r="C797" s="480" t="n">
        <v>288401</v>
      </c>
      <c r="D797" s="483" t="s">
        <v>3759</v>
      </c>
      <c r="E797" s="483" t="s">
        <v>3760</v>
      </c>
    </row>
    <row r="798" customFormat="false" ht="15" hidden="false" customHeight="false" outlineLevel="0" collapsed="false">
      <c r="A798" s="483" t="s">
        <v>3761</v>
      </c>
      <c r="B798" s="483" t="s">
        <v>3762</v>
      </c>
      <c r="C798" s="480" t="n">
        <v>220889</v>
      </c>
      <c r="D798" s="483" t="s">
        <v>3763</v>
      </c>
      <c r="E798" s="483" t="s">
        <v>3764</v>
      </c>
    </row>
    <row r="799" customFormat="false" ht="15" hidden="false" customHeight="false" outlineLevel="0" collapsed="false">
      <c r="A799" s="483" t="s">
        <v>3765</v>
      </c>
      <c r="B799" s="483" t="s">
        <v>3766</v>
      </c>
      <c r="C799" s="480" t="n">
        <v>102420</v>
      </c>
      <c r="D799" s="483" t="s">
        <v>3767</v>
      </c>
      <c r="E799" s="483" t="s">
        <v>3768</v>
      </c>
    </row>
    <row r="800" customFormat="false" ht="15" hidden="false" customHeight="false" outlineLevel="0" collapsed="false">
      <c r="A800" s="483" t="s">
        <v>3769</v>
      </c>
      <c r="B800" s="483" t="s">
        <v>3770</v>
      </c>
      <c r="C800" s="480" t="n">
        <v>100078</v>
      </c>
      <c r="D800" s="483" t="s">
        <v>3771</v>
      </c>
      <c r="E800" s="483" t="s">
        <v>3772</v>
      </c>
    </row>
    <row r="801" customFormat="false" ht="15" hidden="false" customHeight="false" outlineLevel="0" collapsed="false">
      <c r="A801" s="483" t="s">
        <v>3773</v>
      </c>
      <c r="B801" s="483" t="s">
        <v>3774</v>
      </c>
      <c r="C801" s="480" t="n">
        <v>106579</v>
      </c>
      <c r="D801" s="483" t="s">
        <v>3775</v>
      </c>
      <c r="E801" s="483" t="s">
        <v>3776</v>
      </c>
    </row>
    <row r="802" customFormat="false" ht="15" hidden="false" customHeight="false" outlineLevel="0" collapsed="false">
      <c r="A802" s="483" t="s">
        <v>3777</v>
      </c>
      <c r="B802" s="483" t="s">
        <v>3778</v>
      </c>
      <c r="C802" s="480" t="n">
        <v>100314</v>
      </c>
      <c r="D802" s="483" t="s">
        <v>3779</v>
      </c>
      <c r="E802" s="483" t="s">
        <v>3780</v>
      </c>
    </row>
    <row r="803" customFormat="false" ht="15" hidden="false" customHeight="false" outlineLevel="0" collapsed="false">
      <c r="A803" s="483" t="s">
        <v>3781</v>
      </c>
      <c r="B803" s="483"/>
      <c r="C803" s="480" t="n">
        <v>131859</v>
      </c>
      <c r="D803" s="483" t="s">
        <v>3782</v>
      </c>
      <c r="E803" s="483" t="s">
        <v>3783</v>
      </c>
    </row>
    <row r="804" customFormat="false" ht="15" hidden="false" customHeight="false" outlineLevel="0" collapsed="false">
      <c r="A804" s="483" t="s">
        <v>3784</v>
      </c>
      <c r="B804" s="483"/>
      <c r="C804" s="480" t="n">
        <v>288619</v>
      </c>
      <c r="D804" s="483" t="s">
        <v>3785</v>
      </c>
      <c r="E804" s="483" t="s">
        <v>3786</v>
      </c>
    </row>
    <row r="805" customFormat="false" ht="15" hidden="false" customHeight="false" outlineLevel="0" collapsed="false">
      <c r="A805" s="483" t="s">
        <v>3787</v>
      </c>
      <c r="B805" s="483" t="s">
        <v>3788</v>
      </c>
      <c r="C805" s="480" t="n">
        <v>200031</v>
      </c>
      <c r="D805" s="483" t="s">
        <v>3789</v>
      </c>
      <c r="E805" s="483" t="s">
        <v>3790</v>
      </c>
    </row>
    <row r="806" customFormat="false" ht="15" hidden="false" customHeight="false" outlineLevel="0" collapsed="false">
      <c r="A806" s="483" t="s">
        <v>3791</v>
      </c>
      <c r="B806" s="483" t="s">
        <v>3792</v>
      </c>
      <c r="C806" s="480" t="n">
        <v>132827</v>
      </c>
      <c r="D806" s="483" t="s">
        <v>3793</v>
      </c>
      <c r="E806" s="483" t="s">
        <v>3794</v>
      </c>
    </row>
    <row r="807" customFormat="false" ht="15" hidden="false" customHeight="false" outlineLevel="0" collapsed="false">
      <c r="A807" s="483" t="s">
        <v>3795</v>
      </c>
      <c r="B807" s="483" t="s">
        <v>3796</v>
      </c>
      <c r="C807" s="480" t="n">
        <v>132900</v>
      </c>
      <c r="D807" s="483" t="s">
        <v>3797</v>
      </c>
      <c r="E807" s="483" t="s">
        <v>3798</v>
      </c>
    </row>
    <row r="808" customFormat="false" ht="15" hidden="false" customHeight="false" outlineLevel="0" collapsed="false">
      <c r="A808" s="483" t="s">
        <v>3799</v>
      </c>
      <c r="B808" s="483" t="s">
        <v>3800</v>
      </c>
      <c r="C808" s="480" t="n">
        <v>131349</v>
      </c>
      <c r="D808" s="483" t="s">
        <v>3801</v>
      </c>
      <c r="E808" s="483" t="s">
        <v>3802</v>
      </c>
    </row>
    <row r="809" customFormat="false" ht="15" hidden="false" customHeight="false" outlineLevel="0" collapsed="false">
      <c r="A809" s="483" t="s">
        <v>3803</v>
      </c>
      <c r="B809" s="483" t="s">
        <v>3804</v>
      </c>
      <c r="C809" s="480" t="n">
        <v>124820</v>
      </c>
      <c r="D809" s="483" t="s">
        <v>3805</v>
      </c>
      <c r="E809" s="483" t="s">
        <v>3806</v>
      </c>
    </row>
    <row r="810" customFormat="false" ht="15" hidden="false" customHeight="false" outlineLevel="0" collapsed="false">
      <c r="A810" s="483" t="s">
        <v>3807</v>
      </c>
      <c r="B810" s="483" t="s">
        <v>3808</v>
      </c>
      <c r="C810" s="480" t="n">
        <v>224160</v>
      </c>
      <c r="D810" s="483" t="s">
        <v>3809</v>
      </c>
      <c r="E810" s="483" t="s">
        <v>3810</v>
      </c>
    </row>
    <row r="811" customFormat="false" ht="15" hidden="false" customHeight="false" outlineLevel="0" collapsed="false">
      <c r="A811" s="483" t="s">
        <v>3811</v>
      </c>
      <c r="B811" s="483" t="s">
        <v>3812</v>
      </c>
      <c r="C811" s="480" t="n">
        <v>301603</v>
      </c>
      <c r="D811" s="483" t="s">
        <v>3813</v>
      </c>
      <c r="E811" s="483" t="s">
        <v>3814</v>
      </c>
    </row>
    <row r="812" customFormat="false" ht="15" hidden="false" customHeight="false" outlineLevel="0" collapsed="false">
      <c r="A812" s="483" t="s">
        <v>3815</v>
      </c>
      <c r="B812" s="483" t="s">
        <v>3816</v>
      </c>
      <c r="C812" s="480" t="n">
        <v>132780</v>
      </c>
      <c r="D812" s="483" t="s">
        <v>3817</v>
      </c>
      <c r="E812" s="483" t="s">
        <v>3818</v>
      </c>
    </row>
    <row r="813" customFormat="false" ht="15" hidden="false" customHeight="false" outlineLevel="0" collapsed="false">
      <c r="A813" s="483" t="s">
        <v>3819</v>
      </c>
      <c r="B813" s="483" t="s">
        <v>3820</v>
      </c>
      <c r="C813" s="480" t="n">
        <v>131120</v>
      </c>
      <c r="D813" s="483" t="s">
        <v>3821</v>
      </c>
      <c r="E813" s="483" t="s">
        <v>3822</v>
      </c>
    </row>
    <row r="814" customFormat="false" ht="15" hidden="false" customHeight="false" outlineLevel="0" collapsed="false">
      <c r="A814" s="483" t="s">
        <v>3823</v>
      </c>
      <c r="B814" s="483"/>
      <c r="C814" s="480" t="n">
        <v>132742</v>
      </c>
      <c r="D814" s="483" t="s">
        <v>3824</v>
      </c>
      <c r="E814" s="483" t="s">
        <v>3825</v>
      </c>
    </row>
    <row r="815" customFormat="false" ht="15" hidden="false" customHeight="false" outlineLevel="0" collapsed="false">
      <c r="A815" s="483" t="s">
        <v>3826</v>
      </c>
      <c r="B815" s="483" t="s">
        <v>3827</v>
      </c>
      <c r="C815" s="480" t="n">
        <v>254493</v>
      </c>
      <c r="D815" s="483" t="s">
        <v>3828</v>
      </c>
      <c r="E815" s="483" t="s">
        <v>3829</v>
      </c>
    </row>
    <row r="816" customFormat="false" ht="15" hidden="false" customHeight="false" outlineLevel="0" collapsed="false">
      <c r="A816" s="483" t="s">
        <v>3830</v>
      </c>
      <c r="B816" s="483" t="s">
        <v>3831</v>
      </c>
      <c r="C816" s="480" t="n">
        <v>223032</v>
      </c>
      <c r="D816" s="483" t="s">
        <v>3832</v>
      </c>
      <c r="E816" s="483" t="s">
        <v>3833</v>
      </c>
    </row>
    <row r="817" customFormat="false" ht="15" hidden="false" customHeight="false" outlineLevel="0" collapsed="false">
      <c r="A817" s="483" t="s">
        <v>3834</v>
      </c>
      <c r="B817" s="483" t="s">
        <v>3835</v>
      </c>
      <c r="C817" s="480" t="n">
        <v>106590</v>
      </c>
      <c r="D817" s="483" t="s">
        <v>3836</v>
      </c>
      <c r="E817" s="483" t="s">
        <v>3837</v>
      </c>
    </row>
    <row r="818" customFormat="false" ht="15" hidden="false" customHeight="false" outlineLevel="0" collapsed="false">
      <c r="A818" s="483" t="s">
        <v>3838</v>
      </c>
      <c r="B818" s="483" t="s">
        <v>3839</v>
      </c>
      <c r="C818" s="480" t="n">
        <v>266384</v>
      </c>
      <c r="D818" s="483" t="s">
        <v>3840</v>
      </c>
      <c r="E818" s="483" t="s">
        <v>3841</v>
      </c>
    </row>
    <row r="819" customFormat="false" ht="15" hidden="false" customHeight="false" outlineLevel="0" collapsed="false">
      <c r="A819" s="483" t="s">
        <v>3842</v>
      </c>
      <c r="B819" s="483" t="s">
        <v>3843</v>
      </c>
      <c r="C819" s="480" t="n">
        <v>132808</v>
      </c>
      <c r="D819" s="483" t="s">
        <v>3844</v>
      </c>
      <c r="E819" s="483" t="s">
        <v>3845</v>
      </c>
    </row>
    <row r="820" customFormat="false" ht="15" hidden="false" customHeight="false" outlineLevel="0" collapsed="false">
      <c r="A820" s="483" t="s">
        <v>3846</v>
      </c>
      <c r="B820" s="483" t="s">
        <v>3847</v>
      </c>
      <c r="C820" s="480" t="n">
        <v>210590</v>
      </c>
      <c r="D820" s="483" t="s">
        <v>3848</v>
      </c>
      <c r="E820" s="483" t="s">
        <v>3849</v>
      </c>
    </row>
    <row r="821" customFormat="false" ht="15" hidden="false" customHeight="false" outlineLevel="0" collapsed="false">
      <c r="A821" s="483" t="s">
        <v>3850</v>
      </c>
      <c r="B821" s="483" t="s">
        <v>3851</v>
      </c>
      <c r="C821" s="480" t="n">
        <v>132522</v>
      </c>
      <c r="D821" s="483" t="s">
        <v>3852</v>
      </c>
      <c r="E821" s="483" t="s">
        <v>3853</v>
      </c>
    </row>
    <row r="822" customFormat="false" ht="15" hidden="false" customHeight="false" outlineLevel="0" collapsed="false">
      <c r="A822" s="483" t="s">
        <v>3854</v>
      </c>
      <c r="B822" s="483" t="s">
        <v>3855</v>
      </c>
      <c r="C822" s="480" t="n">
        <v>100680</v>
      </c>
      <c r="D822" s="483" t="s">
        <v>3856</v>
      </c>
      <c r="E822" s="483" t="s">
        <v>3857</v>
      </c>
    </row>
    <row r="823" customFormat="false" ht="15" hidden="false" customHeight="false" outlineLevel="0" collapsed="false">
      <c r="A823" s="483" t="s">
        <v>3858</v>
      </c>
      <c r="B823" s="483" t="s">
        <v>3859</v>
      </c>
      <c r="C823" s="480" t="n">
        <v>222264</v>
      </c>
      <c r="D823" s="483" t="s">
        <v>3860</v>
      </c>
      <c r="E823" s="483" t="s">
        <v>3861</v>
      </c>
    </row>
    <row r="824" customFormat="false" ht="15" hidden="false" customHeight="false" outlineLevel="0" collapsed="false">
      <c r="A824" s="483" t="s">
        <v>3862</v>
      </c>
      <c r="B824" s="483" t="s">
        <v>3863</v>
      </c>
      <c r="C824" s="480" t="n">
        <v>123642</v>
      </c>
      <c r="D824" s="483" t="s">
        <v>3864</v>
      </c>
      <c r="E824" s="483" t="s">
        <v>3865</v>
      </c>
    </row>
    <row r="825" customFormat="false" ht="15" hidden="false" customHeight="false" outlineLevel="0" collapsed="false">
      <c r="A825" s="483" t="s">
        <v>3866</v>
      </c>
      <c r="B825" s="483" t="s">
        <v>3867</v>
      </c>
      <c r="C825" s="480" t="n">
        <v>100331</v>
      </c>
      <c r="D825" s="483" t="s">
        <v>3868</v>
      </c>
      <c r="E825" s="483" t="s">
        <v>3869</v>
      </c>
    </row>
    <row r="826" customFormat="false" ht="15" hidden="false" customHeight="false" outlineLevel="0" collapsed="false">
      <c r="A826" s="483" t="s">
        <v>3870</v>
      </c>
      <c r="B826" s="483" t="s">
        <v>3871</v>
      </c>
      <c r="C826" s="480" t="n">
        <v>219267</v>
      </c>
      <c r="D826" s="483" t="s">
        <v>3872</v>
      </c>
      <c r="E826" s="483" t="s">
        <v>3873</v>
      </c>
    </row>
    <row r="827" customFormat="false" ht="15" hidden="false" customHeight="false" outlineLevel="0" collapsed="false">
      <c r="A827" s="483" t="s">
        <v>3874</v>
      </c>
      <c r="B827" s="483" t="s">
        <v>3875</v>
      </c>
      <c r="C827" s="480" t="n">
        <v>100302</v>
      </c>
      <c r="D827" s="483" t="s">
        <v>3876</v>
      </c>
      <c r="E827" s="483" t="s">
        <v>3877</v>
      </c>
    </row>
    <row r="828" customFormat="false" ht="15" hidden="false" customHeight="false" outlineLevel="0" collapsed="false">
      <c r="A828" s="483" t="s">
        <v>3878</v>
      </c>
      <c r="B828" s="483" t="s">
        <v>3879</v>
      </c>
      <c r="C828" s="480" t="n">
        <v>113519</v>
      </c>
      <c r="D828" s="483" t="s">
        <v>3880</v>
      </c>
      <c r="E828" s="483" t="s">
        <v>3881</v>
      </c>
    </row>
    <row r="829" customFormat="false" ht="15" hidden="false" customHeight="false" outlineLevel="0" collapsed="false">
      <c r="A829" s="483" t="s">
        <v>3882</v>
      </c>
      <c r="B829" s="483"/>
      <c r="C829" s="480" t="n">
        <v>100333</v>
      </c>
      <c r="D829" s="483" t="s">
        <v>3883</v>
      </c>
      <c r="E829" s="483" t="s">
        <v>3884</v>
      </c>
    </row>
    <row r="830" customFormat="false" ht="15" hidden="false" customHeight="false" outlineLevel="0" collapsed="false">
      <c r="A830" s="483" t="s">
        <v>3885</v>
      </c>
      <c r="B830" s="483" t="s">
        <v>3886</v>
      </c>
      <c r="C830" s="480" t="n">
        <v>123648</v>
      </c>
      <c r="D830" s="483" t="s">
        <v>3887</v>
      </c>
      <c r="E830" s="483" t="s">
        <v>3888</v>
      </c>
    </row>
    <row r="831" customFormat="false" ht="15" hidden="false" customHeight="false" outlineLevel="0" collapsed="false">
      <c r="A831" s="483" t="s">
        <v>3889</v>
      </c>
      <c r="B831" s="483" t="s">
        <v>3890</v>
      </c>
      <c r="C831" s="480" t="n">
        <v>132366</v>
      </c>
      <c r="D831" s="483" t="s">
        <v>3891</v>
      </c>
      <c r="E831" s="483" t="s">
        <v>3892</v>
      </c>
    </row>
    <row r="832" customFormat="false" ht="15" hidden="false" customHeight="false" outlineLevel="0" collapsed="false">
      <c r="A832" s="483" t="s">
        <v>3893</v>
      </c>
      <c r="B832" s="483" t="s">
        <v>3894</v>
      </c>
      <c r="C832" s="480" t="n">
        <v>217757</v>
      </c>
      <c r="D832" s="483" t="s">
        <v>3895</v>
      </c>
      <c r="E832" s="483" t="s">
        <v>3896</v>
      </c>
    </row>
    <row r="833" customFormat="false" ht="15" hidden="false" customHeight="false" outlineLevel="0" collapsed="false">
      <c r="A833" s="483" t="s">
        <v>3897</v>
      </c>
      <c r="B833" s="483" t="s">
        <v>3898</v>
      </c>
      <c r="C833" s="480" t="n">
        <v>200094</v>
      </c>
      <c r="D833" s="483" t="s">
        <v>3899</v>
      </c>
      <c r="E833" s="483" t="s">
        <v>3900</v>
      </c>
    </row>
    <row r="834" customFormat="false" ht="15" hidden="false" customHeight="false" outlineLevel="0" collapsed="false">
      <c r="A834" s="483" t="s">
        <v>3901</v>
      </c>
      <c r="B834" s="483" t="s">
        <v>3902</v>
      </c>
      <c r="C834" s="480" t="n">
        <v>132486</v>
      </c>
      <c r="D834" s="483" t="s">
        <v>3903</v>
      </c>
      <c r="E834" s="483" t="s">
        <v>3904</v>
      </c>
    </row>
    <row r="835" customFormat="false" ht="15" hidden="false" customHeight="false" outlineLevel="0" collapsed="false">
      <c r="A835" s="483" t="s">
        <v>3905</v>
      </c>
      <c r="B835" s="483"/>
      <c r="C835" s="480" t="n">
        <v>220066</v>
      </c>
      <c r="D835" s="483" t="s">
        <v>3906</v>
      </c>
      <c r="E835" s="483" t="s">
        <v>3907</v>
      </c>
    </row>
    <row r="836" customFormat="false" ht="15" hidden="false" customHeight="false" outlineLevel="0" collapsed="false">
      <c r="A836" s="483" t="s">
        <v>3908</v>
      </c>
      <c r="B836" s="483" t="s">
        <v>3909</v>
      </c>
      <c r="C836" s="480" t="n">
        <v>131768</v>
      </c>
      <c r="D836" s="483" t="s">
        <v>3910</v>
      </c>
      <c r="E836" s="483" t="s">
        <v>3911</v>
      </c>
    </row>
    <row r="837" customFormat="false" ht="15" hidden="false" customHeight="false" outlineLevel="0" collapsed="false">
      <c r="A837" s="483" t="s">
        <v>3912</v>
      </c>
      <c r="B837" s="483" t="s">
        <v>3913</v>
      </c>
      <c r="C837" s="480" t="n">
        <v>211337</v>
      </c>
      <c r="D837" s="483" t="s">
        <v>3914</v>
      </c>
      <c r="E837" s="483" t="s">
        <v>3915</v>
      </c>
    </row>
    <row r="838" customFormat="false" ht="15" hidden="false" customHeight="false" outlineLevel="0" collapsed="false">
      <c r="A838" s="483" t="s">
        <v>3916</v>
      </c>
      <c r="B838" s="483" t="s">
        <v>3917</v>
      </c>
      <c r="C838" s="480" t="n">
        <v>124051</v>
      </c>
      <c r="D838" s="483" t="s">
        <v>3918</v>
      </c>
      <c r="E838" s="483" t="s">
        <v>3919</v>
      </c>
    </row>
    <row r="839" customFormat="false" ht="15" hidden="false" customHeight="false" outlineLevel="0" collapsed="false">
      <c r="A839" s="483" t="s">
        <v>3920</v>
      </c>
      <c r="B839" s="483" t="s">
        <v>3921</v>
      </c>
      <c r="C839" s="480" t="n">
        <v>124000</v>
      </c>
      <c r="D839" s="483" t="s">
        <v>3922</v>
      </c>
      <c r="E839" s="483" t="s">
        <v>3923</v>
      </c>
    </row>
    <row r="840" customFormat="false" ht="15" hidden="false" customHeight="false" outlineLevel="0" collapsed="false">
      <c r="A840" s="483" t="s">
        <v>3924</v>
      </c>
      <c r="B840" s="483" t="s">
        <v>3925</v>
      </c>
      <c r="C840" s="480" t="n">
        <v>132810</v>
      </c>
      <c r="D840" s="483" t="s">
        <v>3926</v>
      </c>
      <c r="E840" s="483" t="s">
        <v>3927</v>
      </c>
    </row>
    <row r="841" customFormat="false" ht="15" hidden="false" customHeight="false" outlineLevel="0" collapsed="false">
      <c r="A841" s="483" t="s">
        <v>3928</v>
      </c>
      <c r="B841" s="483" t="s">
        <v>3929</v>
      </c>
      <c r="C841" s="480" t="n">
        <v>132898</v>
      </c>
      <c r="D841" s="483" t="s">
        <v>3930</v>
      </c>
      <c r="E841" s="483" t="s">
        <v>3931</v>
      </c>
    </row>
    <row r="842" customFormat="false" ht="15" hidden="false" customHeight="false" outlineLevel="0" collapsed="false">
      <c r="A842" s="483" t="s">
        <v>3932</v>
      </c>
      <c r="B842" s="483" t="s">
        <v>3933</v>
      </c>
      <c r="C842" s="480" t="n">
        <v>252076</v>
      </c>
      <c r="D842" s="483" t="s">
        <v>3934</v>
      </c>
      <c r="E842" s="483" t="s">
        <v>3935</v>
      </c>
    </row>
    <row r="843" customFormat="false" ht="15" hidden="false" customHeight="false" outlineLevel="0" collapsed="false">
      <c r="A843" s="483" t="s">
        <v>3936</v>
      </c>
      <c r="B843" s="483" t="s">
        <v>3937</v>
      </c>
      <c r="C843" s="480" t="n">
        <v>122205</v>
      </c>
      <c r="D843" s="483" t="s">
        <v>3938</v>
      </c>
      <c r="E843" s="483" t="s">
        <v>3939</v>
      </c>
    </row>
    <row r="844" customFormat="false" ht="15" hidden="false" customHeight="false" outlineLevel="0" collapsed="false">
      <c r="A844" s="483" t="s">
        <v>3940</v>
      </c>
      <c r="B844" s="483" t="s">
        <v>3941</v>
      </c>
      <c r="C844" s="480" t="n">
        <v>106022</v>
      </c>
      <c r="D844" s="483" t="s">
        <v>3942</v>
      </c>
      <c r="E844" s="483" t="s">
        <v>3943</v>
      </c>
    </row>
    <row r="845" customFormat="false" ht="15" hidden="false" customHeight="false" outlineLevel="0" collapsed="false">
      <c r="A845" s="483" t="s">
        <v>3944</v>
      </c>
      <c r="B845" s="483" t="s">
        <v>3945</v>
      </c>
      <c r="C845" s="480" t="n">
        <v>273894</v>
      </c>
      <c r="D845" s="483" t="s">
        <v>3946</v>
      </c>
      <c r="E845" s="483" t="s">
        <v>3947</v>
      </c>
    </row>
    <row r="846" customFormat="false" ht="15" hidden="false" customHeight="false" outlineLevel="0" collapsed="false">
      <c r="A846" s="483" t="s">
        <v>3948</v>
      </c>
      <c r="B846" s="483" t="s">
        <v>3949</v>
      </c>
      <c r="C846" s="480" t="n">
        <v>252077</v>
      </c>
      <c r="D846" s="483" t="s">
        <v>3950</v>
      </c>
      <c r="E846" s="483" t="s">
        <v>3951</v>
      </c>
    </row>
    <row r="847" customFormat="false" ht="15" hidden="false" customHeight="false" outlineLevel="0" collapsed="false">
      <c r="A847" s="483" t="s">
        <v>3952</v>
      </c>
      <c r="B847" s="483" t="s">
        <v>3953</v>
      </c>
      <c r="C847" s="480" t="n">
        <v>123539</v>
      </c>
      <c r="D847" s="483" t="s">
        <v>3954</v>
      </c>
      <c r="E847" s="483" t="s">
        <v>3955</v>
      </c>
    </row>
    <row r="848" customFormat="false" ht="15" hidden="false" customHeight="false" outlineLevel="0" collapsed="false">
      <c r="A848" s="483" t="s">
        <v>3956</v>
      </c>
      <c r="B848" s="483" t="s">
        <v>3957</v>
      </c>
      <c r="C848" s="480" t="n">
        <v>213838</v>
      </c>
      <c r="D848" s="483" t="s">
        <v>3958</v>
      </c>
      <c r="E848" s="483" t="s">
        <v>3959</v>
      </c>
    </row>
    <row r="849" customFormat="false" ht="15" hidden="false" customHeight="false" outlineLevel="0" collapsed="false">
      <c r="A849" s="483" t="s">
        <v>3960</v>
      </c>
      <c r="B849" s="483" t="s">
        <v>3961</v>
      </c>
      <c r="C849" s="480" t="n">
        <v>284650</v>
      </c>
      <c r="D849" s="483" t="s">
        <v>3962</v>
      </c>
      <c r="E849" s="483" t="s">
        <v>3963</v>
      </c>
    </row>
    <row r="850" customFormat="false" ht="15" hidden="false" customHeight="false" outlineLevel="0" collapsed="false">
      <c r="A850" s="483" t="s">
        <v>3964</v>
      </c>
      <c r="B850" s="483" t="s">
        <v>3965</v>
      </c>
      <c r="C850" s="480" t="n">
        <v>132748</v>
      </c>
      <c r="D850" s="483" t="s">
        <v>3966</v>
      </c>
      <c r="E850" s="483" t="s">
        <v>3967</v>
      </c>
    </row>
    <row r="851" customFormat="false" ht="15" hidden="false" customHeight="false" outlineLevel="0" collapsed="false">
      <c r="A851" s="483" t="s">
        <v>3968</v>
      </c>
      <c r="B851" s="483" t="s">
        <v>3969</v>
      </c>
      <c r="C851" s="480" t="n">
        <v>216564</v>
      </c>
      <c r="D851" s="483" t="s">
        <v>3970</v>
      </c>
      <c r="E851" s="483" t="s">
        <v>3971</v>
      </c>
    </row>
    <row r="852" customFormat="false" ht="15" hidden="false" customHeight="false" outlineLevel="0" collapsed="false">
      <c r="A852" s="483" t="s">
        <v>3972</v>
      </c>
      <c r="B852" s="483" t="s">
        <v>3973</v>
      </c>
      <c r="C852" s="480" t="n">
        <v>100338</v>
      </c>
      <c r="D852" s="483" t="s">
        <v>3974</v>
      </c>
      <c r="E852" s="483" t="s">
        <v>3975</v>
      </c>
    </row>
    <row r="853" customFormat="false" ht="15" hidden="false" customHeight="false" outlineLevel="0" collapsed="false">
      <c r="A853" s="483" t="s">
        <v>3976</v>
      </c>
      <c r="B853" s="483" t="s">
        <v>3977</v>
      </c>
      <c r="C853" s="480" t="n">
        <v>130117</v>
      </c>
      <c r="D853" s="483" t="s">
        <v>3978</v>
      </c>
      <c r="E853" s="483" t="s">
        <v>3979</v>
      </c>
    </row>
    <row r="854" customFormat="false" ht="15" hidden="false" customHeight="false" outlineLevel="0" collapsed="false">
      <c r="A854" s="483" t="s">
        <v>3980</v>
      </c>
      <c r="B854" s="483" t="s">
        <v>3981</v>
      </c>
      <c r="C854" s="480" t="n">
        <v>100126</v>
      </c>
      <c r="D854" s="483" t="s">
        <v>3982</v>
      </c>
      <c r="E854" s="483" t="s">
        <v>3983</v>
      </c>
    </row>
    <row r="855" customFormat="false" ht="15" hidden="false" customHeight="false" outlineLevel="0" collapsed="false">
      <c r="A855" s="483" t="s">
        <v>3984</v>
      </c>
      <c r="B855" s="483" t="s">
        <v>3985</v>
      </c>
      <c r="C855" s="480" t="n">
        <v>100459</v>
      </c>
      <c r="D855" s="483" t="s">
        <v>3986</v>
      </c>
      <c r="E855" s="483" t="s">
        <v>3987</v>
      </c>
    </row>
    <row r="856" customFormat="false" ht="15" hidden="false" customHeight="false" outlineLevel="0" collapsed="false">
      <c r="A856" s="483" t="s">
        <v>3988</v>
      </c>
      <c r="B856" s="483" t="s">
        <v>3989</v>
      </c>
      <c r="C856" s="480" t="n">
        <v>236038</v>
      </c>
      <c r="D856" s="483" t="s">
        <v>3990</v>
      </c>
      <c r="E856" s="483" t="s">
        <v>3991</v>
      </c>
    </row>
    <row r="857" customFormat="false" ht="15" hidden="false" customHeight="false" outlineLevel="0" collapsed="false">
      <c r="A857" s="483" t="s">
        <v>3992</v>
      </c>
      <c r="B857" s="483" t="s">
        <v>3993</v>
      </c>
      <c r="C857" s="480" t="n">
        <v>284184</v>
      </c>
      <c r="D857" s="483" t="s">
        <v>3994</v>
      </c>
      <c r="E857" s="483" t="s">
        <v>3995</v>
      </c>
    </row>
    <row r="858" customFormat="false" ht="15" hidden="false" customHeight="false" outlineLevel="0" collapsed="false">
      <c r="A858" s="483" t="s">
        <v>3996</v>
      </c>
      <c r="B858" s="483" t="s">
        <v>3997</v>
      </c>
      <c r="C858" s="480" t="n">
        <v>220532</v>
      </c>
      <c r="D858" s="483" t="s">
        <v>3998</v>
      </c>
      <c r="E858" s="483" t="s">
        <v>3999</v>
      </c>
    </row>
    <row r="859" customFormat="false" ht="15" hidden="false" customHeight="false" outlineLevel="0" collapsed="false">
      <c r="A859" s="483" t="s">
        <v>4000</v>
      </c>
      <c r="B859" s="483" t="s">
        <v>4001</v>
      </c>
      <c r="C859" s="480" t="n">
        <v>132524</v>
      </c>
      <c r="D859" s="483" t="s">
        <v>4002</v>
      </c>
      <c r="E859" s="483" t="s">
        <v>4003</v>
      </c>
    </row>
    <row r="860" customFormat="false" ht="15" hidden="false" customHeight="false" outlineLevel="0" collapsed="false">
      <c r="A860" s="483" t="s">
        <v>4004</v>
      </c>
      <c r="B860" s="483"/>
      <c r="C860" s="480" t="n">
        <v>244937</v>
      </c>
      <c r="D860" s="483" t="s">
        <v>4005</v>
      </c>
      <c r="E860" s="483" t="s">
        <v>4006</v>
      </c>
    </row>
    <row r="861" customFormat="false" ht="15" hidden="false" customHeight="false" outlineLevel="0" collapsed="false">
      <c r="A861" s="483" t="s">
        <v>4007</v>
      </c>
      <c r="B861" s="483" t="s">
        <v>4008</v>
      </c>
      <c r="C861" s="480" t="n">
        <v>106852</v>
      </c>
      <c r="D861" s="483" t="s">
        <v>4009</v>
      </c>
      <c r="E861" s="483" t="s">
        <v>4010</v>
      </c>
    </row>
    <row r="862" customFormat="false" ht="15" hidden="false" customHeight="false" outlineLevel="0" collapsed="false">
      <c r="A862" s="483" t="s">
        <v>4011</v>
      </c>
      <c r="B862" s="483" t="s">
        <v>4012</v>
      </c>
      <c r="C862" s="480" t="n">
        <v>106618</v>
      </c>
      <c r="D862" s="483" t="s">
        <v>4013</v>
      </c>
      <c r="E862" s="483" t="s">
        <v>4014</v>
      </c>
    </row>
    <row r="863" customFormat="false" ht="15" hidden="false" customHeight="false" outlineLevel="0" collapsed="false">
      <c r="A863" s="483" t="s">
        <v>4015</v>
      </c>
      <c r="B863" s="483" t="s">
        <v>4016</v>
      </c>
      <c r="C863" s="480" t="n">
        <v>132461</v>
      </c>
      <c r="D863" s="483" t="s">
        <v>4017</v>
      </c>
      <c r="E863" s="483" t="s">
        <v>4018</v>
      </c>
    </row>
    <row r="864" customFormat="false" ht="15" hidden="false" customHeight="false" outlineLevel="0" collapsed="false">
      <c r="A864" s="483" t="s">
        <v>4019</v>
      </c>
      <c r="B864" s="483" t="s">
        <v>4020</v>
      </c>
      <c r="C864" s="480" t="n">
        <v>132891</v>
      </c>
      <c r="D864" s="483" t="s">
        <v>4021</v>
      </c>
      <c r="E864" s="483" t="s">
        <v>4022</v>
      </c>
    </row>
    <row r="865" customFormat="false" ht="15" hidden="false" customHeight="false" outlineLevel="0" collapsed="false">
      <c r="A865" s="483" t="s">
        <v>4023</v>
      </c>
      <c r="B865" s="483" t="s">
        <v>4024</v>
      </c>
      <c r="C865" s="480" t="n">
        <v>132689</v>
      </c>
      <c r="D865" s="483" t="s">
        <v>4025</v>
      </c>
      <c r="E865" s="483" t="s">
        <v>4026</v>
      </c>
    </row>
    <row r="866" customFormat="false" ht="15" hidden="false" customHeight="false" outlineLevel="0" collapsed="false">
      <c r="A866" s="483" t="s">
        <v>4027</v>
      </c>
      <c r="B866" s="483" t="s">
        <v>4028</v>
      </c>
      <c r="C866" s="480" t="n">
        <v>267389</v>
      </c>
      <c r="D866" s="483" t="s">
        <v>4029</v>
      </c>
      <c r="E866" s="483" t="s">
        <v>4030</v>
      </c>
    </row>
    <row r="867" customFormat="false" ht="15" hidden="false" customHeight="false" outlineLevel="0" collapsed="false">
      <c r="A867" s="483" t="s">
        <v>4031</v>
      </c>
      <c r="B867" s="483" t="s">
        <v>4032</v>
      </c>
      <c r="C867" s="480" t="n">
        <v>223021</v>
      </c>
      <c r="D867" s="483" t="s">
        <v>4033</v>
      </c>
      <c r="E867" s="483" t="s">
        <v>4034</v>
      </c>
    </row>
    <row r="868" customFormat="false" ht="15" hidden="false" customHeight="false" outlineLevel="0" collapsed="false">
      <c r="A868" s="483" t="s">
        <v>4035</v>
      </c>
      <c r="B868" s="483"/>
      <c r="C868" s="480" t="n">
        <v>219575</v>
      </c>
      <c r="D868" s="483" t="s">
        <v>4036</v>
      </c>
      <c r="E868" s="483" t="s">
        <v>4037</v>
      </c>
    </row>
    <row r="869" customFormat="false" ht="15" hidden="false" customHeight="false" outlineLevel="0" collapsed="false">
      <c r="A869" s="483" t="s">
        <v>4038</v>
      </c>
      <c r="B869" s="483" t="s">
        <v>4039</v>
      </c>
      <c r="C869" s="480" t="n">
        <v>132735</v>
      </c>
      <c r="D869" s="483" t="s">
        <v>4040</v>
      </c>
      <c r="E869" s="483" t="s">
        <v>4041</v>
      </c>
    </row>
    <row r="870" customFormat="false" ht="15" hidden="false" customHeight="false" outlineLevel="0" collapsed="false">
      <c r="A870" s="483" t="s">
        <v>4042</v>
      </c>
      <c r="B870" s="483"/>
      <c r="C870" s="480" t="n">
        <v>120073</v>
      </c>
      <c r="D870" s="483" t="s">
        <v>4043</v>
      </c>
      <c r="E870" s="483" t="s">
        <v>4044</v>
      </c>
    </row>
    <row r="871" customFormat="false" ht="15" hidden="false" customHeight="false" outlineLevel="0" collapsed="false">
      <c r="A871" s="483" t="s">
        <v>4045</v>
      </c>
      <c r="B871" s="483"/>
      <c r="C871" s="480" t="n">
        <v>131273</v>
      </c>
      <c r="D871" s="483" t="s">
        <v>4046</v>
      </c>
      <c r="E871" s="483" t="s">
        <v>4047</v>
      </c>
    </row>
    <row r="872" customFormat="false" ht="15" hidden="false" customHeight="false" outlineLevel="0" collapsed="false">
      <c r="A872" s="483" t="s">
        <v>4048</v>
      </c>
      <c r="B872" s="483" t="s">
        <v>4049</v>
      </c>
      <c r="C872" s="480" t="n">
        <v>132497</v>
      </c>
      <c r="D872" s="483" t="s">
        <v>4050</v>
      </c>
      <c r="E872" s="483" t="s">
        <v>4051</v>
      </c>
    </row>
    <row r="873" customFormat="false" ht="15" hidden="false" customHeight="false" outlineLevel="0" collapsed="false">
      <c r="A873" s="483" t="s">
        <v>4052</v>
      </c>
      <c r="B873" s="483"/>
      <c r="C873" s="480" t="n">
        <v>280526</v>
      </c>
      <c r="D873" s="483" t="s">
        <v>4053</v>
      </c>
      <c r="E873" s="483" t="s">
        <v>4054</v>
      </c>
    </row>
    <row r="874" customFormat="false" ht="15" hidden="false" customHeight="false" outlineLevel="0" collapsed="false">
      <c r="A874" s="483" t="s">
        <v>4055</v>
      </c>
      <c r="B874" s="483"/>
      <c r="C874" s="480" t="n">
        <v>114316</v>
      </c>
      <c r="D874" s="483" t="s">
        <v>4056</v>
      </c>
      <c r="E874" s="483" t="s">
        <v>4057</v>
      </c>
    </row>
    <row r="875" customFormat="false" ht="15" hidden="false" customHeight="false" outlineLevel="0" collapsed="false">
      <c r="A875" s="483" t="s">
        <v>4058</v>
      </c>
      <c r="B875" s="483" t="s">
        <v>4059</v>
      </c>
      <c r="C875" s="480" t="n">
        <v>209037</v>
      </c>
      <c r="D875" s="483" t="s">
        <v>4060</v>
      </c>
      <c r="E875" s="483" t="s">
        <v>4061</v>
      </c>
    </row>
    <row r="876" customFormat="false" ht="15" hidden="false" customHeight="false" outlineLevel="0" collapsed="false">
      <c r="A876" s="483" t="s">
        <v>4062</v>
      </c>
      <c r="B876" s="483" t="s">
        <v>4063</v>
      </c>
      <c r="C876" s="480" t="n">
        <v>209038</v>
      </c>
      <c r="D876" s="483" t="s">
        <v>4064</v>
      </c>
      <c r="E876" s="483" t="s">
        <v>4065</v>
      </c>
    </row>
    <row r="877" customFormat="false" ht="15" hidden="false" customHeight="false" outlineLevel="0" collapsed="false">
      <c r="A877" s="483" t="s">
        <v>4066</v>
      </c>
      <c r="B877" s="483" t="s">
        <v>4067</v>
      </c>
      <c r="C877" s="480" t="n">
        <v>100339</v>
      </c>
      <c r="D877" s="483" t="s">
        <v>4068</v>
      </c>
      <c r="E877" s="483" t="s">
        <v>4069</v>
      </c>
    </row>
    <row r="878" customFormat="false" ht="15" hidden="false" customHeight="false" outlineLevel="0" collapsed="false">
      <c r="A878" s="483" t="s">
        <v>4070</v>
      </c>
      <c r="B878" s="483" t="s">
        <v>4071</v>
      </c>
      <c r="C878" s="480" t="n">
        <v>132503</v>
      </c>
      <c r="D878" s="483" t="s">
        <v>4072</v>
      </c>
      <c r="E878" s="483" t="s">
        <v>4073</v>
      </c>
    </row>
    <row r="879" customFormat="false" ht="15" hidden="false" customHeight="false" outlineLevel="0" collapsed="false">
      <c r="A879" s="483" t="s">
        <v>4074</v>
      </c>
      <c r="B879" s="483" t="s">
        <v>4075</v>
      </c>
      <c r="C879" s="480" t="n">
        <v>131500</v>
      </c>
      <c r="D879" s="483" t="s">
        <v>4076</v>
      </c>
      <c r="E879" s="483" t="s">
        <v>4077</v>
      </c>
    </row>
    <row r="880" customFormat="false" ht="15" hidden="false" customHeight="false" outlineLevel="0" collapsed="false">
      <c r="A880" s="483" t="s">
        <v>4078</v>
      </c>
      <c r="B880" s="483" t="s">
        <v>4079</v>
      </c>
      <c r="C880" s="480" t="n">
        <v>117522</v>
      </c>
      <c r="D880" s="483" t="s">
        <v>4080</v>
      </c>
      <c r="E880" s="483" t="s">
        <v>4081</v>
      </c>
    </row>
    <row r="881" customFormat="false" ht="15" hidden="false" customHeight="false" outlineLevel="0" collapsed="false">
      <c r="A881" s="483" t="s">
        <v>4082</v>
      </c>
      <c r="B881" s="483" t="s">
        <v>4083</v>
      </c>
      <c r="C881" s="480" t="n">
        <v>100355</v>
      </c>
      <c r="D881" s="483" t="s">
        <v>4084</v>
      </c>
      <c r="E881" s="483" t="s">
        <v>4085</v>
      </c>
    </row>
    <row r="882" customFormat="false" ht="15" hidden="false" customHeight="false" outlineLevel="0" collapsed="false">
      <c r="A882" s="483" t="s">
        <v>4086</v>
      </c>
      <c r="B882" s="483" t="s">
        <v>4087</v>
      </c>
      <c r="C882" s="480" t="n">
        <v>124037</v>
      </c>
      <c r="D882" s="483" t="s">
        <v>4088</v>
      </c>
      <c r="E882" s="483" t="s">
        <v>4089</v>
      </c>
    </row>
    <row r="883" customFormat="false" ht="15" hidden="false" customHeight="false" outlineLevel="0" collapsed="false">
      <c r="A883" s="483" t="s">
        <v>4090</v>
      </c>
      <c r="B883" s="483" t="s">
        <v>4091</v>
      </c>
      <c r="C883" s="480" t="n">
        <v>132369</v>
      </c>
      <c r="D883" s="483" t="s">
        <v>4092</v>
      </c>
      <c r="E883" s="483" t="s">
        <v>4093</v>
      </c>
    </row>
    <row r="884" customFormat="false" ht="15" hidden="false" customHeight="false" outlineLevel="0" collapsed="false">
      <c r="A884" s="483" t="s">
        <v>4094</v>
      </c>
      <c r="B884" s="483" t="s">
        <v>4095</v>
      </c>
      <c r="C884" s="480" t="n">
        <v>132370</v>
      </c>
      <c r="D884" s="483" t="s">
        <v>4096</v>
      </c>
      <c r="E884" s="483" t="s">
        <v>4097</v>
      </c>
    </row>
    <row r="885" customFormat="false" ht="15" hidden="false" customHeight="false" outlineLevel="0" collapsed="false">
      <c r="A885" s="483" t="s">
        <v>4098</v>
      </c>
      <c r="B885" s="483" t="s">
        <v>4099</v>
      </c>
      <c r="C885" s="480" t="n">
        <v>132527</v>
      </c>
      <c r="D885" s="483" t="s">
        <v>4100</v>
      </c>
      <c r="E885" s="483" t="s">
        <v>4101</v>
      </c>
    </row>
    <row r="886" customFormat="false" ht="15" hidden="false" customHeight="false" outlineLevel="0" collapsed="false">
      <c r="A886" s="483" t="s">
        <v>4102</v>
      </c>
      <c r="B886" s="483" t="s">
        <v>4103</v>
      </c>
      <c r="C886" s="480" t="n">
        <v>209058</v>
      </c>
      <c r="D886" s="483" t="s">
        <v>4104</v>
      </c>
      <c r="E886" s="483" t="s">
        <v>4105</v>
      </c>
    </row>
    <row r="887" customFormat="false" ht="15" hidden="false" customHeight="false" outlineLevel="0" collapsed="false">
      <c r="A887" s="483" t="s">
        <v>4106</v>
      </c>
      <c r="B887" s="483" t="s">
        <v>4107</v>
      </c>
      <c r="C887" s="480" t="n">
        <v>132661</v>
      </c>
      <c r="D887" s="483" t="s">
        <v>4108</v>
      </c>
      <c r="E887" s="483" t="s">
        <v>4109</v>
      </c>
    </row>
    <row r="888" customFormat="false" ht="15" hidden="false" customHeight="false" outlineLevel="0" collapsed="false">
      <c r="A888" s="483" t="s">
        <v>4110</v>
      </c>
      <c r="B888" s="483" t="s">
        <v>4111</v>
      </c>
      <c r="C888" s="480" t="n">
        <v>205383</v>
      </c>
      <c r="D888" s="483" t="s">
        <v>4112</v>
      </c>
      <c r="E888" s="483" t="s">
        <v>4113</v>
      </c>
    </row>
    <row r="889" customFormat="false" ht="15" hidden="false" customHeight="false" outlineLevel="0" collapsed="false">
      <c r="A889" s="483" t="s">
        <v>4114</v>
      </c>
      <c r="B889" s="483" t="s">
        <v>4115</v>
      </c>
      <c r="C889" s="480" t="n">
        <v>105800</v>
      </c>
      <c r="D889" s="483" t="s">
        <v>4116</v>
      </c>
      <c r="E889" s="483" t="s">
        <v>4117</v>
      </c>
    </row>
    <row r="890" customFormat="false" ht="15" hidden="false" customHeight="false" outlineLevel="0" collapsed="false">
      <c r="A890" s="483" t="s">
        <v>4118</v>
      </c>
      <c r="B890" s="483" t="s">
        <v>4119</v>
      </c>
      <c r="C890" s="480" t="n">
        <v>124230</v>
      </c>
      <c r="D890" s="483" t="s">
        <v>4120</v>
      </c>
      <c r="E890" s="483" t="s">
        <v>4121</v>
      </c>
    </row>
    <row r="891" customFormat="false" ht="15" hidden="false" customHeight="false" outlineLevel="0" collapsed="false">
      <c r="A891" s="483" t="s">
        <v>4122</v>
      </c>
      <c r="B891" s="483" t="s">
        <v>4123</v>
      </c>
      <c r="C891" s="480" t="n">
        <v>303157</v>
      </c>
      <c r="D891" s="483" t="s">
        <v>4124</v>
      </c>
      <c r="E891" s="483" t="s">
        <v>4125</v>
      </c>
    </row>
    <row r="892" customFormat="false" ht="15" hidden="false" customHeight="false" outlineLevel="0" collapsed="false">
      <c r="A892" s="483" t="s">
        <v>4126</v>
      </c>
      <c r="B892" s="483" t="s">
        <v>4127</v>
      </c>
      <c r="C892" s="480" t="n">
        <v>120111</v>
      </c>
      <c r="D892" s="483" t="s">
        <v>4128</v>
      </c>
      <c r="E892" s="483" t="s">
        <v>4129</v>
      </c>
    </row>
    <row r="893" customFormat="false" ht="15" hidden="false" customHeight="false" outlineLevel="0" collapsed="false">
      <c r="A893" s="483" t="s">
        <v>4130</v>
      </c>
      <c r="B893" s="483" t="s">
        <v>4131</v>
      </c>
      <c r="C893" s="480" t="n">
        <v>229901</v>
      </c>
      <c r="D893" s="483" t="s">
        <v>4132</v>
      </c>
      <c r="E893" s="483" t="s">
        <v>4133</v>
      </c>
    </row>
    <row r="894" customFormat="false" ht="15" hidden="false" customHeight="false" outlineLevel="0" collapsed="false">
      <c r="A894" s="483" t="s">
        <v>4134</v>
      </c>
      <c r="B894" s="483" t="s">
        <v>4135</v>
      </c>
      <c r="C894" s="480" t="n">
        <v>218933</v>
      </c>
      <c r="D894" s="483" t="s">
        <v>4136</v>
      </c>
      <c r="E894" s="483" t="s">
        <v>4137</v>
      </c>
    </row>
    <row r="895" customFormat="false" ht="15" hidden="false" customHeight="false" outlineLevel="0" collapsed="false">
      <c r="A895" s="483" t="s">
        <v>4138</v>
      </c>
      <c r="B895" s="483"/>
      <c r="C895" s="480" t="n">
        <v>104341</v>
      </c>
      <c r="D895" s="483" t="s">
        <v>4139</v>
      </c>
      <c r="E895" s="483" t="s">
        <v>4140</v>
      </c>
    </row>
    <row r="896" customFormat="false" ht="15" hidden="false" customHeight="false" outlineLevel="0" collapsed="false">
      <c r="A896" s="483" t="s">
        <v>4141</v>
      </c>
      <c r="B896" s="483" t="s">
        <v>4142</v>
      </c>
      <c r="C896" s="480" t="n">
        <v>100330</v>
      </c>
      <c r="D896" s="483" t="s">
        <v>4143</v>
      </c>
      <c r="E896" s="483" t="s">
        <v>4144</v>
      </c>
    </row>
    <row r="897" customFormat="false" ht="15" hidden="false" customHeight="false" outlineLevel="0" collapsed="false">
      <c r="A897" s="483" t="s">
        <v>4145</v>
      </c>
      <c r="B897" s="483" t="s">
        <v>4146</v>
      </c>
      <c r="C897" s="480" t="n">
        <v>209068</v>
      </c>
      <c r="D897" s="483" t="s">
        <v>4147</v>
      </c>
      <c r="E897" s="483" t="s">
        <v>4148</v>
      </c>
    </row>
    <row r="898" customFormat="false" ht="15" hidden="false" customHeight="false" outlineLevel="0" collapsed="false">
      <c r="A898" s="483" t="s">
        <v>4149</v>
      </c>
      <c r="B898" s="483" t="s">
        <v>4150</v>
      </c>
      <c r="C898" s="480" t="n">
        <v>200055</v>
      </c>
      <c r="D898" s="483" t="s">
        <v>4151</v>
      </c>
      <c r="E898" s="483" t="s">
        <v>4152</v>
      </c>
    </row>
    <row r="899" customFormat="false" ht="15" hidden="false" customHeight="false" outlineLevel="0" collapsed="false">
      <c r="A899" s="483" t="s">
        <v>4153</v>
      </c>
      <c r="B899" s="483" t="s">
        <v>4154</v>
      </c>
      <c r="C899" s="480" t="n">
        <v>132805</v>
      </c>
      <c r="D899" s="483" t="s">
        <v>4155</v>
      </c>
      <c r="E899" s="483" t="s">
        <v>4156</v>
      </c>
    </row>
    <row r="900" customFormat="false" ht="15" hidden="false" customHeight="false" outlineLevel="0" collapsed="false">
      <c r="A900" s="483" t="s">
        <v>4157</v>
      </c>
      <c r="B900" s="483" t="s">
        <v>4158</v>
      </c>
      <c r="C900" s="480" t="n">
        <v>130517</v>
      </c>
      <c r="D900" s="483" t="s">
        <v>4159</v>
      </c>
      <c r="E900" s="483" t="s">
        <v>4160</v>
      </c>
    </row>
    <row r="901" customFormat="false" ht="15" hidden="false" customHeight="false" outlineLevel="0" collapsed="false">
      <c r="A901" s="483" t="s">
        <v>4161</v>
      </c>
      <c r="B901" s="483" t="s">
        <v>4162</v>
      </c>
      <c r="C901" s="480" t="n">
        <v>132712</v>
      </c>
      <c r="D901" s="483" t="s">
        <v>4163</v>
      </c>
      <c r="E901" s="483" t="s">
        <v>4164</v>
      </c>
    </row>
    <row r="902" customFormat="false" ht="15" hidden="false" customHeight="false" outlineLevel="0" collapsed="false">
      <c r="A902" s="483" t="s">
        <v>4165</v>
      </c>
      <c r="B902" s="483" t="s">
        <v>4166</v>
      </c>
      <c r="C902" s="480" t="n">
        <v>123445</v>
      </c>
      <c r="D902" s="483" t="s">
        <v>4167</v>
      </c>
      <c r="E902" s="483" t="s">
        <v>4168</v>
      </c>
    </row>
    <row r="903" customFormat="false" ht="15" hidden="false" customHeight="false" outlineLevel="0" collapsed="false">
      <c r="A903" s="483" t="s">
        <v>4169</v>
      </c>
      <c r="B903" s="483" t="s">
        <v>4170</v>
      </c>
      <c r="C903" s="480" t="n">
        <v>100325</v>
      </c>
      <c r="D903" s="483" t="s">
        <v>4171</v>
      </c>
      <c r="E903" s="483" t="s">
        <v>4172</v>
      </c>
    </row>
    <row r="904" customFormat="false" ht="15" hidden="false" customHeight="false" outlineLevel="0" collapsed="false">
      <c r="A904" s="483" t="s">
        <v>4173</v>
      </c>
      <c r="B904" s="483" t="s">
        <v>4174</v>
      </c>
      <c r="C904" s="480" t="n">
        <v>100390</v>
      </c>
      <c r="D904" s="483" t="s">
        <v>4175</v>
      </c>
      <c r="E904" s="483" t="s">
        <v>4176</v>
      </c>
    </row>
    <row r="905" customFormat="false" ht="15" hidden="false" customHeight="false" outlineLevel="0" collapsed="false">
      <c r="A905" s="483" t="s">
        <v>4177</v>
      </c>
      <c r="B905" s="483" t="s">
        <v>4178</v>
      </c>
      <c r="C905" s="480" t="n">
        <v>200039</v>
      </c>
      <c r="D905" s="483" t="s">
        <v>4179</v>
      </c>
      <c r="E905" s="483" t="s">
        <v>4180</v>
      </c>
    </row>
    <row r="906" customFormat="false" ht="15" hidden="false" customHeight="false" outlineLevel="0" collapsed="false">
      <c r="A906" s="483" t="s">
        <v>4181</v>
      </c>
      <c r="B906" s="483" t="s">
        <v>4182</v>
      </c>
      <c r="C906" s="480" t="n">
        <v>132915</v>
      </c>
      <c r="D906" s="483" t="s">
        <v>4183</v>
      </c>
      <c r="E906" s="483" t="s">
        <v>4184</v>
      </c>
    </row>
    <row r="907" customFormat="false" ht="15" hidden="false" customHeight="false" outlineLevel="0" collapsed="false">
      <c r="A907" s="483" t="s">
        <v>4185</v>
      </c>
      <c r="B907" s="483" t="s">
        <v>4186</v>
      </c>
      <c r="C907" s="480" t="n">
        <v>132923</v>
      </c>
      <c r="D907" s="483" t="s">
        <v>4187</v>
      </c>
      <c r="E907" s="483" t="s">
        <v>4188</v>
      </c>
    </row>
    <row r="908" customFormat="false" ht="15" hidden="false" customHeight="false" outlineLevel="0" collapsed="false">
      <c r="A908" s="483" t="s">
        <v>4189</v>
      </c>
      <c r="B908" s="483" t="s">
        <v>4190</v>
      </c>
      <c r="C908" s="480" t="n">
        <v>209089</v>
      </c>
      <c r="D908" s="483" t="s">
        <v>4191</v>
      </c>
      <c r="E908" s="483" t="s">
        <v>4192</v>
      </c>
    </row>
    <row r="909" customFormat="false" ht="15" hidden="false" customHeight="false" outlineLevel="0" collapsed="false">
      <c r="A909" s="483" t="s">
        <v>4193</v>
      </c>
      <c r="B909" s="483" t="s">
        <v>4194</v>
      </c>
      <c r="C909" s="480" t="n">
        <v>132687</v>
      </c>
      <c r="D909" s="483" t="s">
        <v>4195</v>
      </c>
      <c r="E909" s="483" t="s">
        <v>4196</v>
      </c>
    </row>
    <row r="910" customFormat="false" ht="15" hidden="false" customHeight="false" outlineLevel="0" collapsed="false">
      <c r="A910" s="483" t="s">
        <v>4197</v>
      </c>
      <c r="B910" s="483" t="s">
        <v>4198</v>
      </c>
      <c r="C910" s="480" t="n">
        <v>105509</v>
      </c>
      <c r="D910" s="483" t="s">
        <v>4199</v>
      </c>
      <c r="E910" s="483" t="s">
        <v>4200</v>
      </c>
    </row>
    <row r="911" customFormat="false" ht="15" hidden="false" customHeight="false" outlineLevel="0" collapsed="false">
      <c r="A911" s="483" t="s">
        <v>4201</v>
      </c>
      <c r="B911" s="483" t="s">
        <v>4202</v>
      </c>
      <c r="C911" s="480" t="n">
        <v>232353</v>
      </c>
      <c r="D911" s="483" t="s">
        <v>4203</v>
      </c>
      <c r="E911" s="483" t="s">
        <v>4204</v>
      </c>
    </row>
    <row r="912" customFormat="false" ht="15" hidden="false" customHeight="false" outlineLevel="0" collapsed="false">
      <c r="A912" s="483" t="s">
        <v>4205</v>
      </c>
      <c r="B912" s="483" t="s">
        <v>4206</v>
      </c>
      <c r="C912" s="480" t="n">
        <v>120008</v>
      </c>
      <c r="D912" s="483" t="s">
        <v>4207</v>
      </c>
      <c r="E912" s="483" t="s">
        <v>4208</v>
      </c>
    </row>
    <row r="913" customFormat="false" ht="15" hidden="false" customHeight="false" outlineLevel="0" collapsed="false">
      <c r="A913" s="483" t="s">
        <v>4209</v>
      </c>
      <c r="B913" s="483" t="s">
        <v>4210</v>
      </c>
      <c r="C913" s="480" t="n">
        <v>209097</v>
      </c>
      <c r="D913" s="483" t="s">
        <v>4211</v>
      </c>
      <c r="E913" s="483" t="s">
        <v>4212</v>
      </c>
    </row>
    <row r="914" customFormat="false" ht="15" hidden="false" customHeight="false" outlineLevel="0" collapsed="false">
      <c r="A914" s="483" t="s">
        <v>4213</v>
      </c>
      <c r="B914" s="483"/>
      <c r="C914" s="480" t="n">
        <v>126407</v>
      </c>
      <c r="D914" s="483" t="s">
        <v>4214</v>
      </c>
      <c r="E914" s="483" t="s">
        <v>4215</v>
      </c>
    </row>
    <row r="915" customFormat="false" ht="15" hidden="false" customHeight="false" outlineLevel="0" collapsed="false">
      <c r="A915" s="483" t="s">
        <v>4216</v>
      </c>
      <c r="B915" s="483" t="s">
        <v>4217</v>
      </c>
      <c r="C915" s="480" t="n">
        <v>209099</v>
      </c>
      <c r="D915" s="483" t="s">
        <v>4218</v>
      </c>
      <c r="E915" s="483" t="s">
        <v>4219</v>
      </c>
    </row>
    <row r="916" customFormat="false" ht="15" hidden="false" customHeight="false" outlineLevel="0" collapsed="false">
      <c r="A916" s="483" t="s">
        <v>4220</v>
      </c>
      <c r="B916" s="483" t="s">
        <v>4221</v>
      </c>
      <c r="C916" s="480" t="n">
        <v>233156</v>
      </c>
      <c r="D916" s="483" t="s">
        <v>4222</v>
      </c>
      <c r="E916" s="483" t="s">
        <v>4223</v>
      </c>
    </row>
    <row r="917" customFormat="false" ht="15" hidden="false" customHeight="false" outlineLevel="0" collapsed="false">
      <c r="A917" s="483" t="s">
        <v>4224</v>
      </c>
      <c r="B917" s="483" t="s">
        <v>4225</v>
      </c>
      <c r="C917" s="480" t="n">
        <v>219268</v>
      </c>
      <c r="D917" s="483" t="s">
        <v>4226</v>
      </c>
      <c r="E917" s="483" t="s">
        <v>4227</v>
      </c>
    </row>
    <row r="918" customFormat="false" ht="15" hidden="false" customHeight="false" outlineLevel="0" collapsed="false">
      <c r="A918" s="483" t="s">
        <v>4228</v>
      </c>
      <c r="B918" s="483"/>
      <c r="C918" s="480" t="n">
        <v>117500</v>
      </c>
      <c r="D918" s="483" t="s">
        <v>4229</v>
      </c>
      <c r="E918" s="483" t="s">
        <v>4230</v>
      </c>
    </row>
    <row r="919" customFormat="false" ht="15" hidden="false" customHeight="false" outlineLevel="0" collapsed="false">
      <c r="A919" s="483" t="s">
        <v>4231</v>
      </c>
      <c r="B919" s="483" t="s">
        <v>4232</v>
      </c>
      <c r="C919" s="480" t="n">
        <v>273198</v>
      </c>
      <c r="D919" s="483" t="s">
        <v>4233</v>
      </c>
      <c r="E919" s="483" t="s">
        <v>4234</v>
      </c>
    </row>
    <row r="920" customFormat="false" ht="15" hidden="false" customHeight="false" outlineLevel="0" collapsed="false">
      <c r="A920" s="483" t="s">
        <v>4235</v>
      </c>
      <c r="B920" s="483" t="s">
        <v>4236</v>
      </c>
      <c r="C920" s="480" t="n">
        <v>205250</v>
      </c>
      <c r="D920" s="483" t="s">
        <v>4237</v>
      </c>
      <c r="E920" s="483" t="s">
        <v>4238</v>
      </c>
    </row>
    <row r="921" customFormat="false" ht="15" hidden="false" customHeight="false" outlineLevel="0" collapsed="false">
      <c r="A921" s="483" t="s">
        <v>4239</v>
      </c>
      <c r="B921" s="483" t="s">
        <v>4240</v>
      </c>
      <c r="C921" s="480" t="n">
        <v>293705</v>
      </c>
      <c r="D921" s="483" t="s">
        <v>4241</v>
      </c>
      <c r="E921" s="483" t="s">
        <v>4242</v>
      </c>
    </row>
    <row r="922" customFormat="false" ht="15" hidden="false" customHeight="false" outlineLevel="0" collapsed="false">
      <c r="A922" s="483" t="s">
        <v>4243</v>
      </c>
      <c r="B922" s="483" t="s">
        <v>4244</v>
      </c>
      <c r="C922" s="480" t="n">
        <v>100350</v>
      </c>
      <c r="D922" s="483" t="s">
        <v>4245</v>
      </c>
      <c r="E922" s="483" t="s">
        <v>4246</v>
      </c>
    </row>
    <row r="923" customFormat="false" ht="15" hidden="false" customHeight="false" outlineLevel="0" collapsed="false">
      <c r="A923" s="483" t="s">
        <v>4247</v>
      </c>
      <c r="B923" s="483" t="s">
        <v>4248</v>
      </c>
      <c r="C923" s="480" t="n">
        <v>100367</v>
      </c>
      <c r="D923" s="483" t="s">
        <v>4249</v>
      </c>
      <c r="E923" s="483" t="s">
        <v>4250</v>
      </c>
    </row>
    <row r="924" customFormat="false" ht="15" hidden="false" customHeight="false" outlineLevel="0" collapsed="false">
      <c r="A924" s="483" t="s">
        <v>4251</v>
      </c>
      <c r="B924" s="483" t="s">
        <v>4252</v>
      </c>
      <c r="C924" s="480" t="n">
        <v>100368</v>
      </c>
      <c r="D924" s="483" t="s">
        <v>4253</v>
      </c>
      <c r="E924" s="483" t="s">
        <v>4254</v>
      </c>
    </row>
    <row r="925" customFormat="false" ht="15" hidden="false" customHeight="false" outlineLevel="0" collapsed="false">
      <c r="A925" s="483" t="s">
        <v>4255</v>
      </c>
      <c r="B925" s="483" t="s">
        <v>4256</v>
      </c>
      <c r="C925" s="480" t="n">
        <v>221363</v>
      </c>
      <c r="D925" s="483" t="s">
        <v>4257</v>
      </c>
      <c r="E925" s="483" t="s">
        <v>4258</v>
      </c>
    </row>
    <row r="926" customFormat="false" ht="15" hidden="false" customHeight="false" outlineLevel="0" collapsed="false">
      <c r="A926" s="483" t="s">
        <v>4259</v>
      </c>
      <c r="B926" s="483" t="s">
        <v>4260</v>
      </c>
      <c r="C926" s="480" t="n">
        <v>213993</v>
      </c>
      <c r="D926" s="483" t="s">
        <v>4261</v>
      </c>
      <c r="E926" s="483" t="s">
        <v>4262</v>
      </c>
    </row>
    <row r="927" customFormat="false" ht="15" hidden="false" customHeight="false" outlineLevel="0" collapsed="false">
      <c r="A927" s="483" t="s">
        <v>4263</v>
      </c>
      <c r="B927" s="483" t="s">
        <v>4264</v>
      </c>
      <c r="C927" s="480" t="n">
        <v>209127</v>
      </c>
      <c r="D927" s="483" t="s">
        <v>4265</v>
      </c>
      <c r="E927" s="483" t="s">
        <v>4266</v>
      </c>
    </row>
    <row r="928" customFormat="false" ht="15" hidden="false" customHeight="false" outlineLevel="0" collapsed="false">
      <c r="A928" s="483" t="s">
        <v>4267</v>
      </c>
      <c r="B928" s="483" t="s">
        <v>4268</v>
      </c>
      <c r="C928" s="480" t="n">
        <v>132710</v>
      </c>
      <c r="D928" s="483" t="s">
        <v>4269</v>
      </c>
      <c r="E928" s="483" t="s">
        <v>4270</v>
      </c>
    </row>
    <row r="929" customFormat="false" ht="15" hidden="false" customHeight="false" outlineLevel="0" collapsed="false">
      <c r="A929" s="483" t="s">
        <v>4271</v>
      </c>
      <c r="B929" s="483" t="s">
        <v>4272</v>
      </c>
      <c r="C929" s="480" t="n">
        <v>229458</v>
      </c>
      <c r="D929" s="483" t="s">
        <v>4273</v>
      </c>
      <c r="E929" s="483" t="s">
        <v>4274</v>
      </c>
    </row>
    <row r="930" customFormat="false" ht="15" hidden="false" customHeight="false" outlineLevel="0" collapsed="false">
      <c r="A930" s="483" t="s">
        <v>4275</v>
      </c>
      <c r="B930" s="483"/>
      <c r="C930" s="480" t="n">
        <v>106642</v>
      </c>
      <c r="D930" s="483" t="s">
        <v>4276</v>
      </c>
      <c r="E930" s="483" t="s">
        <v>4277</v>
      </c>
    </row>
    <row r="931" customFormat="false" ht="15" hidden="false" customHeight="false" outlineLevel="0" collapsed="false">
      <c r="A931" s="483" t="s">
        <v>4278</v>
      </c>
      <c r="B931" s="483" t="s">
        <v>4279</v>
      </c>
      <c r="C931" s="480" t="n">
        <v>123025</v>
      </c>
      <c r="D931" s="483" t="s">
        <v>4280</v>
      </c>
      <c r="E931" s="483" t="s">
        <v>4281</v>
      </c>
    </row>
    <row r="932" customFormat="false" ht="15" hidden="false" customHeight="false" outlineLevel="0" collapsed="false">
      <c r="A932" s="483" t="s">
        <v>4282</v>
      </c>
      <c r="B932" s="483" t="s">
        <v>4283</v>
      </c>
      <c r="C932" s="480" t="n">
        <v>102090</v>
      </c>
      <c r="D932" s="483" t="s">
        <v>4284</v>
      </c>
      <c r="E932" s="483" t="s">
        <v>4285</v>
      </c>
    </row>
    <row r="933" customFormat="false" ht="15" hidden="false" customHeight="false" outlineLevel="0" collapsed="false">
      <c r="A933" s="483" t="s">
        <v>4286</v>
      </c>
      <c r="B933" s="483"/>
      <c r="C933" s="480" t="n">
        <v>132841</v>
      </c>
      <c r="D933" s="483" t="s">
        <v>4287</v>
      </c>
      <c r="E933" s="483" t="s">
        <v>4288</v>
      </c>
    </row>
    <row r="934" customFormat="false" ht="15" hidden="false" customHeight="false" outlineLevel="0" collapsed="false">
      <c r="A934" s="483" t="s">
        <v>4289</v>
      </c>
      <c r="B934" s="483"/>
      <c r="C934" s="480" t="n">
        <v>115043</v>
      </c>
      <c r="D934" s="483" t="s">
        <v>4290</v>
      </c>
      <c r="E934" s="483" t="s">
        <v>4291</v>
      </c>
    </row>
    <row r="935" customFormat="false" ht="15" hidden="false" customHeight="false" outlineLevel="0" collapsed="false">
      <c r="A935" s="483" t="s">
        <v>4292</v>
      </c>
      <c r="B935" s="483" t="s">
        <v>4293</v>
      </c>
      <c r="C935" s="480" t="n">
        <v>190051</v>
      </c>
      <c r="D935" s="483" t="s">
        <v>4294</v>
      </c>
      <c r="E935" s="483" t="s">
        <v>4295</v>
      </c>
    </row>
    <row r="936" customFormat="false" ht="15" hidden="false" customHeight="false" outlineLevel="0" collapsed="false">
      <c r="A936" s="483" t="s">
        <v>4296</v>
      </c>
      <c r="B936" s="483" t="s">
        <v>4297</v>
      </c>
      <c r="C936" s="480" t="n">
        <v>284680</v>
      </c>
      <c r="D936" s="483" t="s">
        <v>4298</v>
      </c>
      <c r="E936" s="483" t="s">
        <v>4299</v>
      </c>
    </row>
    <row r="937" customFormat="false" ht="15" hidden="false" customHeight="false" outlineLevel="0" collapsed="false">
      <c r="A937" s="483" t="s">
        <v>4300</v>
      </c>
      <c r="B937" s="483" t="s">
        <v>4301</v>
      </c>
      <c r="C937" s="480" t="n">
        <v>209165</v>
      </c>
      <c r="D937" s="483" t="s">
        <v>4302</v>
      </c>
      <c r="E937" s="483" t="s">
        <v>4303</v>
      </c>
    </row>
    <row r="938" customFormat="false" ht="15" hidden="false" customHeight="false" outlineLevel="0" collapsed="false">
      <c r="A938" s="483" t="s">
        <v>4304</v>
      </c>
      <c r="B938" s="483"/>
      <c r="C938" s="480" t="n">
        <v>104918</v>
      </c>
      <c r="D938" s="483" t="s">
        <v>4305</v>
      </c>
      <c r="E938" s="483" t="s">
        <v>4306</v>
      </c>
    </row>
    <row r="939" customFormat="false" ht="15" hidden="false" customHeight="false" outlineLevel="0" collapsed="false">
      <c r="A939" s="483" t="s">
        <v>4307</v>
      </c>
      <c r="B939" s="483" t="s">
        <v>4308</v>
      </c>
      <c r="C939" s="480" t="n">
        <v>114234</v>
      </c>
      <c r="D939" s="483" t="s">
        <v>4309</v>
      </c>
      <c r="E939" s="483" t="s">
        <v>4310</v>
      </c>
    </row>
    <row r="940" customFormat="false" ht="15" hidden="false" customHeight="false" outlineLevel="0" collapsed="false">
      <c r="A940" s="483" t="s">
        <v>4311</v>
      </c>
      <c r="B940" s="483" t="s">
        <v>4312</v>
      </c>
      <c r="C940" s="480" t="n">
        <v>126521</v>
      </c>
      <c r="D940" s="483" t="s">
        <v>4313</v>
      </c>
      <c r="E940" s="483" t="s">
        <v>4314</v>
      </c>
    </row>
    <row r="941" customFormat="false" ht="15" hidden="false" customHeight="false" outlineLevel="0" collapsed="false">
      <c r="A941" s="483" t="s">
        <v>4315</v>
      </c>
      <c r="B941" s="483" t="s">
        <v>4316</v>
      </c>
      <c r="C941" s="480" t="n">
        <v>130073</v>
      </c>
      <c r="D941" s="483" t="s">
        <v>4317</v>
      </c>
      <c r="E941" s="483" t="s">
        <v>4318</v>
      </c>
    </row>
    <row r="942" customFormat="false" ht="15" hidden="false" customHeight="false" outlineLevel="0" collapsed="false">
      <c r="A942" s="483" t="s">
        <v>4319</v>
      </c>
      <c r="B942" s="483" t="s">
        <v>4320</v>
      </c>
      <c r="C942" s="480" t="n">
        <v>100674</v>
      </c>
      <c r="D942" s="483" t="s">
        <v>4321</v>
      </c>
      <c r="E942" s="483" t="s">
        <v>4322</v>
      </c>
    </row>
    <row r="943" customFormat="false" ht="15" hidden="false" customHeight="false" outlineLevel="0" collapsed="false">
      <c r="A943" s="483" t="s">
        <v>4323</v>
      </c>
      <c r="B943" s="483" t="s">
        <v>4324</v>
      </c>
      <c r="C943" s="480" t="n">
        <v>214084</v>
      </c>
      <c r="D943" s="483" t="s">
        <v>4325</v>
      </c>
      <c r="E943" s="483" t="s">
        <v>4326</v>
      </c>
    </row>
    <row r="944" customFormat="false" ht="15" hidden="false" customHeight="false" outlineLevel="0" collapsed="false">
      <c r="A944" s="483" t="s">
        <v>4327</v>
      </c>
      <c r="B944" s="483" t="s">
        <v>4328</v>
      </c>
      <c r="C944" s="480" t="n">
        <v>303107</v>
      </c>
      <c r="D944" s="483" t="s">
        <v>4329</v>
      </c>
      <c r="E944" s="483" t="s">
        <v>4330</v>
      </c>
    </row>
    <row r="945" customFormat="false" ht="15" hidden="false" customHeight="false" outlineLevel="0" collapsed="false">
      <c r="A945" s="483" t="s">
        <v>4331</v>
      </c>
      <c r="B945" s="483" t="s">
        <v>4332</v>
      </c>
      <c r="C945" s="480" t="n">
        <v>104614</v>
      </c>
      <c r="D945" s="483" t="s">
        <v>4333</v>
      </c>
      <c r="E945" s="483" t="s">
        <v>4334</v>
      </c>
    </row>
    <row r="946" customFormat="false" ht="15" hidden="false" customHeight="false" outlineLevel="0" collapsed="false">
      <c r="A946" s="483" t="s">
        <v>4335</v>
      </c>
      <c r="B946" s="483" t="s">
        <v>4336</v>
      </c>
      <c r="C946" s="480" t="n">
        <v>132163</v>
      </c>
      <c r="D946" s="483" t="s">
        <v>4337</v>
      </c>
      <c r="E946" s="483" t="s">
        <v>4338</v>
      </c>
    </row>
    <row r="947" customFormat="false" ht="15" hidden="false" customHeight="false" outlineLevel="0" collapsed="false">
      <c r="A947" s="483" t="s">
        <v>4339</v>
      </c>
      <c r="B947" s="483" t="s">
        <v>4340</v>
      </c>
      <c r="C947" s="480" t="n">
        <v>126885</v>
      </c>
      <c r="D947" s="483" t="s">
        <v>4341</v>
      </c>
      <c r="E947" s="483" t="s">
        <v>4342</v>
      </c>
    </row>
    <row r="948" customFormat="false" ht="15" hidden="false" customHeight="false" outlineLevel="0" collapsed="false">
      <c r="A948" s="483" t="s">
        <v>4343</v>
      </c>
      <c r="B948" s="483" t="s">
        <v>4344</v>
      </c>
      <c r="C948" s="480" t="n">
        <v>132663</v>
      </c>
      <c r="D948" s="483" t="s">
        <v>4345</v>
      </c>
      <c r="E948" s="483" t="s">
        <v>4346</v>
      </c>
    </row>
    <row r="949" customFormat="false" ht="15" hidden="false" customHeight="false" outlineLevel="0" collapsed="false">
      <c r="A949" s="483" t="s">
        <v>4347</v>
      </c>
      <c r="B949" s="483" t="s">
        <v>4348</v>
      </c>
      <c r="C949" s="480" t="n">
        <v>208736</v>
      </c>
      <c r="D949" s="483" t="s">
        <v>4349</v>
      </c>
      <c r="E949" s="483" t="s">
        <v>4350</v>
      </c>
    </row>
    <row r="950" customFormat="false" ht="15" hidden="false" customHeight="false" outlineLevel="0" collapsed="false">
      <c r="A950" s="483" t="s">
        <v>4351</v>
      </c>
      <c r="B950" s="483" t="s">
        <v>4352</v>
      </c>
      <c r="C950" s="480" t="n">
        <v>209185</v>
      </c>
      <c r="D950" s="483" t="s">
        <v>4353</v>
      </c>
      <c r="E950" s="483" t="s">
        <v>4354</v>
      </c>
    </row>
    <row r="951" customFormat="false" ht="15" hidden="false" customHeight="false" outlineLevel="0" collapsed="false">
      <c r="A951" s="483" t="s">
        <v>4355</v>
      </c>
      <c r="B951" s="483" t="s">
        <v>4356</v>
      </c>
      <c r="C951" s="480" t="n">
        <v>240474</v>
      </c>
      <c r="D951" s="483" t="s">
        <v>4357</v>
      </c>
      <c r="E951" s="483" t="s">
        <v>4358</v>
      </c>
    </row>
    <row r="952" customFormat="false" ht="15" hidden="false" customHeight="false" outlineLevel="0" collapsed="false">
      <c r="A952" s="483" t="s">
        <v>4359</v>
      </c>
      <c r="B952" s="483" t="s">
        <v>4360</v>
      </c>
      <c r="C952" s="480" t="n">
        <v>124667</v>
      </c>
      <c r="D952" s="483" t="s">
        <v>4361</v>
      </c>
      <c r="E952" s="483" t="s">
        <v>4362</v>
      </c>
    </row>
    <row r="953" customFormat="false" ht="15" hidden="false" customHeight="false" outlineLevel="0" collapsed="false">
      <c r="A953" s="483" t="s">
        <v>4363</v>
      </c>
      <c r="B953" s="483" t="s">
        <v>4364</v>
      </c>
      <c r="C953" s="480" t="n">
        <v>225051</v>
      </c>
      <c r="D953" s="483" t="s">
        <v>4365</v>
      </c>
      <c r="E953" s="483" t="s">
        <v>4366</v>
      </c>
    </row>
    <row r="954" customFormat="false" ht="15" hidden="false" customHeight="false" outlineLevel="0" collapsed="false">
      <c r="A954" s="483" t="s">
        <v>4367</v>
      </c>
      <c r="B954" s="483" t="s">
        <v>4368</v>
      </c>
      <c r="C954" s="480" t="n">
        <v>211385</v>
      </c>
      <c r="D954" s="483" t="s">
        <v>4369</v>
      </c>
      <c r="E954" s="483" t="s">
        <v>4370</v>
      </c>
    </row>
    <row r="955" customFormat="false" ht="15" hidden="false" customHeight="false" outlineLevel="0" collapsed="false">
      <c r="A955" s="483" t="s">
        <v>4371</v>
      </c>
      <c r="B955" s="483" t="s">
        <v>4372</v>
      </c>
      <c r="C955" s="480" t="n">
        <v>105790</v>
      </c>
      <c r="D955" s="483" t="s">
        <v>4373</v>
      </c>
      <c r="E955" s="483" t="s">
        <v>4374</v>
      </c>
    </row>
    <row r="956" customFormat="false" ht="15" hidden="false" customHeight="false" outlineLevel="0" collapsed="false">
      <c r="A956" s="483" t="s">
        <v>4375</v>
      </c>
      <c r="B956" s="483" t="s">
        <v>4376</v>
      </c>
      <c r="C956" s="480" t="n">
        <v>229820</v>
      </c>
      <c r="D956" s="483" t="s">
        <v>4377</v>
      </c>
      <c r="E956" s="483" t="s">
        <v>4378</v>
      </c>
    </row>
    <row r="957" customFormat="false" ht="15" hidden="false" customHeight="false" outlineLevel="0" collapsed="false">
      <c r="A957" s="483" t="s">
        <v>4379</v>
      </c>
      <c r="B957" s="483"/>
      <c r="C957" s="480" t="n">
        <v>295781</v>
      </c>
      <c r="D957" s="483" t="s">
        <v>4380</v>
      </c>
      <c r="E957" s="483" t="s">
        <v>4381</v>
      </c>
    </row>
    <row r="958" customFormat="false" ht="15" hidden="false" customHeight="false" outlineLevel="0" collapsed="false">
      <c r="A958" s="483" t="s">
        <v>4382</v>
      </c>
      <c r="B958" s="483" t="s">
        <v>4383</v>
      </c>
      <c r="C958" s="480" t="n">
        <v>126807</v>
      </c>
      <c r="D958" s="483" t="s">
        <v>4384</v>
      </c>
      <c r="E958" s="483" t="s">
        <v>4385</v>
      </c>
    </row>
    <row r="959" customFormat="false" ht="15" hidden="false" customHeight="false" outlineLevel="0" collapsed="false">
      <c r="A959" s="483" t="s">
        <v>4386</v>
      </c>
      <c r="B959" s="483" t="s">
        <v>4387</v>
      </c>
      <c r="C959" s="480" t="n">
        <v>112529</v>
      </c>
      <c r="D959" s="483" t="s">
        <v>4388</v>
      </c>
      <c r="E959" s="483" t="s">
        <v>4389</v>
      </c>
    </row>
    <row r="960" customFormat="false" ht="15" hidden="false" customHeight="false" outlineLevel="0" collapsed="false">
      <c r="A960" s="483" t="s">
        <v>4390</v>
      </c>
      <c r="B960" s="483" t="s">
        <v>4391</v>
      </c>
      <c r="C960" s="480" t="n">
        <v>102450</v>
      </c>
      <c r="D960" s="483" t="s">
        <v>4392</v>
      </c>
      <c r="E960" s="483" t="s">
        <v>4393</v>
      </c>
    </row>
    <row r="961" customFormat="false" ht="15" hidden="false" customHeight="false" outlineLevel="0" collapsed="false">
      <c r="A961" s="483" t="s">
        <v>4394</v>
      </c>
      <c r="B961" s="483" t="s">
        <v>4395</v>
      </c>
      <c r="C961" s="480" t="n">
        <v>220884</v>
      </c>
      <c r="D961" s="483" t="s">
        <v>4396</v>
      </c>
      <c r="E961" s="483" t="s">
        <v>4397</v>
      </c>
    </row>
    <row r="962" customFormat="false" ht="15" hidden="false" customHeight="false" outlineLevel="0" collapsed="false">
      <c r="A962" s="483" t="s">
        <v>4398</v>
      </c>
      <c r="B962" s="483"/>
      <c r="C962" s="480" t="n">
        <v>101423</v>
      </c>
      <c r="D962" s="483" t="s">
        <v>4399</v>
      </c>
      <c r="E962" s="483" t="s">
        <v>4400</v>
      </c>
    </row>
    <row r="963" customFormat="false" ht="15" hidden="false" customHeight="false" outlineLevel="0" collapsed="false">
      <c r="A963" s="483" t="s">
        <v>4401</v>
      </c>
      <c r="B963" s="483" t="s">
        <v>4402</v>
      </c>
      <c r="C963" s="480" t="n">
        <v>131431</v>
      </c>
      <c r="D963" s="483" t="s">
        <v>4403</v>
      </c>
      <c r="E963" s="483" t="s">
        <v>4404</v>
      </c>
    </row>
    <row r="964" customFormat="false" ht="15" hidden="false" customHeight="false" outlineLevel="0" collapsed="false">
      <c r="A964" s="483" t="s">
        <v>4405</v>
      </c>
      <c r="B964" s="483" t="s">
        <v>4406</v>
      </c>
      <c r="C964" s="480" t="n">
        <v>235126</v>
      </c>
      <c r="D964" s="483" t="s">
        <v>4407</v>
      </c>
      <c r="E964" s="483" t="s">
        <v>4408</v>
      </c>
    </row>
    <row r="965" customFormat="false" ht="15" hidden="false" customHeight="false" outlineLevel="0" collapsed="false">
      <c r="A965" s="483" t="s">
        <v>4409</v>
      </c>
      <c r="B965" s="483" t="s">
        <v>4410</v>
      </c>
      <c r="C965" s="480" t="n">
        <v>109874</v>
      </c>
      <c r="D965" s="483" t="s">
        <v>4411</v>
      </c>
      <c r="E965" s="483" t="s">
        <v>4412</v>
      </c>
    </row>
    <row r="966" customFormat="false" ht="15" hidden="false" customHeight="false" outlineLevel="0" collapsed="false">
      <c r="A966" s="483" t="s">
        <v>4413</v>
      </c>
      <c r="B966" s="483" t="s">
        <v>4414</v>
      </c>
      <c r="C966" s="480" t="n">
        <v>200110</v>
      </c>
      <c r="D966" s="483" t="s">
        <v>4415</v>
      </c>
      <c r="E966" s="483" t="s">
        <v>4416</v>
      </c>
    </row>
    <row r="967" customFormat="false" ht="15" hidden="false" customHeight="false" outlineLevel="0" collapsed="false">
      <c r="A967" s="483" t="s">
        <v>4417</v>
      </c>
      <c r="B967" s="483" t="s">
        <v>4418</v>
      </c>
      <c r="C967" s="480" t="n">
        <v>122034</v>
      </c>
      <c r="D967" s="483" t="s">
        <v>4419</v>
      </c>
      <c r="E967" s="483" t="s">
        <v>4420</v>
      </c>
    </row>
    <row r="968" customFormat="false" ht="15" hidden="false" customHeight="false" outlineLevel="0" collapsed="false">
      <c r="A968" s="483" t="s">
        <v>4421</v>
      </c>
      <c r="B968" s="483" t="s">
        <v>4422</v>
      </c>
      <c r="C968" s="480" t="n">
        <v>226627</v>
      </c>
      <c r="D968" s="483" t="s">
        <v>4423</v>
      </c>
      <c r="E968" s="483" t="s">
        <v>4424</v>
      </c>
    </row>
    <row r="969" customFormat="false" ht="15" hidden="false" customHeight="false" outlineLevel="0" collapsed="false">
      <c r="A969" s="483" t="s">
        <v>4425</v>
      </c>
      <c r="B969" s="483" t="s">
        <v>4426</v>
      </c>
      <c r="C969" s="480" t="n">
        <v>209220</v>
      </c>
      <c r="D969" s="483" t="s">
        <v>4427</v>
      </c>
      <c r="E969" s="483" t="s">
        <v>4428</v>
      </c>
    </row>
    <row r="970" customFormat="false" ht="15" hidden="false" customHeight="false" outlineLevel="0" collapsed="false">
      <c r="A970" s="483" t="s">
        <v>4429</v>
      </c>
      <c r="B970" s="483" t="s">
        <v>4430</v>
      </c>
      <c r="C970" s="480" t="n">
        <v>287141</v>
      </c>
      <c r="D970" s="483" t="s">
        <v>4431</v>
      </c>
      <c r="E970" s="483" t="s">
        <v>4432</v>
      </c>
    </row>
    <row r="971" customFormat="false" ht="15" hidden="false" customHeight="false" outlineLevel="0" collapsed="false">
      <c r="A971" s="483" t="s">
        <v>4433</v>
      </c>
      <c r="B971" s="483" t="s">
        <v>4434</v>
      </c>
      <c r="C971" s="480" t="n">
        <v>211969</v>
      </c>
      <c r="D971" s="483" t="s">
        <v>4435</v>
      </c>
      <c r="E971" s="483" t="s">
        <v>4436</v>
      </c>
    </row>
    <row r="972" customFormat="false" ht="15" hidden="false" customHeight="false" outlineLevel="0" collapsed="false">
      <c r="A972" s="483" t="s">
        <v>4437</v>
      </c>
      <c r="B972" s="483" t="s">
        <v>4438</v>
      </c>
      <c r="C972" s="480" t="n">
        <v>130549</v>
      </c>
      <c r="D972" s="483" t="s">
        <v>4439</v>
      </c>
      <c r="E972" s="483" t="s">
        <v>4440</v>
      </c>
    </row>
    <row r="973" customFormat="false" ht="15" hidden="false" customHeight="false" outlineLevel="0" collapsed="false">
      <c r="A973" s="483" t="s">
        <v>4441</v>
      </c>
      <c r="B973" s="483" t="s">
        <v>4442</v>
      </c>
      <c r="C973" s="480" t="n">
        <v>123598</v>
      </c>
      <c r="D973" s="483" t="s">
        <v>4443</v>
      </c>
      <c r="E973" s="483" t="s">
        <v>4444</v>
      </c>
    </row>
    <row r="974" customFormat="false" ht="15" hidden="false" customHeight="false" outlineLevel="0" collapsed="false">
      <c r="A974" s="483" t="s">
        <v>4445</v>
      </c>
      <c r="B974" s="483"/>
      <c r="C974" s="480" t="n">
        <v>132323</v>
      </c>
      <c r="D974" s="483" t="s">
        <v>4446</v>
      </c>
      <c r="E974" s="483" t="s">
        <v>4447</v>
      </c>
    </row>
    <row r="975" customFormat="false" ht="15" hidden="false" customHeight="false" outlineLevel="0" collapsed="false">
      <c r="A975" s="483" t="s">
        <v>4448</v>
      </c>
      <c r="B975" s="483" t="s">
        <v>4449</v>
      </c>
      <c r="C975" s="480" t="n">
        <v>113097</v>
      </c>
      <c r="D975" s="483" t="s">
        <v>4450</v>
      </c>
      <c r="E975" s="483" t="s">
        <v>4451</v>
      </c>
    </row>
    <row r="976" customFormat="false" ht="15" hidden="false" customHeight="false" outlineLevel="0" collapsed="false">
      <c r="A976" s="483" t="s">
        <v>4452</v>
      </c>
      <c r="B976" s="483" t="s">
        <v>4453</v>
      </c>
      <c r="C976" s="480" t="n">
        <v>225090</v>
      </c>
      <c r="D976" s="483" t="s">
        <v>4454</v>
      </c>
      <c r="E976" s="483" t="s">
        <v>4455</v>
      </c>
    </row>
    <row r="977" customFormat="false" ht="15" hidden="false" customHeight="false" outlineLevel="0" collapsed="false">
      <c r="A977" s="483" t="s">
        <v>4456</v>
      </c>
      <c r="B977" s="483" t="s">
        <v>4457</v>
      </c>
      <c r="C977" s="480" t="n">
        <v>132638</v>
      </c>
      <c r="D977" s="483" t="s">
        <v>4458</v>
      </c>
      <c r="E977" s="483" t="s">
        <v>4459</v>
      </c>
    </row>
    <row r="978" customFormat="false" ht="15" hidden="false" customHeight="false" outlineLevel="0" collapsed="false">
      <c r="A978" s="483" t="s">
        <v>4460</v>
      </c>
      <c r="B978" s="483" t="s">
        <v>4461</v>
      </c>
      <c r="C978" s="480" t="n">
        <v>100387</v>
      </c>
      <c r="D978" s="483" t="s">
        <v>4462</v>
      </c>
      <c r="E978" s="483" t="s">
        <v>4463</v>
      </c>
    </row>
    <row r="979" customFormat="false" ht="15" hidden="false" customHeight="false" outlineLevel="0" collapsed="false">
      <c r="A979" s="483" t="s">
        <v>4464</v>
      </c>
      <c r="B979" s="483" t="s">
        <v>4465</v>
      </c>
      <c r="C979" s="480" t="n">
        <v>102180</v>
      </c>
      <c r="D979" s="483" t="s">
        <v>4466</v>
      </c>
      <c r="E979" s="483" t="s">
        <v>4467</v>
      </c>
    </row>
    <row r="980" customFormat="false" ht="15" hidden="false" customHeight="false" outlineLevel="0" collapsed="false">
      <c r="A980" s="483" t="s">
        <v>4468</v>
      </c>
      <c r="B980" s="483"/>
      <c r="C980" s="480" t="n">
        <v>112463</v>
      </c>
      <c r="D980" s="483" t="s">
        <v>4469</v>
      </c>
      <c r="E980" s="483" t="s">
        <v>4470</v>
      </c>
    </row>
    <row r="981" customFormat="false" ht="15" hidden="false" customHeight="false" outlineLevel="0" collapsed="false">
      <c r="A981" s="483" t="s">
        <v>4471</v>
      </c>
      <c r="B981" s="483" t="s">
        <v>4472</v>
      </c>
      <c r="C981" s="480" t="n">
        <v>271117</v>
      </c>
      <c r="D981" s="483" t="s">
        <v>4473</v>
      </c>
      <c r="E981" s="483" t="s">
        <v>4474</v>
      </c>
    </row>
    <row r="982" customFormat="false" ht="15" hidden="false" customHeight="false" outlineLevel="0" collapsed="false">
      <c r="A982" s="483" t="s">
        <v>4475</v>
      </c>
      <c r="B982" s="483" t="s">
        <v>4476</v>
      </c>
      <c r="C982" s="480" t="n">
        <v>132670</v>
      </c>
      <c r="D982" s="483" t="s">
        <v>4477</v>
      </c>
      <c r="E982" s="483" t="s">
        <v>4478</v>
      </c>
    </row>
    <row r="983" customFormat="false" ht="15" hidden="false" customHeight="false" outlineLevel="0" collapsed="false">
      <c r="A983" s="483" t="s">
        <v>4479</v>
      </c>
      <c r="B983" s="483" t="s">
        <v>4480</v>
      </c>
      <c r="C983" s="480" t="n">
        <v>120151</v>
      </c>
      <c r="D983" s="483" t="s">
        <v>4481</v>
      </c>
      <c r="E983" s="483" t="s">
        <v>4482</v>
      </c>
    </row>
    <row r="984" customFormat="false" ht="15" hidden="false" customHeight="false" outlineLevel="0" collapsed="false">
      <c r="A984" s="483" t="s">
        <v>4483</v>
      </c>
      <c r="B984" s="483"/>
      <c r="C984" s="480" t="n">
        <v>112453</v>
      </c>
      <c r="D984" s="483" t="s">
        <v>4484</v>
      </c>
      <c r="E984" s="483" t="s">
        <v>4485</v>
      </c>
    </row>
    <row r="985" customFormat="false" ht="15" hidden="false" customHeight="false" outlineLevel="0" collapsed="false">
      <c r="A985" s="483" t="s">
        <v>4486</v>
      </c>
      <c r="B985" s="483" t="s">
        <v>4487</v>
      </c>
      <c r="C985" s="480" t="n">
        <v>132498</v>
      </c>
      <c r="D985" s="483" t="s">
        <v>4488</v>
      </c>
      <c r="E985" s="483" t="s">
        <v>4489</v>
      </c>
    </row>
    <row r="986" customFormat="false" ht="15" hidden="false" customHeight="false" outlineLevel="0" collapsed="false">
      <c r="A986" s="483" t="s">
        <v>4490</v>
      </c>
      <c r="B986" s="483" t="s">
        <v>4491</v>
      </c>
      <c r="C986" s="480" t="n">
        <v>200051</v>
      </c>
      <c r="D986" s="483" t="s">
        <v>4492</v>
      </c>
      <c r="E986" s="483" t="s">
        <v>4493</v>
      </c>
    </row>
    <row r="987" customFormat="false" ht="15" hidden="false" customHeight="false" outlineLevel="0" collapsed="false">
      <c r="A987" s="483" t="s">
        <v>4494</v>
      </c>
      <c r="B987" s="483" t="s">
        <v>4495</v>
      </c>
      <c r="C987" s="480" t="n">
        <v>218771</v>
      </c>
      <c r="D987" s="483" t="s">
        <v>4496</v>
      </c>
      <c r="E987" s="483" t="s">
        <v>4497</v>
      </c>
    </row>
    <row r="988" customFormat="false" ht="15" hidden="false" customHeight="false" outlineLevel="0" collapsed="false">
      <c r="A988" s="483" t="s">
        <v>4498</v>
      </c>
      <c r="B988" s="483" t="s">
        <v>4499</v>
      </c>
      <c r="C988" s="480" t="n">
        <v>209255</v>
      </c>
      <c r="D988" s="483" t="s">
        <v>4500</v>
      </c>
      <c r="E988" s="483" t="s">
        <v>4501</v>
      </c>
    </row>
    <row r="989" customFormat="false" ht="15" hidden="false" customHeight="false" outlineLevel="0" collapsed="false">
      <c r="A989" s="483" t="s">
        <v>4502</v>
      </c>
      <c r="B989" s="483" t="s">
        <v>4503</v>
      </c>
      <c r="C989" s="480" t="n">
        <v>111218</v>
      </c>
      <c r="D989" s="483" t="s">
        <v>4504</v>
      </c>
      <c r="E989" s="483" t="s">
        <v>4505</v>
      </c>
    </row>
    <row r="990" customFormat="false" ht="15" hidden="false" customHeight="false" outlineLevel="0" collapsed="false">
      <c r="A990" s="483" t="s">
        <v>4506</v>
      </c>
      <c r="B990" s="483" t="s">
        <v>4507</v>
      </c>
      <c r="C990" s="480" t="n">
        <v>267465</v>
      </c>
      <c r="D990" s="483" t="s">
        <v>4508</v>
      </c>
      <c r="E990" s="483" t="s">
        <v>4509</v>
      </c>
    </row>
    <row r="991" customFormat="false" ht="15" hidden="false" customHeight="false" outlineLevel="0" collapsed="false">
      <c r="A991" s="483" t="s">
        <v>4510</v>
      </c>
      <c r="B991" s="483" t="s">
        <v>4511</v>
      </c>
      <c r="C991" s="480" t="n">
        <v>100550</v>
      </c>
      <c r="D991" s="483" t="s">
        <v>4512</v>
      </c>
      <c r="E991" s="483" t="s">
        <v>4513</v>
      </c>
    </row>
    <row r="992" customFormat="false" ht="15" hidden="false" customHeight="false" outlineLevel="0" collapsed="false">
      <c r="A992" s="483" t="s">
        <v>4514</v>
      </c>
      <c r="B992" s="483" t="s">
        <v>4515</v>
      </c>
      <c r="C992" s="480" t="n">
        <v>300012</v>
      </c>
      <c r="D992" s="483" t="s">
        <v>4516</v>
      </c>
      <c r="E992" s="483" t="s">
        <v>4517</v>
      </c>
    </row>
    <row r="993" customFormat="false" ht="15" hidden="false" customHeight="false" outlineLevel="0" collapsed="false">
      <c r="A993" s="483" t="s">
        <v>4518</v>
      </c>
      <c r="B993" s="483"/>
      <c r="C993" s="480" t="n">
        <v>132029</v>
      </c>
      <c r="D993" s="483" t="s">
        <v>4519</v>
      </c>
      <c r="E993" s="483" t="s">
        <v>4520</v>
      </c>
    </row>
    <row r="994" customFormat="false" ht="15" hidden="false" customHeight="false" outlineLevel="0" collapsed="false">
      <c r="A994" s="483" t="s">
        <v>4521</v>
      </c>
      <c r="B994" s="483" t="s">
        <v>4522</v>
      </c>
      <c r="C994" s="480" t="n">
        <v>102742</v>
      </c>
      <c r="D994" s="483" t="s">
        <v>4523</v>
      </c>
      <c r="E994" s="483" t="s">
        <v>4524</v>
      </c>
    </row>
    <row r="995" customFormat="false" ht="15" hidden="false" customHeight="false" outlineLevel="0" collapsed="false">
      <c r="A995" s="483" t="s">
        <v>4525</v>
      </c>
      <c r="B995" s="483" t="s">
        <v>4526</v>
      </c>
      <c r="C995" s="480" t="n">
        <v>286451</v>
      </c>
      <c r="D995" s="483" t="s">
        <v>4527</v>
      </c>
      <c r="E995" s="483" t="s">
        <v>4528</v>
      </c>
    </row>
    <row r="996" customFormat="false" ht="15" hidden="false" customHeight="false" outlineLevel="0" collapsed="false">
      <c r="A996" s="483" t="s">
        <v>4529</v>
      </c>
      <c r="B996" s="483" t="s">
        <v>4530</v>
      </c>
      <c r="C996" s="480" t="n">
        <v>288827</v>
      </c>
      <c r="D996" s="483" t="s">
        <v>4531</v>
      </c>
      <c r="E996" s="483" t="s">
        <v>4532</v>
      </c>
    </row>
    <row r="997" customFormat="false" ht="15" hidden="false" customHeight="false" outlineLevel="0" collapsed="false">
      <c r="A997" s="483" t="s">
        <v>4533</v>
      </c>
      <c r="B997" s="483" t="s">
        <v>4534</v>
      </c>
      <c r="C997" s="480" t="n">
        <v>210729</v>
      </c>
      <c r="D997" s="483" t="s">
        <v>4535</v>
      </c>
      <c r="E997" s="483" t="s">
        <v>4536</v>
      </c>
    </row>
    <row r="998" customFormat="false" ht="15" hidden="false" customHeight="false" outlineLevel="0" collapsed="false">
      <c r="A998" s="483" t="s">
        <v>4537</v>
      </c>
      <c r="B998" s="483" t="s">
        <v>4538</v>
      </c>
      <c r="C998" s="480" t="n">
        <v>103811</v>
      </c>
      <c r="D998" s="483" t="s">
        <v>4539</v>
      </c>
      <c r="E998" s="483" t="s">
        <v>4540</v>
      </c>
    </row>
    <row r="999" customFormat="false" ht="15" hidden="false" customHeight="false" outlineLevel="0" collapsed="false">
      <c r="A999" s="483" t="s">
        <v>4541</v>
      </c>
      <c r="B999" s="483" t="s">
        <v>4542</v>
      </c>
      <c r="C999" s="480" t="n">
        <v>302921</v>
      </c>
      <c r="D999" s="483" t="s">
        <v>4543</v>
      </c>
      <c r="E999" s="483" t="s">
        <v>4544</v>
      </c>
    </row>
    <row r="1000" customFormat="false" ht="15" hidden="false" customHeight="false" outlineLevel="0" collapsed="false">
      <c r="A1000" s="483" t="s">
        <v>4545</v>
      </c>
      <c r="B1000" s="483" t="s">
        <v>4546</v>
      </c>
      <c r="C1000" s="480" t="n">
        <v>220512</v>
      </c>
      <c r="D1000" s="483" t="s">
        <v>4547</v>
      </c>
      <c r="E1000" s="483" t="s">
        <v>4548</v>
      </c>
    </row>
    <row r="1001" customFormat="false" ht="15" hidden="false" customHeight="false" outlineLevel="0" collapsed="false">
      <c r="A1001" s="483" t="s">
        <v>4549</v>
      </c>
      <c r="B1001" s="483" t="s">
        <v>4550</v>
      </c>
      <c r="C1001" s="480" t="n">
        <v>100472</v>
      </c>
      <c r="D1001" s="483" t="s">
        <v>4551</v>
      </c>
      <c r="E1001" s="483" t="s">
        <v>4552</v>
      </c>
    </row>
    <row r="1002" customFormat="false" ht="15" hidden="false" customHeight="false" outlineLevel="0" collapsed="false">
      <c r="A1002" s="483" t="s">
        <v>4553</v>
      </c>
      <c r="B1002" s="483" t="s">
        <v>4554</v>
      </c>
      <c r="C1002" s="480" t="n">
        <v>216897</v>
      </c>
      <c r="D1002" s="483" t="s">
        <v>4555</v>
      </c>
      <c r="E1002" s="483" t="s">
        <v>4556</v>
      </c>
    </row>
    <row r="1003" customFormat="false" ht="15" hidden="false" customHeight="false" outlineLevel="0" collapsed="false">
      <c r="A1003" s="483" t="s">
        <v>4557</v>
      </c>
      <c r="B1003" s="483" t="s">
        <v>4558</v>
      </c>
      <c r="C1003" s="480" t="n">
        <v>214003</v>
      </c>
      <c r="D1003" s="483" t="s">
        <v>4559</v>
      </c>
      <c r="E1003" s="483" t="s">
        <v>4560</v>
      </c>
    </row>
    <row r="1004" customFormat="false" ht="15" hidden="false" customHeight="false" outlineLevel="0" collapsed="false">
      <c r="A1004" s="483" t="s">
        <v>4561</v>
      </c>
      <c r="B1004" s="483" t="s">
        <v>4562</v>
      </c>
      <c r="C1004" s="480" t="n">
        <v>105192</v>
      </c>
      <c r="D1004" s="483" t="s">
        <v>4563</v>
      </c>
      <c r="E1004" s="483" t="s">
        <v>4564</v>
      </c>
    </row>
    <row r="1005" customFormat="false" ht="15" hidden="false" customHeight="false" outlineLevel="0" collapsed="false">
      <c r="A1005" s="483" t="s">
        <v>4565</v>
      </c>
      <c r="B1005" s="483" t="s">
        <v>4566</v>
      </c>
      <c r="C1005" s="480" t="n">
        <v>132815</v>
      </c>
      <c r="D1005" s="483" t="s">
        <v>4567</v>
      </c>
      <c r="E1005" s="483" t="s">
        <v>4568</v>
      </c>
    </row>
    <row r="1006" customFormat="false" ht="15" hidden="false" customHeight="false" outlineLevel="0" collapsed="false">
      <c r="A1006" s="483" t="s">
        <v>4569</v>
      </c>
      <c r="B1006" s="483" t="s">
        <v>4570</v>
      </c>
      <c r="C1006" s="480" t="n">
        <v>209277</v>
      </c>
      <c r="D1006" s="483" t="s">
        <v>4571</v>
      </c>
      <c r="E1006" s="483" t="s">
        <v>4572</v>
      </c>
    </row>
    <row r="1007" customFormat="false" ht="15" hidden="false" customHeight="false" outlineLevel="0" collapsed="false">
      <c r="A1007" s="483" t="s">
        <v>4573</v>
      </c>
      <c r="B1007" s="483" t="s">
        <v>4574</v>
      </c>
      <c r="C1007" s="480" t="n">
        <v>132784</v>
      </c>
      <c r="D1007" s="483" t="s">
        <v>4575</v>
      </c>
      <c r="E1007" s="483" t="s">
        <v>4576</v>
      </c>
    </row>
    <row r="1008" customFormat="false" ht="15" hidden="false" customHeight="false" outlineLevel="0" collapsed="false">
      <c r="A1008" s="483" t="s">
        <v>4577</v>
      </c>
      <c r="B1008" s="483" t="s">
        <v>4578</v>
      </c>
      <c r="C1008" s="480" t="n">
        <v>132725</v>
      </c>
      <c r="D1008" s="483" t="s">
        <v>4579</v>
      </c>
      <c r="E1008" s="483" t="s">
        <v>4580</v>
      </c>
    </row>
    <row r="1009" customFormat="false" ht="15" hidden="false" customHeight="false" outlineLevel="0" collapsed="false">
      <c r="A1009" s="483" t="s">
        <v>4581</v>
      </c>
      <c r="B1009" s="483" t="s">
        <v>4582</v>
      </c>
      <c r="C1009" s="480" t="n">
        <v>290184</v>
      </c>
      <c r="D1009" s="483" t="s">
        <v>4583</v>
      </c>
      <c r="E1009" s="483" t="s">
        <v>4584</v>
      </c>
    </row>
    <row r="1010" customFormat="false" ht="15" hidden="false" customHeight="false" outlineLevel="0" collapsed="false">
      <c r="A1010" s="483" t="s">
        <v>4585</v>
      </c>
      <c r="B1010" s="483" t="s">
        <v>4586</v>
      </c>
      <c r="C1010" s="480" t="n">
        <v>131548</v>
      </c>
      <c r="D1010" s="483" t="s">
        <v>4587</v>
      </c>
      <c r="E1010" s="483" t="s">
        <v>4588</v>
      </c>
    </row>
    <row r="1011" customFormat="false" ht="15" hidden="false" customHeight="false" outlineLevel="0" collapsed="false">
      <c r="A1011" s="483" t="s">
        <v>4589</v>
      </c>
      <c r="B1011" s="483" t="s">
        <v>4590</v>
      </c>
      <c r="C1011" s="480" t="n">
        <v>295873</v>
      </c>
      <c r="D1011" s="483" t="s">
        <v>4591</v>
      </c>
      <c r="E1011" s="483" t="s">
        <v>4592</v>
      </c>
    </row>
    <row r="1012" customFormat="false" ht="15" hidden="false" customHeight="false" outlineLevel="0" collapsed="false">
      <c r="A1012" s="483" t="s">
        <v>4593</v>
      </c>
      <c r="B1012" s="483" t="s">
        <v>4594</v>
      </c>
      <c r="C1012" s="480" t="n">
        <v>214179</v>
      </c>
      <c r="D1012" s="483" t="s">
        <v>4595</v>
      </c>
      <c r="E1012" s="483" t="s">
        <v>4596</v>
      </c>
    </row>
    <row r="1013" customFormat="false" ht="15" hidden="false" customHeight="false" outlineLevel="0" collapsed="false">
      <c r="A1013" s="483" t="s">
        <v>4597</v>
      </c>
      <c r="B1013" s="483" t="s">
        <v>4598</v>
      </c>
      <c r="C1013" s="480" t="n">
        <v>132221</v>
      </c>
      <c r="D1013" s="483" t="s">
        <v>4599</v>
      </c>
      <c r="E1013" s="483" t="s">
        <v>4600</v>
      </c>
    </row>
    <row r="1014" customFormat="false" ht="15" hidden="false" customHeight="false" outlineLevel="0" collapsed="false">
      <c r="A1014" s="483" t="s">
        <v>4601</v>
      </c>
      <c r="B1014" s="483" t="s">
        <v>4602</v>
      </c>
      <c r="C1014" s="480" t="n">
        <v>190030</v>
      </c>
      <c r="D1014" s="483" t="s">
        <v>4603</v>
      </c>
      <c r="E1014" s="483" t="s">
        <v>4604</v>
      </c>
    </row>
    <row r="1015" customFormat="false" ht="15" hidden="false" customHeight="false" outlineLevel="0" collapsed="false">
      <c r="A1015" s="483" t="s">
        <v>4605</v>
      </c>
      <c r="B1015" s="483" t="s">
        <v>4606</v>
      </c>
      <c r="C1015" s="480" t="n">
        <v>220527</v>
      </c>
      <c r="D1015" s="483" t="s">
        <v>4607</v>
      </c>
      <c r="E1015" s="483" t="s">
        <v>4608</v>
      </c>
    </row>
    <row r="1016" customFormat="false" ht="15" hidden="false" customHeight="false" outlineLevel="0" collapsed="false">
      <c r="A1016" s="483" t="s">
        <v>4609</v>
      </c>
      <c r="B1016" s="483" t="s">
        <v>4610</v>
      </c>
      <c r="C1016" s="480" t="n">
        <v>209306</v>
      </c>
      <c r="D1016" s="483" t="s">
        <v>4611</v>
      </c>
      <c r="E1016" s="483" t="s">
        <v>4612</v>
      </c>
    </row>
    <row r="1017" customFormat="false" ht="15" hidden="false" customHeight="false" outlineLevel="0" collapsed="false">
      <c r="A1017" s="483" t="s">
        <v>4613</v>
      </c>
      <c r="B1017" s="483" t="s">
        <v>4614</v>
      </c>
      <c r="C1017" s="480" t="n">
        <v>100285</v>
      </c>
      <c r="D1017" s="483" t="s">
        <v>4615</v>
      </c>
      <c r="E1017" s="483" t="s">
        <v>4616</v>
      </c>
    </row>
    <row r="1018" customFormat="false" ht="15" hidden="false" customHeight="false" outlineLevel="0" collapsed="false">
      <c r="A1018" s="483" t="s">
        <v>4617</v>
      </c>
      <c r="B1018" s="483"/>
      <c r="C1018" s="480" t="n">
        <v>245147</v>
      </c>
      <c r="D1018" s="483" t="s">
        <v>4618</v>
      </c>
      <c r="E1018" s="483" t="s">
        <v>4619</v>
      </c>
    </row>
    <row r="1019" customFormat="false" ht="15" hidden="false" customHeight="false" outlineLevel="0" collapsed="false">
      <c r="A1019" s="483" t="s">
        <v>4620</v>
      </c>
      <c r="B1019" s="483" t="s">
        <v>4621</v>
      </c>
      <c r="C1019" s="480" t="n">
        <v>132842</v>
      </c>
      <c r="D1019" s="483" t="s">
        <v>4622</v>
      </c>
      <c r="E1019" s="483" t="s">
        <v>4623</v>
      </c>
    </row>
    <row r="1020" customFormat="false" ht="15" hidden="false" customHeight="false" outlineLevel="0" collapsed="false">
      <c r="A1020" s="483" t="s">
        <v>4624</v>
      </c>
      <c r="B1020" s="483" t="s">
        <v>4625</v>
      </c>
      <c r="C1020" s="480" t="n">
        <v>103806</v>
      </c>
      <c r="D1020" s="483" t="s">
        <v>4626</v>
      </c>
      <c r="E1020" s="483" t="s">
        <v>4627</v>
      </c>
    </row>
    <row r="1021" customFormat="false" ht="15" hidden="false" customHeight="false" outlineLevel="0" collapsed="false">
      <c r="A1021" s="483" t="s">
        <v>4628</v>
      </c>
      <c r="B1021" s="483" t="s">
        <v>4629</v>
      </c>
      <c r="C1021" s="480" t="n">
        <v>113605</v>
      </c>
      <c r="D1021" s="483" t="s">
        <v>4630</v>
      </c>
      <c r="E1021" s="483" t="s">
        <v>4631</v>
      </c>
    </row>
    <row r="1022" customFormat="false" ht="15" hidden="false" customHeight="false" outlineLevel="0" collapsed="false">
      <c r="A1022" s="483" t="s">
        <v>4632</v>
      </c>
      <c r="B1022" s="483" t="s">
        <v>4633</v>
      </c>
      <c r="C1022" s="480" t="n">
        <v>207945</v>
      </c>
      <c r="D1022" s="483" t="s">
        <v>4634</v>
      </c>
      <c r="E1022" s="483" t="s">
        <v>4635</v>
      </c>
    </row>
    <row r="1023" customFormat="false" ht="15" hidden="false" customHeight="false" outlineLevel="0" collapsed="false">
      <c r="A1023" s="483" t="s">
        <v>4636</v>
      </c>
      <c r="B1023" s="483" t="s">
        <v>4637</v>
      </c>
      <c r="C1023" s="480" t="n">
        <v>217400</v>
      </c>
      <c r="D1023" s="483" t="s">
        <v>4638</v>
      </c>
      <c r="E1023" s="483" t="s">
        <v>4639</v>
      </c>
    </row>
    <row r="1024" customFormat="false" ht="15" hidden="false" customHeight="false" outlineLevel="0" collapsed="false">
      <c r="A1024" s="483" t="s">
        <v>4640</v>
      </c>
      <c r="B1024" s="483" t="s">
        <v>4641</v>
      </c>
      <c r="C1024" s="480" t="n">
        <v>100112</v>
      </c>
      <c r="D1024" s="483" t="s">
        <v>4642</v>
      </c>
      <c r="E1024" s="483" t="s">
        <v>4643</v>
      </c>
    </row>
    <row r="1025" customFormat="false" ht="15" hidden="false" customHeight="false" outlineLevel="0" collapsed="false">
      <c r="A1025" s="483" t="s">
        <v>4644</v>
      </c>
      <c r="B1025" s="483" t="s">
        <v>4645</v>
      </c>
      <c r="C1025" s="480" t="n">
        <v>100113</v>
      </c>
      <c r="D1025" s="483" t="s">
        <v>4646</v>
      </c>
      <c r="E1025" s="483" t="s">
        <v>4647</v>
      </c>
    </row>
    <row r="1026" customFormat="false" ht="15" hidden="false" customHeight="false" outlineLevel="0" collapsed="false">
      <c r="A1026" s="483" t="s">
        <v>4648</v>
      </c>
      <c r="B1026" s="483" t="s">
        <v>4649</v>
      </c>
      <c r="C1026" s="480" t="n">
        <v>190037</v>
      </c>
      <c r="D1026" s="483" t="s">
        <v>4650</v>
      </c>
      <c r="E1026" s="483" t="s">
        <v>4651</v>
      </c>
    </row>
    <row r="1027" customFormat="false" ht="15" hidden="false" customHeight="false" outlineLevel="0" collapsed="false">
      <c r="A1027" s="483" t="s">
        <v>4652</v>
      </c>
      <c r="B1027" s="483" t="s">
        <v>4653</v>
      </c>
      <c r="C1027" s="480" t="n">
        <v>113262</v>
      </c>
      <c r="D1027" s="483" t="s">
        <v>4654</v>
      </c>
      <c r="E1027" s="483" t="s">
        <v>4655</v>
      </c>
    </row>
    <row r="1028" customFormat="false" ht="15" hidden="false" customHeight="false" outlineLevel="0" collapsed="false">
      <c r="A1028" s="483" t="s">
        <v>4656</v>
      </c>
      <c r="B1028" s="483" t="s">
        <v>4657</v>
      </c>
      <c r="C1028" s="480" t="n">
        <v>113517</v>
      </c>
      <c r="D1028" s="483" t="s">
        <v>4658</v>
      </c>
      <c r="E1028" s="483" t="s">
        <v>4659</v>
      </c>
    </row>
    <row r="1029" customFormat="false" ht="15" hidden="false" customHeight="false" outlineLevel="0" collapsed="false">
      <c r="A1029" s="483" t="s">
        <v>4660</v>
      </c>
      <c r="B1029" s="483" t="s">
        <v>4661</v>
      </c>
      <c r="C1029" s="480" t="n">
        <v>295131</v>
      </c>
      <c r="D1029" s="483" t="s">
        <v>4662</v>
      </c>
      <c r="E1029" s="483" t="s">
        <v>4663</v>
      </c>
    </row>
    <row r="1030" customFormat="false" ht="15" hidden="false" customHeight="false" outlineLevel="0" collapsed="false">
      <c r="A1030" s="483" t="s">
        <v>4664</v>
      </c>
      <c r="B1030" s="483" t="s">
        <v>4665</v>
      </c>
      <c r="C1030" s="480" t="n">
        <v>130759</v>
      </c>
      <c r="D1030" s="483" t="s">
        <v>4666</v>
      </c>
      <c r="E1030" s="483" t="s">
        <v>4667</v>
      </c>
    </row>
    <row r="1031" customFormat="false" ht="15" hidden="false" customHeight="false" outlineLevel="0" collapsed="false">
      <c r="A1031" s="483" t="s">
        <v>4668</v>
      </c>
      <c r="B1031" s="483" t="s">
        <v>4669</v>
      </c>
      <c r="C1031" s="480" t="n">
        <v>132374</v>
      </c>
      <c r="D1031" s="483" t="s">
        <v>4670</v>
      </c>
      <c r="E1031" s="483" t="s">
        <v>4671</v>
      </c>
    </row>
    <row r="1032" customFormat="false" ht="15" hidden="false" customHeight="false" outlineLevel="0" collapsed="false">
      <c r="A1032" s="483" t="s">
        <v>4672</v>
      </c>
      <c r="B1032" s="483" t="s">
        <v>4673</v>
      </c>
      <c r="C1032" s="480" t="n">
        <v>223397</v>
      </c>
      <c r="D1032" s="483" t="s">
        <v>4674</v>
      </c>
      <c r="E1032" s="483" t="s">
        <v>4675</v>
      </c>
    </row>
    <row r="1033" customFormat="false" ht="15" hidden="false" customHeight="false" outlineLevel="0" collapsed="false">
      <c r="A1033" s="483" t="s">
        <v>4676</v>
      </c>
      <c r="B1033" s="483" t="s">
        <v>4677</v>
      </c>
      <c r="C1033" s="480" t="n">
        <v>132531</v>
      </c>
      <c r="D1033" s="483" t="s">
        <v>4678</v>
      </c>
      <c r="E1033" s="483" t="s">
        <v>4679</v>
      </c>
    </row>
    <row r="1034" customFormat="false" ht="15" hidden="false" customHeight="false" outlineLevel="0" collapsed="false">
      <c r="A1034" s="483" t="s">
        <v>4680</v>
      </c>
      <c r="B1034" s="483" t="s">
        <v>4681</v>
      </c>
      <c r="C1034" s="480" t="n">
        <v>126951</v>
      </c>
      <c r="D1034" s="483" t="s">
        <v>4682</v>
      </c>
      <c r="E1034" s="483" t="s">
        <v>4683</v>
      </c>
    </row>
    <row r="1035" customFormat="false" ht="15" hidden="false" customHeight="false" outlineLevel="0" collapsed="false">
      <c r="A1035" s="483" t="s">
        <v>4684</v>
      </c>
      <c r="B1035" s="483" t="s">
        <v>4685</v>
      </c>
      <c r="C1035" s="480" t="n">
        <v>132348</v>
      </c>
      <c r="D1035" s="483" t="s">
        <v>4686</v>
      </c>
      <c r="E1035" s="483" t="s">
        <v>4687</v>
      </c>
    </row>
    <row r="1036" customFormat="false" ht="15" hidden="false" customHeight="false" outlineLevel="0" collapsed="false">
      <c r="A1036" s="483" t="s">
        <v>4688</v>
      </c>
      <c r="B1036" s="483" t="s">
        <v>4689</v>
      </c>
      <c r="C1036" s="480" t="n">
        <v>117168</v>
      </c>
      <c r="D1036" s="483" t="s">
        <v>4690</v>
      </c>
      <c r="E1036" s="483" t="s">
        <v>4691</v>
      </c>
    </row>
    <row r="1037" customFormat="false" ht="15" hidden="false" customHeight="false" outlineLevel="0" collapsed="false">
      <c r="A1037" s="483" t="s">
        <v>4692</v>
      </c>
      <c r="B1037" s="483" t="s">
        <v>4693</v>
      </c>
      <c r="C1037" s="480" t="n">
        <v>106655</v>
      </c>
      <c r="D1037" s="483" t="s">
        <v>4694</v>
      </c>
      <c r="E1037" s="483" t="s">
        <v>4695</v>
      </c>
    </row>
    <row r="1038" customFormat="false" ht="15" hidden="false" customHeight="false" outlineLevel="0" collapsed="false">
      <c r="A1038" s="483" t="s">
        <v>4696</v>
      </c>
      <c r="B1038" s="483" t="s">
        <v>4697</v>
      </c>
      <c r="C1038" s="480" t="n">
        <v>209344</v>
      </c>
      <c r="D1038" s="483" t="s">
        <v>4698</v>
      </c>
      <c r="E1038" s="483" t="s">
        <v>4699</v>
      </c>
    </row>
    <row r="1039" customFormat="false" ht="15" hidden="false" customHeight="false" outlineLevel="0" collapsed="false">
      <c r="A1039" s="483" t="s">
        <v>4700</v>
      </c>
      <c r="B1039" s="483" t="s">
        <v>4701</v>
      </c>
      <c r="C1039" s="480" t="n">
        <v>220531</v>
      </c>
      <c r="D1039" s="483" t="s">
        <v>4702</v>
      </c>
      <c r="E1039" s="483" t="s">
        <v>4703</v>
      </c>
    </row>
    <row r="1040" customFormat="false" ht="15" hidden="false" customHeight="false" outlineLevel="0" collapsed="false">
      <c r="A1040" s="483" t="s">
        <v>4704</v>
      </c>
      <c r="B1040" s="483" t="s">
        <v>4705</v>
      </c>
      <c r="C1040" s="480" t="n">
        <v>132872</v>
      </c>
      <c r="D1040" s="483" t="s">
        <v>4706</v>
      </c>
      <c r="E1040" s="483" t="s">
        <v>4707</v>
      </c>
    </row>
    <row r="1041" customFormat="false" ht="15" hidden="false" customHeight="false" outlineLevel="0" collapsed="false">
      <c r="A1041" s="483" t="s">
        <v>4708</v>
      </c>
      <c r="B1041" s="483" t="s">
        <v>4709</v>
      </c>
      <c r="C1041" s="480" t="n">
        <v>124715</v>
      </c>
      <c r="D1041" s="483" t="s">
        <v>4710</v>
      </c>
      <c r="E1041" s="483" t="s">
        <v>4711</v>
      </c>
    </row>
    <row r="1042" customFormat="false" ht="15" hidden="false" customHeight="false" outlineLevel="0" collapsed="false">
      <c r="A1042" s="483" t="s">
        <v>4712</v>
      </c>
      <c r="B1042" s="483" t="s">
        <v>4713</v>
      </c>
      <c r="C1042" s="480" t="n">
        <v>132733</v>
      </c>
      <c r="D1042" s="483" t="s">
        <v>4714</v>
      </c>
      <c r="E1042" s="483" t="s">
        <v>4715</v>
      </c>
    </row>
    <row r="1043" customFormat="false" ht="15" hidden="false" customHeight="false" outlineLevel="0" collapsed="false">
      <c r="A1043" s="483" t="s">
        <v>4716</v>
      </c>
      <c r="B1043" s="483" t="s">
        <v>4717</v>
      </c>
      <c r="C1043" s="480" t="n">
        <v>224898</v>
      </c>
      <c r="D1043" s="483" t="s">
        <v>4718</v>
      </c>
      <c r="E1043" s="483" t="s">
        <v>4719</v>
      </c>
    </row>
    <row r="1044" customFormat="false" ht="15" hidden="false" customHeight="false" outlineLevel="0" collapsed="false">
      <c r="A1044" s="483" t="s">
        <v>4720</v>
      </c>
      <c r="B1044" s="483" t="s">
        <v>4721</v>
      </c>
      <c r="C1044" s="480" t="n">
        <v>190071</v>
      </c>
      <c r="D1044" s="483" t="s">
        <v>4722</v>
      </c>
      <c r="E1044" s="483" t="s">
        <v>4723</v>
      </c>
    </row>
    <row r="1045" customFormat="false" ht="15" hidden="false" customHeight="false" outlineLevel="0" collapsed="false">
      <c r="A1045" s="483" t="s">
        <v>4724</v>
      </c>
      <c r="B1045" s="483" t="s">
        <v>4725</v>
      </c>
      <c r="C1045" s="480" t="n">
        <v>120056</v>
      </c>
      <c r="D1045" s="483" t="s">
        <v>4726</v>
      </c>
      <c r="E1045" s="483" t="s">
        <v>4727</v>
      </c>
    </row>
    <row r="1046" customFormat="false" ht="15" hidden="false" customHeight="false" outlineLevel="0" collapsed="false">
      <c r="A1046" s="483" t="s">
        <v>4728</v>
      </c>
      <c r="B1046" s="483" t="s">
        <v>4729</v>
      </c>
      <c r="C1046" s="480" t="n">
        <v>100403</v>
      </c>
      <c r="D1046" s="483" t="s">
        <v>4730</v>
      </c>
      <c r="E1046" s="483" t="s">
        <v>4731</v>
      </c>
    </row>
    <row r="1047" customFormat="false" ht="15" hidden="false" customHeight="false" outlineLevel="0" collapsed="false">
      <c r="A1047" s="483" t="s">
        <v>4732</v>
      </c>
      <c r="B1047" s="483" t="s">
        <v>4733</v>
      </c>
      <c r="C1047" s="480" t="n">
        <v>100404</v>
      </c>
      <c r="D1047" s="483" t="s">
        <v>4734</v>
      </c>
      <c r="E1047" s="483" t="s">
        <v>4735</v>
      </c>
    </row>
    <row r="1048" customFormat="false" ht="15" hidden="false" customHeight="false" outlineLevel="0" collapsed="false">
      <c r="A1048" s="483" t="s">
        <v>4736</v>
      </c>
      <c r="B1048" s="483" t="s">
        <v>4737</v>
      </c>
      <c r="C1048" s="480" t="n">
        <v>112179</v>
      </c>
      <c r="D1048" s="483" t="s">
        <v>4738</v>
      </c>
      <c r="E1048" s="483" t="s">
        <v>4739</v>
      </c>
    </row>
    <row r="1049" customFormat="false" ht="15" hidden="false" customHeight="false" outlineLevel="0" collapsed="false">
      <c r="A1049" s="483" t="s">
        <v>4740</v>
      </c>
      <c r="B1049" s="483" t="s">
        <v>4741</v>
      </c>
      <c r="C1049" s="480" t="n">
        <v>132509</v>
      </c>
      <c r="D1049" s="483" t="s">
        <v>4742</v>
      </c>
      <c r="E1049" s="483" t="s">
        <v>4743</v>
      </c>
    </row>
    <row r="1050" customFormat="false" ht="15" hidden="false" customHeight="false" outlineLevel="0" collapsed="false">
      <c r="A1050" s="483" t="s">
        <v>4744</v>
      </c>
      <c r="B1050" s="483" t="s">
        <v>4745</v>
      </c>
      <c r="C1050" s="480" t="n">
        <v>109930</v>
      </c>
      <c r="D1050" s="483" t="s">
        <v>4746</v>
      </c>
      <c r="E1050" s="483" t="s">
        <v>4747</v>
      </c>
    </row>
    <row r="1051" customFormat="false" ht="15" hidden="false" customHeight="false" outlineLevel="0" collapsed="false">
      <c r="A1051" s="483" t="s">
        <v>4748</v>
      </c>
      <c r="B1051" s="483" t="s">
        <v>4749</v>
      </c>
      <c r="C1051" s="480" t="n">
        <v>100405</v>
      </c>
      <c r="D1051" s="483" t="s">
        <v>4750</v>
      </c>
      <c r="E1051" s="483" t="s">
        <v>4751</v>
      </c>
    </row>
    <row r="1052" customFormat="false" ht="15" hidden="false" customHeight="false" outlineLevel="0" collapsed="false">
      <c r="A1052" s="483" t="s">
        <v>4752</v>
      </c>
      <c r="B1052" s="483" t="s">
        <v>4753</v>
      </c>
      <c r="C1052" s="480" t="n">
        <v>227331</v>
      </c>
      <c r="D1052" s="483" t="s">
        <v>4754</v>
      </c>
      <c r="E1052" s="483" t="s">
        <v>4755</v>
      </c>
    </row>
    <row r="1053" customFormat="false" ht="15" hidden="false" customHeight="false" outlineLevel="0" collapsed="false">
      <c r="A1053" s="483" t="s">
        <v>4756</v>
      </c>
      <c r="B1053" s="483" t="s">
        <v>4757</v>
      </c>
      <c r="C1053" s="480" t="n">
        <v>100336</v>
      </c>
      <c r="D1053" s="483" t="s">
        <v>4758</v>
      </c>
      <c r="E1053" s="483" t="s">
        <v>4759</v>
      </c>
    </row>
    <row r="1054" customFormat="false" ht="15" hidden="false" customHeight="false" outlineLevel="0" collapsed="false">
      <c r="A1054" s="483" t="s">
        <v>4760</v>
      </c>
      <c r="B1054" s="483" t="s">
        <v>4761</v>
      </c>
      <c r="C1054" s="480" t="n">
        <v>272661</v>
      </c>
      <c r="D1054" s="483" t="s">
        <v>4762</v>
      </c>
      <c r="E1054" s="483" t="s">
        <v>4763</v>
      </c>
    </row>
    <row r="1055" customFormat="false" ht="15" hidden="false" customHeight="false" outlineLevel="0" collapsed="false">
      <c r="A1055" s="483" t="s">
        <v>4764</v>
      </c>
      <c r="B1055" s="483" t="s">
        <v>4765</v>
      </c>
      <c r="C1055" s="480" t="n">
        <v>132782</v>
      </c>
      <c r="D1055" s="483" t="s">
        <v>4766</v>
      </c>
      <c r="E1055" s="483" t="s">
        <v>4767</v>
      </c>
    </row>
    <row r="1056" customFormat="false" ht="15" hidden="false" customHeight="false" outlineLevel="0" collapsed="false">
      <c r="A1056" s="483" t="s">
        <v>4768</v>
      </c>
      <c r="B1056" s="483" t="s">
        <v>4769</v>
      </c>
      <c r="C1056" s="480" t="n">
        <v>288678</v>
      </c>
      <c r="D1056" s="483" t="s">
        <v>4770</v>
      </c>
      <c r="E1056" s="483" t="s">
        <v>4771</v>
      </c>
    </row>
    <row r="1057" customFormat="false" ht="15" hidden="false" customHeight="false" outlineLevel="0" collapsed="false">
      <c r="A1057" s="483" t="s">
        <v>4772</v>
      </c>
      <c r="B1057" s="483" t="s">
        <v>4773</v>
      </c>
      <c r="C1057" s="480" t="n">
        <v>130239</v>
      </c>
      <c r="D1057" s="483" t="s">
        <v>4774</v>
      </c>
      <c r="E1057" s="483" t="s">
        <v>4775</v>
      </c>
    </row>
    <row r="1058" customFormat="false" ht="15" hidden="false" customHeight="false" outlineLevel="0" collapsed="false">
      <c r="A1058" s="483" t="s">
        <v>4776</v>
      </c>
      <c r="B1058" s="483" t="s">
        <v>4777</v>
      </c>
      <c r="C1058" s="480" t="n">
        <v>297629</v>
      </c>
      <c r="D1058" s="483" t="s">
        <v>4778</v>
      </c>
      <c r="E1058" s="483" t="s">
        <v>4779</v>
      </c>
    </row>
    <row r="1059" customFormat="false" ht="15" hidden="false" customHeight="false" outlineLevel="0" collapsed="false">
      <c r="A1059" s="483" t="s">
        <v>4780</v>
      </c>
      <c r="B1059" s="483" t="s">
        <v>4781</v>
      </c>
      <c r="C1059" s="480" t="n">
        <v>132667</v>
      </c>
      <c r="D1059" s="483" t="s">
        <v>4782</v>
      </c>
      <c r="E1059" s="483" t="s">
        <v>4783</v>
      </c>
    </row>
    <row r="1060" customFormat="false" ht="15" hidden="false" customHeight="false" outlineLevel="0" collapsed="false">
      <c r="A1060" s="483" t="s">
        <v>4784</v>
      </c>
      <c r="B1060" s="483" t="s">
        <v>4785</v>
      </c>
      <c r="C1060" s="480" t="n">
        <v>105590</v>
      </c>
      <c r="D1060" s="483" t="s">
        <v>4786</v>
      </c>
      <c r="E1060" s="483" t="s">
        <v>4787</v>
      </c>
    </row>
    <row r="1061" customFormat="false" ht="15" hidden="false" customHeight="false" outlineLevel="0" collapsed="false">
      <c r="A1061" s="483" t="s">
        <v>4788</v>
      </c>
      <c r="B1061" s="483" t="s">
        <v>4789</v>
      </c>
      <c r="C1061" s="480" t="n">
        <v>103310</v>
      </c>
      <c r="D1061" s="483" t="s">
        <v>4790</v>
      </c>
      <c r="E1061" s="483" t="s">
        <v>4791</v>
      </c>
    </row>
    <row r="1062" customFormat="false" ht="15" hidden="false" customHeight="false" outlineLevel="0" collapsed="false">
      <c r="A1062" s="483" t="s">
        <v>4792</v>
      </c>
      <c r="B1062" s="483" t="s">
        <v>4793</v>
      </c>
      <c r="C1062" s="480" t="n">
        <v>100407</v>
      </c>
      <c r="D1062" s="483" t="s">
        <v>4794</v>
      </c>
      <c r="E1062" s="483" t="s">
        <v>4795</v>
      </c>
    </row>
    <row r="1063" customFormat="false" ht="15" hidden="false" customHeight="false" outlineLevel="0" collapsed="false">
      <c r="A1063" s="483" t="s">
        <v>4796</v>
      </c>
      <c r="B1063" s="483" t="s">
        <v>4797</v>
      </c>
      <c r="C1063" s="480" t="n">
        <v>117385</v>
      </c>
      <c r="D1063" s="483" t="s">
        <v>4798</v>
      </c>
      <c r="E1063" s="483" t="s">
        <v>4799</v>
      </c>
    </row>
    <row r="1064" customFormat="false" ht="15" hidden="false" customHeight="false" outlineLevel="0" collapsed="false">
      <c r="A1064" s="483" t="s">
        <v>4800</v>
      </c>
      <c r="B1064" s="483"/>
      <c r="C1064" s="480" t="n">
        <v>124470</v>
      </c>
      <c r="D1064" s="483" t="s">
        <v>4801</v>
      </c>
      <c r="E1064" s="483" t="s">
        <v>4802</v>
      </c>
    </row>
    <row r="1065" customFormat="false" ht="15" hidden="false" customHeight="false" outlineLevel="0" collapsed="false">
      <c r="A1065" s="483" t="s">
        <v>4803</v>
      </c>
      <c r="B1065" s="483" t="s">
        <v>4804</v>
      </c>
      <c r="C1065" s="480" t="n">
        <v>209373</v>
      </c>
      <c r="D1065" s="483" t="s">
        <v>4805</v>
      </c>
      <c r="E1065" s="483" t="s">
        <v>4806</v>
      </c>
    </row>
    <row r="1066" customFormat="false" ht="15" hidden="false" customHeight="false" outlineLevel="0" collapsed="false">
      <c r="A1066" s="483" t="s">
        <v>4807</v>
      </c>
      <c r="B1066" s="483"/>
      <c r="C1066" s="480" t="n">
        <v>126506</v>
      </c>
      <c r="D1066" s="483" t="s">
        <v>4808</v>
      </c>
      <c r="E1066" s="483" t="s">
        <v>4809</v>
      </c>
    </row>
    <row r="1067" customFormat="false" ht="15" hidden="false" customHeight="false" outlineLevel="0" collapsed="false">
      <c r="A1067" s="483" t="s">
        <v>4810</v>
      </c>
      <c r="B1067" s="483"/>
      <c r="C1067" s="480" t="n">
        <v>281896</v>
      </c>
      <c r="D1067" s="483" t="s">
        <v>4811</v>
      </c>
      <c r="E1067" s="483" t="s">
        <v>4812</v>
      </c>
    </row>
    <row r="1068" customFormat="false" ht="15" hidden="false" customHeight="false" outlineLevel="0" collapsed="false">
      <c r="A1068" s="483" t="s">
        <v>4813</v>
      </c>
      <c r="B1068" s="483" t="s">
        <v>4814</v>
      </c>
      <c r="C1068" s="480" t="n">
        <v>132390</v>
      </c>
      <c r="D1068" s="483" t="s">
        <v>4815</v>
      </c>
      <c r="E1068" s="483" t="s">
        <v>4816</v>
      </c>
    </row>
    <row r="1069" customFormat="false" ht="15" hidden="false" customHeight="false" outlineLevel="0" collapsed="false">
      <c r="A1069" s="483" t="s">
        <v>4817</v>
      </c>
      <c r="B1069" s="483" t="s">
        <v>4818</v>
      </c>
      <c r="C1069" s="480" t="n">
        <v>132890</v>
      </c>
      <c r="D1069" s="483" t="s">
        <v>4819</v>
      </c>
      <c r="E1069" s="483" t="s">
        <v>4820</v>
      </c>
    </row>
    <row r="1070" customFormat="false" ht="15" hidden="false" customHeight="false" outlineLevel="0" collapsed="false">
      <c r="A1070" s="483" t="s">
        <v>4821</v>
      </c>
      <c r="B1070" s="483" t="s">
        <v>4822</v>
      </c>
      <c r="C1070" s="480" t="n">
        <v>131426</v>
      </c>
      <c r="D1070" s="483" t="s">
        <v>4823</v>
      </c>
      <c r="E1070" s="483" t="s">
        <v>4824</v>
      </c>
    </row>
    <row r="1071" customFormat="false" ht="15" hidden="false" customHeight="false" outlineLevel="0" collapsed="false">
      <c r="A1071" s="483" t="s">
        <v>4825</v>
      </c>
      <c r="B1071" s="483" t="s">
        <v>4826</v>
      </c>
      <c r="C1071" s="480" t="n">
        <v>100777</v>
      </c>
      <c r="D1071" s="483" t="s">
        <v>4827</v>
      </c>
      <c r="E1071" s="483" t="s">
        <v>4828</v>
      </c>
    </row>
    <row r="1072" customFormat="false" ht="15" hidden="false" customHeight="false" outlineLevel="0" collapsed="false">
      <c r="A1072" s="483" t="s">
        <v>4829</v>
      </c>
      <c r="B1072" s="483" t="s">
        <v>4830</v>
      </c>
      <c r="C1072" s="480" t="n">
        <v>106854</v>
      </c>
      <c r="D1072" s="483" t="s">
        <v>4831</v>
      </c>
      <c r="E1072" s="483" t="s">
        <v>4832</v>
      </c>
    </row>
    <row r="1073" customFormat="false" ht="15" hidden="false" customHeight="false" outlineLevel="0" collapsed="false">
      <c r="A1073" s="483" t="s">
        <v>4833</v>
      </c>
      <c r="B1073" s="483" t="s">
        <v>4834</v>
      </c>
      <c r="C1073" s="480" t="n">
        <v>132790</v>
      </c>
      <c r="D1073" s="483" t="s">
        <v>4835</v>
      </c>
      <c r="E1073" s="483" t="s">
        <v>4836</v>
      </c>
    </row>
    <row r="1074" customFormat="false" ht="15" hidden="false" customHeight="false" outlineLevel="0" collapsed="false">
      <c r="A1074" s="483" t="s">
        <v>4837</v>
      </c>
      <c r="B1074" s="483" t="s">
        <v>4838</v>
      </c>
      <c r="C1074" s="480" t="n">
        <v>300790</v>
      </c>
      <c r="D1074" s="483" t="s">
        <v>4839</v>
      </c>
      <c r="E1074" s="483" t="s">
        <v>4840</v>
      </c>
    </row>
    <row r="1075" customFormat="false" ht="15" hidden="false" customHeight="false" outlineLevel="0" collapsed="false">
      <c r="A1075" s="483" t="s">
        <v>4841</v>
      </c>
      <c r="B1075" s="483" t="s">
        <v>4842</v>
      </c>
      <c r="C1075" s="480" t="n">
        <v>217015</v>
      </c>
      <c r="D1075" s="483" t="s">
        <v>4843</v>
      </c>
      <c r="E1075" s="483" t="s">
        <v>4844</v>
      </c>
    </row>
    <row r="1076" customFormat="false" ht="15" hidden="false" customHeight="false" outlineLevel="0" collapsed="false">
      <c r="A1076" s="483" t="s">
        <v>4845</v>
      </c>
      <c r="B1076" s="483" t="s">
        <v>4846</v>
      </c>
      <c r="C1076" s="480" t="n">
        <v>119091</v>
      </c>
      <c r="D1076" s="483" t="s">
        <v>4847</v>
      </c>
      <c r="E1076" s="483" t="s">
        <v>4848</v>
      </c>
    </row>
    <row r="1077" customFormat="false" ht="15" hidden="false" customHeight="false" outlineLevel="0" collapsed="false">
      <c r="A1077" s="483" t="s">
        <v>4849</v>
      </c>
      <c r="B1077" s="483" t="s">
        <v>4850</v>
      </c>
      <c r="C1077" s="480" t="n">
        <v>100770</v>
      </c>
      <c r="D1077" s="483" t="s">
        <v>4851</v>
      </c>
      <c r="E1077" s="483" t="s">
        <v>4852</v>
      </c>
    </row>
    <row r="1078" customFormat="false" ht="15" hidden="false" customHeight="false" outlineLevel="0" collapsed="false">
      <c r="A1078" s="483" t="s">
        <v>4853</v>
      </c>
      <c r="B1078" s="483" t="s">
        <v>4854</v>
      </c>
      <c r="C1078" s="480" t="n">
        <v>132301</v>
      </c>
      <c r="D1078" s="483" t="s">
        <v>4855</v>
      </c>
      <c r="E1078" s="483" t="s">
        <v>4856</v>
      </c>
    </row>
    <row r="1079" customFormat="false" ht="15" hidden="false" customHeight="false" outlineLevel="0" collapsed="false">
      <c r="A1079" s="483" t="s">
        <v>4857</v>
      </c>
      <c r="B1079" s="483" t="s">
        <v>4858</v>
      </c>
      <c r="C1079" s="480" t="n">
        <v>100483</v>
      </c>
      <c r="D1079" s="483" t="s">
        <v>4859</v>
      </c>
      <c r="E1079" s="483" t="s">
        <v>4860</v>
      </c>
    </row>
    <row r="1080" customFormat="false" ht="15" hidden="false" customHeight="false" outlineLevel="0" collapsed="false">
      <c r="A1080" s="483" t="s">
        <v>4861</v>
      </c>
      <c r="B1080" s="483" t="s">
        <v>4862</v>
      </c>
      <c r="C1080" s="480" t="n">
        <v>132540</v>
      </c>
      <c r="D1080" s="483" t="s">
        <v>4863</v>
      </c>
      <c r="E1080" s="483" t="s">
        <v>4864</v>
      </c>
    </row>
    <row r="1081" customFormat="false" ht="15" hidden="false" customHeight="false" outlineLevel="0" collapsed="false">
      <c r="A1081" s="483" t="s">
        <v>4865</v>
      </c>
      <c r="B1081" s="483" t="s">
        <v>4866</v>
      </c>
      <c r="C1081" s="480" t="n">
        <v>100800</v>
      </c>
      <c r="D1081" s="483" t="s">
        <v>4867</v>
      </c>
      <c r="E1081" s="483" t="s">
        <v>4868</v>
      </c>
    </row>
    <row r="1082" customFormat="false" ht="15" hidden="false" customHeight="false" outlineLevel="0" collapsed="false">
      <c r="A1082" s="483" t="s">
        <v>4869</v>
      </c>
      <c r="B1082" s="483" t="s">
        <v>4870</v>
      </c>
      <c r="C1082" s="480" t="n">
        <v>100408</v>
      </c>
      <c r="D1082" s="483" t="s">
        <v>4871</v>
      </c>
      <c r="E1082" s="483" t="s">
        <v>4872</v>
      </c>
    </row>
    <row r="1083" customFormat="false" ht="15" hidden="false" customHeight="false" outlineLevel="0" collapsed="false">
      <c r="A1083" s="483" t="s">
        <v>4873</v>
      </c>
      <c r="B1083" s="483" t="s">
        <v>4874</v>
      </c>
      <c r="C1083" s="480" t="n">
        <v>101301</v>
      </c>
      <c r="D1083" s="483" t="s">
        <v>4875</v>
      </c>
      <c r="E1083" s="483" t="s">
        <v>4876</v>
      </c>
    </row>
    <row r="1084" customFormat="false" ht="15" hidden="false" customHeight="false" outlineLevel="0" collapsed="false">
      <c r="A1084" s="483" t="s">
        <v>4877</v>
      </c>
      <c r="B1084" s="483" t="s">
        <v>4878</v>
      </c>
      <c r="C1084" s="480" t="n">
        <v>113434</v>
      </c>
      <c r="D1084" s="483" t="s">
        <v>4879</v>
      </c>
      <c r="E1084" s="483" t="s">
        <v>4880</v>
      </c>
    </row>
    <row r="1085" customFormat="false" ht="15" hidden="false" customHeight="false" outlineLevel="0" collapsed="false">
      <c r="A1085" s="483" t="s">
        <v>4881</v>
      </c>
      <c r="B1085" s="483" t="s">
        <v>4882</v>
      </c>
      <c r="C1085" s="480" t="n">
        <v>100570</v>
      </c>
      <c r="D1085" s="483" t="s">
        <v>4883</v>
      </c>
      <c r="E1085" s="483" t="s">
        <v>4884</v>
      </c>
    </row>
    <row r="1086" customFormat="false" ht="15" hidden="false" customHeight="false" outlineLevel="0" collapsed="false">
      <c r="A1086" s="483" t="s">
        <v>4885</v>
      </c>
      <c r="B1086" s="483" t="s">
        <v>4886</v>
      </c>
      <c r="C1086" s="480" t="n">
        <v>100400</v>
      </c>
      <c r="D1086" s="483" t="s">
        <v>4887</v>
      </c>
      <c r="E1086" s="483" t="s">
        <v>4888</v>
      </c>
    </row>
    <row r="1087" customFormat="false" ht="15" hidden="false" customHeight="false" outlineLevel="0" collapsed="false">
      <c r="A1087" s="483" t="s">
        <v>4889</v>
      </c>
      <c r="B1087" s="483" t="s">
        <v>4890</v>
      </c>
      <c r="C1087" s="480" t="n">
        <v>113010</v>
      </c>
      <c r="D1087" s="483" t="s">
        <v>4891</v>
      </c>
      <c r="E1087" s="483" t="s">
        <v>4892</v>
      </c>
    </row>
    <row r="1088" customFormat="false" ht="15" hidden="false" customHeight="false" outlineLevel="0" collapsed="false">
      <c r="A1088" s="483" t="s">
        <v>4893</v>
      </c>
      <c r="B1088" s="483" t="s">
        <v>4894</v>
      </c>
      <c r="C1088" s="480" t="n">
        <v>100470</v>
      </c>
      <c r="D1088" s="483" t="s">
        <v>4895</v>
      </c>
      <c r="E1088" s="483" t="s">
        <v>4896</v>
      </c>
    </row>
    <row r="1089" customFormat="false" ht="15" hidden="false" customHeight="false" outlineLevel="0" collapsed="false">
      <c r="A1089" s="483" t="s">
        <v>4897</v>
      </c>
      <c r="B1089" s="483" t="s">
        <v>4898</v>
      </c>
      <c r="C1089" s="480" t="n">
        <v>132371</v>
      </c>
      <c r="D1089" s="483" t="s">
        <v>4899</v>
      </c>
      <c r="E1089" s="483" t="s">
        <v>4900</v>
      </c>
    </row>
    <row r="1090" customFormat="false" ht="15" hidden="false" customHeight="false" outlineLevel="0" collapsed="false">
      <c r="A1090" s="483" t="s">
        <v>4901</v>
      </c>
      <c r="B1090" s="483" t="s">
        <v>4902</v>
      </c>
      <c r="C1090" s="480" t="n">
        <v>223112</v>
      </c>
      <c r="D1090" s="483" t="s">
        <v>4903</v>
      </c>
      <c r="E1090" s="483" t="s">
        <v>4904</v>
      </c>
    </row>
    <row r="1091" customFormat="false" ht="15" hidden="false" customHeight="false" outlineLevel="0" collapsed="false">
      <c r="A1091" s="483" t="s">
        <v>4905</v>
      </c>
      <c r="B1091" s="483" t="s">
        <v>4906</v>
      </c>
      <c r="C1091" s="480" t="n">
        <v>225998</v>
      </c>
      <c r="D1091" s="483" t="s">
        <v>4907</v>
      </c>
      <c r="E1091" s="483" t="s">
        <v>4908</v>
      </c>
    </row>
    <row r="1092" customFormat="false" ht="15" hidden="false" customHeight="false" outlineLevel="0" collapsed="false">
      <c r="A1092" s="483" t="s">
        <v>4909</v>
      </c>
      <c r="B1092" s="483" t="s">
        <v>4910</v>
      </c>
      <c r="C1092" s="480" t="n">
        <v>209425</v>
      </c>
      <c r="D1092" s="483" t="s">
        <v>4911</v>
      </c>
      <c r="E1092" s="483" t="s">
        <v>4912</v>
      </c>
    </row>
    <row r="1093" customFormat="false" ht="15" hidden="false" customHeight="false" outlineLevel="0" collapsed="false">
      <c r="A1093" s="483" t="s">
        <v>4913</v>
      </c>
      <c r="B1093" s="483" t="s">
        <v>4914</v>
      </c>
      <c r="C1093" s="480" t="n">
        <v>223658</v>
      </c>
      <c r="D1093" s="483" t="s">
        <v>4915</v>
      </c>
      <c r="E1093" s="483" t="s">
        <v>4916</v>
      </c>
    </row>
    <row r="1094" customFormat="false" ht="15" hidden="false" customHeight="false" outlineLevel="0" collapsed="false">
      <c r="A1094" s="483" t="s">
        <v>4917</v>
      </c>
      <c r="B1094" s="483" t="s">
        <v>4918</v>
      </c>
      <c r="C1094" s="480" t="n">
        <v>221194</v>
      </c>
      <c r="D1094" s="483" t="s">
        <v>4919</v>
      </c>
      <c r="E1094" s="483" t="s">
        <v>4920</v>
      </c>
    </row>
    <row r="1095" customFormat="false" ht="15" hidden="false" customHeight="false" outlineLevel="0" collapsed="false">
      <c r="A1095" s="483" t="s">
        <v>4921</v>
      </c>
      <c r="B1095" s="483" t="s">
        <v>4922</v>
      </c>
      <c r="C1095" s="480" t="n">
        <v>132755</v>
      </c>
      <c r="D1095" s="483" t="s">
        <v>4923</v>
      </c>
      <c r="E1095" s="483" t="s">
        <v>4924</v>
      </c>
    </row>
    <row r="1096" customFormat="false" ht="15" hidden="false" customHeight="false" outlineLevel="0" collapsed="false">
      <c r="A1096" s="483" t="s">
        <v>4925</v>
      </c>
      <c r="B1096" s="483" t="s">
        <v>4926</v>
      </c>
      <c r="C1096" s="480" t="n">
        <v>220869</v>
      </c>
      <c r="D1096" s="483" t="s">
        <v>4927</v>
      </c>
      <c r="E1096" s="483" t="s">
        <v>4928</v>
      </c>
    </row>
    <row r="1097" customFormat="false" ht="15" hidden="false" customHeight="false" outlineLevel="0" collapsed="false">
      <c r="A1097" s="483" t="s">
        <v>4929</v>
      </c>
      <c r="B1097" s="483" t="s">
        <v>4930</v>
      </c>
      <c r="C1097" s="480" t="n">
        <v>132804</v>
      </c>
      <c r="D1097" s="483" t="s">
        <v>4931</v>
      </c>
      <c r="E1097" s="483" t="s">
        <v>4932</v>
      </c>
    </row>
    <row r="1098" customFormat="false" ht="15" hidden="false" customHeight="false" outlineLevel="0" collapsed="false">
      <c r="A1098" s="483" t="s">
        <v>4933</v>
      </c>
      <c r="B1098" s="483" t="s">
        <v>4934</v>
      </c>
      <c r="C1098" s="480" t="n">
        <v>255331</v>
      </c>
      <c r="D1098" s="483" t="s">
        <v>4935</v>
      </c>
      <c r="E1098" s="483" t="s">
        <v>4936</v>
      </c>
    </row>
    <row r="1099" customFormat="false" ht="15" hidden="false" customHeight="false" outlineLevel="0" collapsed="false">
      <c r="A1099" s="483" t="s">
        <v>4937</v>
      </c>
      <c r="B1099" s="483" t="s">
        <v>4938</v>
      </c>
      <c r="C1099" s="480" t="n">
        <v>210859</v>
      </c>
      <c r="D1099" s="483" t="s">
        <v>4939</v>
      </c>
      <c r="E1099" s="483" t="s">
        <v>4940</v>
      </c>
    </row>
    <row r="1100" customFormat="false" ht="15" hidden="false" customHeight="false" outlineLevel="0" collapsed="false">
      <c r="A1100" s="483" t="s">
        <v>4941</v>
      </c>
      <c r="B1100" s="483" t="s">
        <v>4942</v>
      </c>
      <c r="C1100" s="480" t="n">
        <v>105400</v>
      </c>
      <c r="D1100" s="483" t="s">
        <v>4943</v>
      </c>
      <c r="E1100" s="483" t="s">
        <v>4944</v>
      </c>
    </row>
    <row r="1101" customFormat="false" ht="15" hidden="false" customHeight="false" outlineLevel="0" collapsed="false">
      <c r="A1101" s="483" t="s">
        <v>4945</v>
      </c>
      <c r="B1101" s="483" t="s">
        <v>4946</v>
      </c>
      <c r="C1101" s="480" t="n">
        <v>222822</v>
      </c>
      <c r="D1101" s="483" t="s">
        <v>4947</v>
      </c>
      <c r="E1101" s="483" t="s">
        <v>4948</v>
      </c>
    </row>
    <row r="1102" customFormat="false" ht="15" hidden="false" customHeight="false" outlineLevel="0" collapsed="false">
      <c r="A1102" s="483" t="s">
        <v>4949</v>
      </c>
      <c r="B1102" s="483" t="s">
        <v>4950</v>
      </c>
      <c r="C1102" s="480" t="n">
        <v>107753</v>
      </c>
      <c r="D1102" s="483" t="s">
        <v>4951</v>
      </c>
      <c r="E1102" s="483" t="s">
        <v>4952</v>
      </c>
    </row>
    <row r="1103" customFormat="false" ht="15" hidden="false" customHeight="false" outlineLevel="0" collapsed="false">
      <c r="A1103" s="483" t="s">
        <v>4953</v>
      </c>
      <c r="B1103" s="483" t="s">
        <v>4954</v>
      </c>
      <c r="C1103" s="480" t="n">
        <v>219236</v>
      </c>
      <c r="D1103" s="483" t="s">
        <v>4955</v>
      </c>
      <c r="E1103" s="483" t="s">
        <v>4956</v>
      </c>
    </row>
    <row r="1104" customFormat="false" ht="15" hidden="false" customHeight="false" outlineLevel="0" collapsed="false">
      <c r="A1104" s="483" t="s">
        <v>4957</v>
      </c>
      <c r="B1104" s="483" t="s">
        <v>4958</v>
      </c>
      <c r="C1104" s="480" t="n">
        <v>190062</v>
      </c>
      <c r="D1104" s="483" t="s">
        <v>4959</v>
      </c>
      <c r="E1104" s="483" t="s">
        <v>4960</v>
      </c>
    </row>
    <row r="1105" customFormat="false" ht="15" hidden="false" customHeight="false" outlineLevel="0" collapsed="false">
      <c r="A1105" s="483" t="s">
        <v>4961</v>
      </c>
      <c r="B1105" s="483" t="s">
        <v>4962</v>
      </c>
      <c r="C1105" s="480" t="n">
        <v>293664</v>
      </c>
      <c r="D1105" s="483" t="s">
        <v>4963</v>
      </c>
      <c r="E1105" s="483" t="s">
        <v>4964</v>
      </c>
    </row>
    <row r="1106" customFormat="false" ht="15" hidden="false" customHeight="false" outlineLevel="0" collapsed="false">
      <c r="A1106" s="483" t="s">
        <v>4965</v>
      </c>
      <c r="B1106" s="483" t="s">
        <v>4966</v>
      </c>
      <c r="C1106" s="480" t="n">
        <v>100469</v>
      </c>
      <c r="D1106" s="483" t="s">
        <v>4967</v>
      </c>
      <c r="E1106" s="483" t="s">
        <v>4968</v>
      </c>
    </row>
    <row r="1107" customFormat="false" ht="15" hidden="false" customHeight="false" outlineLevel="0" collapsed="false">
      <c r="A1107" s="483" t="s">
        <v>4969</v>
      </c>
      <c r="B1107" s="483" t="s">
        <v>4970</v>
      </c>
      <c r="C1107" s="480" t="n">
        <v>190024</v>
      </c>
      <c r="D1107" s="483" t="s">
        <v>4971</v>
      </c>
      <c r="E1107" s="483" t="s">
        <v>4972</v>
      </c>
    </row>
    <row r="1108" customFormat="false" ht="15" hidden="false" customHeight="false" outlineLevel="0" collapsed="false">
      <c r="A1108" s="483" t="s">
        <v>4973</v>
      </c>
      <c r="B1108" s="483" t="s">
        <v>4974</v>
      </c>
      <c r="C1108" s="480" t="n">
        <v>100620</v>
      </c>
      <c r="D1108" s="483" t="s">
        <v>4975</v>
      </c>
      <c r="E1108" s="483" t="s">
        <v>4976</v>
      </c>
    </row>
    <row r="1109" customFormat="false" ht="15" hidden="false" customHeight="false" outlineLevel="0" collapsed="false">
      <c r="A1109" s="483" t="s">
        <v>4977</v>
      </c>
      <c r="B1109" s="483" t="s">
        <v>4978</v>
      </c>
      <c r="C1109" s="480" t="n">
        <v>130005</v>
      </c>
      <c r="D1109" s="483" t="s">
        <v>4979</v>
      </c>
      <c r="E1109" s="483" t="s">
        <v>4980</v>
      </c>
    </row>
    <row r="1110" customFormat="false" ht="15" hidden="false" customHeight="false" outlineLevel="0" collapsed="false">
      <c r="A1110" s="483" t="s">
        <v>4981</v>
      </c>
      <c r="B1110" s="483" t="s">
        <v>4982</v>
      </c>
      <c r="C1110" s="480" t="n">
        <v>100850</v>
      </c>
      <c r="D1110" s="483" t="s">
        <v>4983</v>
      </c>
      <c r="E1110" s="483" t="s">
        <v>4984</v>
      </c>
    </row>
    <row r="1111" customFormat="false" ht="15" hidden="false" customHeight="false" outlineLevel="0" collapsed="false">
      <c r="A1111" s="483" t="s">
        <v>4985</v>
      </c>
      <c r="B1111" s="483" t="s">
        <v>4986</v>
      </c>
      <c r="C1111" s="480" t="n">
        <v>130023</v>
      </c>
      <c r="D1111" s="483" t="s">
        <v>4987</v>
      </c>
      <c r="E1111" s="483" t="s">
        <v>4988</v>
      </c>
    </row>
    <row r="1112" customFormat="false" ht="15" hidden="false" customHeight="false" outlineLevel="0" collapsed="false">
      <c r="A1112" s="483" t="s">
        <v>4989</v>
      </c>
      <c r="B1112" s="483" t="s">
        <v>4990</v>
      </c>
      <c r="C1112" s="480" t="n">
        <v>132209</v>
      </c>
      <c r="D1112" s="483" t="s">
        <v>4991</v>
      </c>
      <c r="E1112" s="483" t="s">
        <v>4992</v>
      </c>
    </row>
    <row r="1113" customFormat="false" ht="15" hidden="false" customHeight="false" outlineLevel="0" collapsed="false">
      <c r="A1113" s="483" t="s">
        <v>4993</v>
      </c>
      <c r="B1113" s="483" t="s">
        <v>4994</v>
      </c>
      <c r="C1113" s="480" t="n">
        <v>132652</v>
      </c>
      <c r="D1113" s="483" t="s">
        <v>4995</v>
      </c>
      <c r="E1113" s="483" t="s">
        <v>4996</v>
      </c>
    </row>
    <row r="1114" customFormat="false" ht="15" hidden="false" customHeight="false" outlineLevel="0" collapsed="false">
      <c r="A1114" s="483" t="s">
        <v>4997</v>
      </c>
      <c r="B1114" s="483" t="s">
        <v>4998</v>
      </c>
      <c r="C1114" s="480" t="n">
        <v>217385</v>
      </c>
      <c r="D1114" s="483" t="s">
        <v>4999</v>
      </c>
      <c r="E1114" s="483" t="s">
        <v>5000</v>
      </c>
    </row>
    <row r="1115" customFormat="false" ht="15" hidden="false" customHeight="false" outlineLevel="0" collapsed="false">
      <c r="A1115" s="483" t="s">
        <v>5001</v>
      </c>
      <c r="B1115" s="483" t="s">
        <v>5002</v>
      </c>
      <c r="C1115" s="480" t="n">
        <v>205704</v>
      </c>
      <c r="D1115" s="483" t="s">
        <v>5003</v>
      </c>
      <c r="E1115" s="483" t="s">
        <v>5004</v>
      </c>
    </row>
    <row r="1116" customFormat="false" ht="15" hidden="false" customHeight="false" outlineLevel="0" collapsed="false">
      <c r="A1116" s="483" t="s">
        <v>5005</v>
      </c>
      <c r="B1116" s="483" t="s">
        <v>5006</v>
      </c>
      <c r="C1116" s="480" t="n">
        <v>103100</v>
      </c>
      <c r="D1116" s="483" t="s">
        <v>5007</v>
      </c>
      <c r="E1116" s="483" t="s">
        <v>5008</v>
      </c>
    </row>
    <row r="1117" customFormat="false" ht="15" hidden="false" customHeight="false" outlineLevel="0" collapsed="false">
      <c r="A1117" s="483" t="s">
        <v>5009</v>
      </c>
      <c r="B1117" s="483" t="s">
        <v>5010</v>
      </c>
      <c r="C1117" s="480" t="n">
        <v>100260</v>
      </c>
      <c r="D1117" s="483" t="s">
        <v>5011</v>
      </c>
      <c r="E1117" s="483" t="s">
        <v>5012</v>
      </c>
    </row>
    <row r="1118" customFormat="false" ht="15" hidden="false" customHeight="false" outlineLevel="0" collapsed="false">
      <c r="A1118" s="483" t="s">
        <v>5013</v>
      </c>
      <c r="B1118" s="483" t="s">
        <v>5014</v>
      </c>
      <c r="C1118" s="480" t="n">
        <v>126725</v>
      </c>
      <c r="D1118" s="483" t="s">
        <v>5015</v>
      </c>
      <c r="E1118" s="483" t="s">
        <v>5016</v>
      </c>
    </row>
    <row r="1119" customFormat="false" ht="15" hidden="false" customHeight="false" outlineLevel="0" collapsed="false">
      <c r="A1119" s="483" t="s">
        <v>5017</v>
      </c>
      <c r="B1119" s="483" t="s">
        <v>5018</v>
      </c>
      <c r="C1119" s="480" t="n">
        <v>132218</v>
      </c>
      <c r="D1119" s="483" t="s">
        <v>5019</v>
      </c>
      <c r="E1119" s="483" t="s">
        <v>5020</v>
      </c>
    </row>
    <row r="1120" customFormat="false" ht="15" hidden="false" customHeight="false" outlineLevel="0" collapsed="false">
      <c r="A1120" s="483" t="s">
        <v>5021</v>
      </c>
      <c r="B1120" s="483" t="s">
        <v>5022</v>
      </c>
      <c r="C1120" s="480" t="n">
        <v>112531</v>
      </c>
      <c r="D1120" s="483" t="s">
        <v>5023</v>
      </c>
      <c r="E1120" s="483" t="s">
        <v>5024</v>
      </c>
    </row>
    <row r="1121" customFormat="false" ht="15" hidden="false" customHeight="false" outlineLevel="0" collapsed="false">
      <c r="A1121" s="483" t="s">
        <v>5025</v>
      </c>
      <c r="B1121" s="483" t="s">
        <v>5026</v>
      </c>
      <c r="C1121" s="480" t="n">
        <v>238007</v>
      </c>
      <c r="D1121" s="483" t="s">
        <v>5027</v>
      </c>
      <c r="E1121" s="483" t="s">
        <v>5028</v>
      </c>
    </row>
    <row r="1122" customFormat="false" ht="15" hidden="false" customHeight="false" outlineLevel="0" collapsed="false">
      <c r="A1122" s="483" t="s">
        <v>5029</v>
      </c>
      <c r="B1122" s="483" t="s">
        <v>5030</v>
      </c>
      <c r="C1122" s="480" t="n">
        <v>130199</v>
      </c>
      <c r="D1122" s="483" t="s">
        <v>5031</v>
      </c>
      <c r="E1122" s="483" t="s">
        <v>5032</v>
      </c>
    </row>
    <row r="1123" customFormat="false" ht="15" hidden="false" customHeight="false" outlineLevel="0" collapsed="false">
      <c r="A1123" s="483" t="s">
        <v>5033</v>
      </c>
      <c r="B1123" s="483" t="s">
        <v>5034</v>
      </c>
      <c r="C1123" s="480" t="n">
        <v>100411</v>
      </c>
      <c r="D1123" s="483" t="s">
        <v>5035</v>
      </c>
      <c r="E1123" s="483" t="s">
        <v>5036</v>
      </c>
    </row>
    <row r="1124" customFormat="false" ht="15" hidden="false" customHeight="false" outlineLevel="0" collapsed="false">
      <c r="A1124" s="483" t="s">
        <v>5037</v>
      </c>
      <c r="B1124" s="483" t="s">
        <v>5038</v>
      </c>
      <c r="C1124" s="480" t="n">
        <v>100412</v>
      </c>
      <c r="D1124" s="483" t="s">
        <v>5039</v>
      </c>
      <c r="E1124" s="483" t="s">
        <v>5040</v>
      </c>
    </row>
    <row r="1125" customFormat="false" ht="15" hidden="false" customHeight="false" outlineLevel="0" collapsed="false">
      <c r="A1125" s="483" t="s">
        <v>5041</v>
      </c>
      <c r="B1125" s="483" t="s">
        <v>5042</v>
      </c>
      <c r="C1125" s="480" t="n">
        <v>100413</v>
      </c>
      <c r="D1125" s="483" t="s">
        <v>5043</v>
      </c>
      <c r="E1125" s="483" t="s">
        <v>5044</v>
      </c>
    </row>
    <row r="1126" customFormat="false" ht="15" hidden="false" customHeight="false" outlineLevel="0" collapsed="false">
      <c r="A1126" s="483" t="s">
        <v>5045</v>
      </c>
      <c r="B1126" s="483" t="s">
        <v>5046</v>
      </c>
      <c r="C1126" s="480" t="n">
        <v>218764</v>
      </c>
      <c r="D1126" s="483" t="s">
        <v>5047</v>
      </c>
      <c r="E1126" s="483" t="s">
        <v>5048</v>
      </c>
    </row>
    <row r="1127" customFormat="false" ht="15" hidden="false" customHeight="false" outlineLevel="0" collapsed="false">
      <c r="A1127" s="483" t="s">
        <v>5049</v>
      </c>
      <c r="B1127" s="483" t="s">
        <v>5050</v>
      </c>
      <c r="C1127" s="480" t="n">
        <v>190005</v>
      </c>
      <c r="D1127" s="483" t="s">
        <v>5051</v>
      </c>
      <c r="E1127" s="483" t="s">
        <v>5052</v>
      </c>
    </row>
    <row r="1128" customFormat="false" ht="15" hidden="false" customHeight="false" outlineLevel="0" collapsed="false">
      <c r="A1128" s="483" t="s">
        <v>5053</v>
      </c>
      <c r="B1128" s="483" t="s">
        <v>5054</v>
      </c>
      <c r="C1128" s="480" t="n">
        <v>107205</v>
      </c>
      <c r="D1128" s="483" t="s">
        <v>5055</v>
      </c>
      <c r="E1128" s="483" t="s">
        <v>5056</v>
      </c>
    </row>
    <row r="1129" customFormat="false" ht="15" hidden="false" customHeight="false" outlineLevel="0" collapsed="false">
      <c r="A1129" s="483" t="s">
        <v>5057</v>
      </c>
      <c r="B1129" s="483" t="s">
        <v>5058</v>
      </c>
      <c r="C1129" s="480" t="n">
        <v>132856</v>
      </c>
      <c r="D1129" s="483" t="s">
        <v>5059</v>
      </c>
      <c r="E1129" s="483" t="s">
        <v>5060</v>
      </c>
    </row>
    <row r="1130" customFormat="false" ht="15" hidden="false" customHeight="false" outlineLevel="0" collapsed="false">
      <c r="A1130" s="483" t="s">
        <v>5061</v>
      </c>
      <c r="B1130" s="483" t="s">
        <v>5062</v>
      </c>
      <c r="C1130" s="480" t="n">
        <v>100414</v>
      </c>
      <c r="D1130" s="483" t="s">
        <v>5063</v>
      </c>
      <c r="E1130" s="483" t="s">
        <v>5064</v>
      </c>
    </row>
    <row r="1131" customFormat="false" ht="15" hidden="false" customHeight="false" outlineLevel="0" collapsed="false">
      <c r="A1131" s="483" t="s">
        <v>5065</v>
      </c>
      <c r="B1131" s="483" t="s">
        <v>5066</v>
      </c>
      <c r="C1131" s="480" t="n">
        <v>122113</v>
      </c>
      <c r="D1131" s="483" t="s">
        <v>5067</v>
      </c>
      <c r="E1131" s="483" t="s">
        <v>5068</v>
      </c>
    </row>
    <row r="1132" customFormat="false" ht="15" hidden="false" customHeight="false" outlineLevel="0" collapsed="false">
      <c r="A1132" s="483" t="s">
        <v>5069</v>
      </c>
      <c r="B1132" s="483" t="s">
        <v>5070</v>
      </c>
      <c r="C1132" s="480" t="n">
        <v>104966</v>
      </c>
      <c r="D1132" s="483" t="s">
        <v>5071</v>
      </c>
      <c r="E1132" s="483" t="s">
        <v>5072</v>
      </c>
    </row>
    <row r="1133" customFormat="false" ht="15" hidden="false" customHeight="false" outlineLevel="0" collapsed="false">
      <c r="A1133" s="483" t="s">
        <v>5073</v>
      </c>
      <c r="B1133" s="483" t="s">
        <v>5074</v>
      </c>
      <c r="C1133" s="480" t="n">
        <v>132375</v>
      </c>
      <c r="D1133" s="483" t="s">
        <v>5075</v>
      </c>
      <c r="E1133" s="483" t="s">
        <v>5076</v>
      </c>
    </row>
    <row r="1134" customFormat="false" ht="15" hidden="false" customHeight="false" outlineLevel="0" collapsed="false">
      <c r="A1134" s="483" t="s">
        <v>5077</v>
      </c>
      <c r="B1134" s="483" t="s">
        <v>5078</v>
      </c>
      <c r="C1134" s="480" t="n">
        <v>200115</v>
      </c>
      <c r="D1134" s="483" t="s">
        <v>5079</v>
      </c>
      <c r="E1134" s="483" t="s">
        <v>5080</v>
      </c>
    </row>
    <row r="1135" customFormat="false" ht="15" hidden="false" customHeight="false" outlineLevel="0" collapsed="false">
      <c r="A1135" s="483" t="s">
        <v>5081</v>
      </c>
      <c r="B1135" s="483" t="s">
        <v>5082</v>
      </c>
      <c r="C1135" s="480" t="n">
        <v>100114</v>
      </c>
      <c r="D1135" s="483" t="s">
        <v>5083</v>
      </c>
      <c r="E1135" s="483" t="s">
        <v>5084</v>
      </c>
    </row>
    <row r="1136" customFormat="false" ht="15" hidden="false" customHeight="false" outlineLevel="0" collapsed="false">
      <c r="A1136" s="483" t="s">
        <v>5085</v>
      </c>
      <c r="B1136" s="483" t="s">
        <v>5086</v>
      </c>
      <c r="C1136" s="480" t="n">
        <v>100420</v>
      </c>
      <c r="D1136" s="483" t="s">
        <v>5087</v>
      </c>
      <c r="E1136" s="483" t="s">
        <v>5088</v>
      </c>
    </row>
    <row r="1137" customFormat="false" ht="15" hidden="false" customHeight="false" outlineLevel="0" collapsed="false">
      <c r="A1137" s="483" t="s">
        <v>5089</v>
      </c>
      <c r="B1137" s="483" t="s">
        <v>5090</v>
      </c>
      <c r="C1137" s="480" t="n">
        <v>132779</v>
      </c>
      <c r="D1137" s="483" t="s">
        <v>5091</v>
      </c>
      <c r="E1137" s="483" t="s">
        <v>5092</v>
      </c>
    </row>
    <row r="1138" customFormat="false" ht="15" hidden="false" customHeight="false" outlineLevel="0" collapsed="false">
      <c r="A1138" s="483" t="s">
        <v>5093</v>
      </c>
      <c r="B1138" s="483" t="s">
        <v>5094</v>
      </c>
      <c r="C1138" s="480" t="n">
        <v>126650</v>
      </c>
      <c r="D1138" s="483" t="s">
        <v>5095</v>
      </c>
      <c r="E1138" s="483" t="s">
        <v>5096</v>
      </c>
    </row>
    <row r="1139" customFormat="false" ht="15" hidden="false" customHeight="false" outlineLevel="0" collapsed="false">
      <c r="A1139" s="483" t="s">
        <v>5097</v>
      </c>
      <c r="B1139" s="483" t="s">
        <v>5098</v>
      </c>
      <c r="C1139" s="480" t="n">
        <v>106687</v>
      </c>
      <c r="D1139" s="483" t="s">
        <v>5099</v>
      </c>
      <c r="E1139" s="483" t="s">
        <v>5100</v>
      </c>
    </row>
    <row r="1140" customFormat="false" ht="15" hidden="false" customHeight="false" outlineLevel="0" collapsed="false">
      <c r="A1140" s="483" t="s">
        <v>5101</v>
      </c>
      <c r="B1140" s="483" t="s">
        <v>5102</v>
      </c>
      <c r="C1140" s="480" t="n">
        <v>132349</v>
      </c>
      <c r="D1140" s="483" t="s">
        <v>5103</v>
      </c>
      <c r="E1140" s="483" t="s">
        <v>5104</v>
      </c>
    </row>
    <row r="1141" customFormat="false" ht="15" hidden="false" customHeight="false" outlineLevel="0" collapsed="false">
      <c r="A1141" s="483" t="s">
        <v>5105</v>
      </c>
      <c r="B1141" s="483" t="s">
        <v>5106</v>
      </c>
      <c r="C1141" s="480" t="n">
        <v>100251</v>
      </c>
      <c r="D1141" s="483" t="s">
        <v>5107</v>
      </c>
      <c r="E1141" s="483" t="s">
        <v>5108</v>
      </c>
    </row>
    <row r="1142" customFormat="false" ht="15" hidden="false" customHeight="false" outlineLevel="0" collapsed="false">
      <c r="A1142" s="483" t="s">
        <v>5109</v>
      </c>
      <c r="B1142" s="483" t="s">
        <v>5110</v>
      </c>
      <c r="C1142" s="480" t="n">
        <v>223359</v>
      </c>
      <c r="D1142" s="483" t="s">
        <v>5111</v>
      </c>
      <c r="E1142" s="483" t="s">
        <v>5112</v>
      </c>
    </row>
    <row r="1143" customFormat="false" ht="15" hidden="false" customHeight="false" outlineLevel="0" collapsed="false">
      <c r="A1143" s="483" t="s">
        <v>5113</v>
      </c>
      <c r="B1143" s="483" t="s">
        <v>5114</v>
      </c>
      <c r="C1143" s="480" t="n">
        <v>121064</v>
      </c>
      <c r="D1143" s="483" t="s">
        <v>5115</v>
      </c>
      <c r="E1143" s="483" t="s">
        <v>5116</v>
      </c>
    </row>
    <row r="1144" customFormat="false" ht="15" hidden="false" customHeight="false" outlineLevel="0" collapsed="false">
      <c r="A1144" s="483" t="s">
        <v>5117</v>
      </c>
      <c r="B1144" s="483" t="s">
        <v>5118</v>
      </c>
      <c r="C1144" s="480" t="n">
        <v>132356</v>
      </c>
      <c r="D1144" s="483" t="s">
        <v>5119</v>
      </c>
      <c r="E1144" s="483" t="s">
        <v>5120</v>
      </c>
    </row>
    <row r="1145" customFormat="false" ht="15" hidden="false" customHeight="false" outlineLevel="0" collapsed="false">
      <c r="A1145" s="483" t="s">
        <v>5121</v>
      </c>
      <c r="B1145" s="483" t="s">
        <v>5122</v>
      </c>
      <c r="C1145" s="480" t="n">
        <v>226076</v>
      </c>
      <c r="D1145" s="483" t="s">
        <v>5123</v>
      </c>
      <c r="E1145" s="483" t="s">
        <v>5124</v>
      </c>
    </row>
    <row r="1146" customFormat="false" ht="15" hidden="false" customHeight="false" outlineLevel="0" collapsed="false">
      <c r="A1146" s="483" t="s">
        <v>5125</v>
      </c>
      <c r="B1146" s="483" t="s">
        <v>5126</v>
      </c>
      <c r="C1146" s="480" t="n">
        <v>107747</v>
      </c>
      <c r="D1146" s="483" t="s">
        <v>5127</v>
      </c>
      <c r="E1146" s="483" t="s">
        <v>5128</v>
      </c>
    </row>
    <row r="1147" customFormat="false" ht="15" hidden="false" customHeight="false" outlineLevel="0" collapsed="false">
      <c r="A1147" s="483" t="s">
        <v>5129</v>
      </c>
      <c r="B1147" s="483" t="s">
        <v>5130</v>
      </c>
      <c r="C1147" s="480" t="n">
        <v>117506</v>
      </c>
      <c r="D1147" s="483" t="s">
        <v>5131</v>
      </c>
      <c r="E1147" s="483" t="s">
        <v>5132</v>
      </c>
    </row>
    <row r="1148" customFormat="false" ht="15" hidden="false" customHeight="false" outlineLevel="0" collapsed="false">
      <c r="A1148" s="483" t="s">
        <v>5133</v>
      </c>
      <c r="B1148" s="483" t="s">
        <v>5134</v>
      </c>
      <c r="C1148" s="480" t="n">
        <v>269404</v>
      </c>
      <c r="D1148" s="483" t="s">
        <v>5135</v>
      </c>
      <c r="E1148" s="483" t="s">
        <v>5136</v>
      </c>
    </row>
    <row r="1149" customFormat="false" ht="15" hidden="false" customHeight="false" outlineLevel="0" collapsed="false">
      <c r="A1149" s="483" t="s">
        <v>5137</v>
      </c>
      <c r="B1149" s="483" t="s">
        <v>5138</v>
      </c>
      <c r="C1149" s="480" t="n">
        <v>132515</v>
      </c>
      <c r="D1149" s="483" t="s">
        <v>5139</v>
      </c>
      <c r="E1149" s="483" t="s">
        <v>5140</v>
      </c>
    </row>
    <row r="1150" customFormat="false" ht="15" hidden="false" customHeight="false" outlineLevel="0" collapsed="false">
      <c r="A1150" s="483" t="s">
        <v>5141</v>
      </c>
      <c r="B1150" s="483" t="s">
        <v>5142</v>
      </c>
      <c r="C1150" s="480" t="n">
        <v>132800</v>
      </c>
      <c r="D1150" s="483" t="s">
        <v>5143</v>
      </c>
      <c r="E1150" s="483" t="s">
        <v>5144</v>
      </c>
    </row>
    <row r="1151" customFormat="false" ht="15" hidden="false" customHeight="false" outlineLevel="0" collapsed="false">
      <c r="A1151" s="483" t="s">
        <v>5145</v>
      </c>
      <c r="B1151" s="483" t="s">
        <v>5146</v>
      </c>
      <c r="C1151" s="480" t="n">
        <v>132343</v>
      </c>
      <c r="D1151" s="483" t="s">
        <v>5147</v>
      </c>
      <c r="E1151" s="483" t="s">
        <v>5148</v>
      </c>
    </row>
    <row r="1152" customFormat="false" ht="15" hidden="false" customHeight="false" outlineLevel="0" collapsed="false">
      <c r="A1152" s="483" t="s">
        <v>5149</v>
      </c>
      <c r="B1152" s="483" t="s">
        <v>5150</v>
      </c>
      <c r="C1152" s="480" t="n">
        <v>109243</v>
      </c>
      <c r="D1152" s="483" t="s">
        <v>5151</v>
      </c>
      <c r="E1152" s="483" t="s">
        <v>5152</v>
      </c>
    </row>
    <row r="1153" customFormat="false" ht="15" hidden="false" customHeight="false" outlineLevel="0" collapsed="false">
      <c r="A1153" s="483" t="s">
        <v>5153</v>
      </c>
      <c r="B1153" s="483" t="s">
        <v>5154</v>
      </c>
      <c r="C1153" s="480" t="n">
        <v>132505</v>
      </c>
      <c r="D1153" s="483" t="s">
        <v>5155</v>
      </c>
      <c r="E1153" s="483" t="s">
        <v>5156</v>
      </c>
    </row>
    <row r="1154" customFormat="false" ht="15" hidden="false" customHeight="false" outlineLevel="0" collapsed="false">
      <c r="A1154" s="483" t="s">
        <v>5157</v>
      </c>
      <c r="B1154" s="483" t="s">
        <v>5158</v>
      </c>
      <c r="C1154" s="480" t="n">
        <v>130131</v>
      </c>
      <c r="D1154" s="483" t="s">
        <v>5159</v>
      </c>
      <c r="E1154" s="483" t="s">
        <v>5160</v>
      </c>
    </row>
    <row r="1155" customFormat="false" ht="15" hidden="false" customHeight="false" outlineLevel="0" collapsed="false">
      <c r="A1155" s="483" t="s">
        <v>5161</v>
      </c>
      <c r="B1155" s="483" t="s">
        <v>5162</v>
      </c>
      <c r="C1155" s="480" t="n">
        <v>100148</v>
      </c>
      <c r="D1155" s="483" t="s">
        <v>5163</v>
      </c>
      <c r="E1155" s="483" t="s">
        <v>5164</v>
      </c>
    </row>
    <row r="1156" customFormat="false" ht="15" hidden="false" customHeight="false" outlineLevel="0" collapsed="false">
      <c r="A1156" s="483" t="s">
        <v>5165</v>
      </c>
      <c r="B1156" s="483" t="s">
        <v>5166</v>
      </c>
      <c r="C1156" s="480" t="n">
        <v>111742</v>
      </c>
      <c r="D1156" s="483" t="s">
        <v>5167</v>
      </c>
      <c r="E1156" s="483" t="s">
        <v>5168</v>
      </c>
    </row>
    <row r="1157" customFormat="false" ht="15" hidden="false" customHeight="false" outlineLevel="0" collapsed="false">
      <c r="A1157" s="483" t="s">
        <v>5169</v>
      </c>
      <c r="B1157" s="483" t="s">
        <v>5170</v>
      </c>
      <c r="C1157" s="480" t="n">
        <v>222671</v>
      </c>
      <c r="D1157" s="483" t="s">
        <v>5171</v>
      </c>
      <c r="E1157" s="483" t="s">
        <v>5172</v>
      </c>
    </row>
    <row r="1158" customFormat="false" ht="15" hidden="false" customHeight="false" outlineLevel="0" collapsed="false">
      <c r="A1158" s="483" t="s">
        <v>5173</v>
      </c>
      <c r="B1158" s="483" t="s">
        <v>5174</v>
      </c>
      <c r="C1158" s="480" t="n">
        <v>287237</v>
      </c>
      <c r="D1158" s="483" t="s">
        <v>5175</v>
      </c>
      <c r="E1158" s="483" t="s">
        <v>5176</v>
      </c>
    </row>
    <row r="1159" customFormat="false" ht="15" hidden="false" customHeight="false" outlineLevel="0" collapsed="false">
      <c r="A1159" s="483" t="s">
        <v>5177</v>
      </c>
      <c r="B1159" s="483" t="s">
        <v>5178</v>
      </c>
      <c r="C1159" s="480" t="n">
        <v>106685</v>
      </c>
      <c r="D1159" s="483" t="s">
        <v>5179</v>
      </c>
      <c r="E1159" s="483" t="s">
        <v>5180</v>
      </c>
    </row>
    <row r="1160" customFormat="false" ht="15" hidden="false" customHeight="false" outlineLevel="0" collapsed="false">
      <c r="A1160" s="483" t="s">
        <v>5181</v>
      </c>
      <c r="B1160" s="483" t="s">
        <v>5182</v>
      </c>
      <c r="C1160" s="480" t="n">
        <v>132538</v>
      </c>
      <c r="D1160" s="483" t="s">
        <v>5183</v>
      </c>
      <c r="E1160" s="483" t="s">
        <v>5184</v>
      </c>
    </row>
    <row r="1161" customFormat="false" ht="15" hidden="false" customHeight="false" outlineLevel="0" collapsed="false">
      <c r="A1161" s="483" t="s">
        <v>5185</v>
      </c>
      <c r="B1161" s="483" t="s">
        <v>5186</v>
      </c>
      <c r="C1161" s="480" t="n">
        <v>106690</v>
      </c>
      <c r="D1161" s="483" t="s">
        <v>5187</v>
      </c>
      <c r="E1161" s="483" t="s">
        <v>5188</v>
      </c>
    </row>
    <row r="1162" customFormat="false" ht="15" hidden="false" customHeight="false" outlineLevel="0" collapsed="false">
      <c r="A1162" s="483" t="s">
        <v>5189</v>
      </c>
      <c r="B1162" s="483" t="s">
        <v>5190</v>
      </c>
      <c r="C1162" s="480" t="n">
        <v>132477</v>
      </c>
      <c r="D1162" s="483" t="s">
        <v>5191</v>
      </c>
      <c r="E1162" s="483" t="s">
        <v>5192</v>
      </c>
    </row>
    <row r="1163" customFormat="false" ht="15" hidden="false" customHeight="false" outlineLevel="0" collapsed="false">
      <c r="A1163" s="483" t="s">
        <v>5193</v>
      </c>
      <c r="B1163" s="483" t="s">
        <v>5194</v>
      </c>
      <c r="C1163" s="480" t="n">
        <v>100429</v>
      </c>
      <c r="D1163" s="483" t="s">
        <v>5195</v>
      </c>
      <c r="E1163" s="483" t="s">
        <v>5196</v>
      </c>
    </row>
    <row r="1164" customFormat="false" ht="15" hidden="false" customHeight="false" outlineLevel="0" collapsed="false">
      <c r="A1164" s="483" t="s">
        <v>5197</v>
      </c>
      <c r="B1164" s="483" t="s">
        <v>5198</v>
      </c>
      <c r="C1164" s="480" t="n">
        <v>107878</v>
      </c>
      <c r="D1164" s="483" t="s">
        <v>5199</v>
      </c>
      <c r="E1164" s="483" t="s">
        <v>5200</v>
      </c>
    </row>
    <row r="1165" customFormat="false" ht="15" hidden="false" customHeight="false" outlineLevel="0" collapsed="false">
      <c r="A1165" s="483" t="s">
        <v>5201</v>
      </c>
      <c r="B1165" s="483" t="s">
        <v>5202</v>
      </c>
      <c r="C1165" s="480" t="n">
        <v>132478</v>
      </c>
      <c r="D1165" s="483" t="s">
        <v>5203</v>
      </c>
      <c r="E1165" s="483" t="s">
        <v>5204</v>
      </c>
    </row>
    <row r="1166" customFormat="false" ht="15" hidden="false" customHeight="false" outlineLevel="0" collapsed="false">
      <c r="A1166" s="483" t="s">
        <v>5205</v>
      </c>
      <c r="B1166" s="483" t="s">
        <v>5206</v>
      </c>
      <c r="C1166" s="480" t="n">
        <v>122014</v>
      </c>
      <c r="D1166" s="483" t="s">
        <v>5207</v>
      </c>
      <c r="E1166" s="483" t="s">
        <v>5208</v>
      </c>
    </row>
    <row r="1167" customFormat="false" ht="15" hidden="false" customHeight="false" outlineLevel="0" collapsed="false">
      <c r="A1167" s="483" t="s">
        <v>5209</v>
      </c>
      <c r="B1167" s="483" t="s">
        <v>5210</v>
      </c>
      <c r="C1167" s="480" t="n">
        <v>132432</v>
      </c>
      <c r="D1167" s="483" t="s">
        <v>5211</v>
      </c>
      <c r="E1167" s="483" t="s">
        <v>5212</v>
      </c>
    </row>
    <row r="1168" customFormat="false" ht="15" hidden="false" customHeight="false" outlineLevel="0" collapsed="false">
      <c r="A1168" s="483" t="s">
        <v>5213</v>
      </c>
      <c r="B1168" s="483" t="s">
        <v>5214</v>
      </c>
      <c r="C1168" s="480" t="n">
        <v>104212</v>
      </c>
      <c r="D1168" s="483" t="s">
        <v>5215</v>
      </c>
      <c r="E1168" s="483" t="s">
        <v>5216</v>
      </c>
    </row>
    <row r="1169" customFormat="false" ht="15" hidden="false" customHeight="false" outlineLevel="0" collapsed="false">
      <c r="A1169" s="483" t="s">
        <v>5217</v>
      </c>
      <c r="B1169" s="483" t="s">
        <v>5218</v>
      </c>
      <c r="C1169" s="480" t="n">
        <v>268509</v>
      </c>
      <c r="D1169" s="483" t="s">
        <v>5219</v>
      </c>
      <c r="E1169" s="483" t="s">
        <v>5220</v>
      </c>
    </row>
    <row r="1170" customFormat="false" ht="15" hidden="false" customHeight="false" outlineLevel="0" collapsed="false">
      <c r="A1170" s="483" t="s">
        <v>5221</v>
      </c>
      <c r="B1170" s="483" t="s">
        <v>5222</v>
      </c>
      <c r="C1170" s="480" t="n">
        <v>112070</v>
      </c>
      <c r="D1170" s="483" t="s">
        <v>5223</v>
      </c>
      <c r="E1170" s="483" t="s">
        <v>5224</v>
      </c>
    </row>
    <row r="1171" customFormat="false" ht="15" hidden="false" customHeight="false" outlineLevel="0" collapsed="false">
      <c r="A1171" s="483" t="s">
        <v>5225</v>
      </c>
      <c r="B1171" s="483" t="s">
        <v>5226</v>
      </c>
      <c r="C1171" s="480" t="n">
        <v>126987</v>
      </c>
      <c r="D1171" s="483" t="s">
        <v>5227</v>
      </c>
      <c r="E1171" s="483" t="s">
        <v>5228</v>
      </c>
    </row>
    <row r="1172" customFormat="false" ht="15" hidden="false" customHeight="false" outlineLevel="0" collapsed="false">
      <c r="A1172" s="483" t="s">
        <v>5229</v>
      </c>
      <c r="B1172" s="483" t="s">
        <v>5230</v>
      </c>
      <c r="C1172" s="480" t="n">
        <v>117146</v>
      </c>
      <c r="D1172" s="483" t="s">
        <v>5231</v>
      </c>
      <c r="E1172" s="483" t="s">
        <v>5232</v>
      </c>
    </row>
    <row r="1173" customFormat="false" ht="15" hidden="false" customHeight="false" outlineLevel="0" collapsed="false">
      <c r="A1173" s="483" t="s">
        <v>5233</v>
      </c>
      <c r="B1173" s="483" t="s">
        <v>5234</v>
      </c>
      <c r="C1173" s="480" t="n">
        <v>209492</v>
      </c>
      <c r="D1173" s="483" t="s">
        <v>5235</v>
      </c>
      <c r="E1173" s="483" t="s">
        <v>5236</v>
      </c>
    </row>
    <row r="1174" customFormat="false" ht="15" hidden="false" customHeight="false" outlineLevel="0" collapsed="false">
      <c r="A1174" s="483" t="s">
        <v>5237</v>
      </c>
      <c r="B1174" s="483" t="s">
        <v>5238</v>
      </c>
      <c r="C1174" s="480" t="n">
        <v>132729</v>
      </c>
      <c r="D1174" s="483" t="s">
        <v>5239</v>
      </c>
      <c r="E1174" s="483" t="s">
        <v>5240</v>
      </c>
    </row>
    <row r="1175" customFormat="false" ht="15" hidden="false" customHeight="false" outlineLevel="0" collapsed="false">
      <c r="A1175" s="483" t="s">
        <v>5241</v>
      </c>
      <c r="B1175" s="483" t="s">
        <v>5242</v>
      </c>
      <c r="C1175" s="480" t="n">
        <v>131266</v>
      </c>
      <c r="D1175" s="483" t="s">
        <v>5243</v>
      </c>
      <c r="E1175" s="483" t="s">
        <v>5244</v>
      </c>
    </row>
    <row r="1176" customFormat="false" ht="15" hidden="false" customHeight="false" outlineLevel="0" collapsed="false">
      <c r="A1176" s="483" t="s">
        <v>5245</v>
      </c>
      <c r="B1176" s="483" t="s">
        <v>5246</v>
      </c>
      <c r="C1176" s="480" t="n">
        <v>132867</v>
      </c>
      <c r="D1176" s="483" t="s">
        <v>5247</v>
      </c>
      <c r="E1176" s="483" t="s">
        <v>5248</v>
      </c>
    </row>
    <row r="1177" customFormat="false" ht="15" hidden="false" customHeight="false" outlineLevel="0" collapsed="false">
      <c r="A1177" s="483" t="s">
        <v>5249</v>
      </c>
      <c r="B1177" s="483" t="s">
        <v>5250</v>
      </c>
      <c r="C1177" s="480" t="n">
        <v>209532</v>
      </c>
      <c r="D1177" s="483" t="s">
        <v>5251</v>
      </c>
      <c r="E1177" s="483" t="s">
        <v>5252</v>
      </c>
    </row>
    <row r="1178" customFormat="false" ht="15" hidden="false" customHeight="false" outlineLevel="0" collapsed="false">
      <c r="A1178" s="483" t="s">
        <v>5253</v>
      </c>
      <c r="B1178" s="483" t="s">
        <v>5254</v>
      </c>
      <c r="C1178" s="480" t="n">
        <v>119156</v>
      </c>
      <c r="D1178" s="483" t="s">
        <v>5255</v>
      </c>
      <c r="E1178" s="483" t="s">
        <v>5256</v>
      </c>
    </row>
    <row r="1179" customFormat="false" ht="15" hidden="false" customHeight="false" outlineLevel="0" collapsed="false">
      <c r="A1179" s="483" t="s">
        <v>5257</v>
      </c>
      <c r="B1179" s="483" t="s">
        <v>5258</v>
      </c>
      <c r="C1179" s="480" t="n">
        <v>132156</v>
      </c>
      <c r="D1179" s="483" t="s">
        <v>5259</v>
      </c>
      <c r="E1179" s="483" t="s">
        <v>5260</v>
      </c>
    </row>
    <row r="1180" customFormat="false" ht="15" hidden="false" customHeight="false" outlineLevel="0" collapsed="false">
      <c r="A1180" s="483" t="s">
        <v>5261</v>
      </c>
      <c r="B1180" s="483" t="s">
        <v>5262</v>
      </c>
      <c r="C1180" s="480" t="n">
        <v>111431</v>
      </c>
      <c r="D1180" s="483" t="s">
        <v>5263</v>
      </c>
      <c r="E1180" s="483" t="s">
        <v>5264</v>
      </c>
    </row>
    <row r="1181" customFormat="false" ht="15" hidden="false" customHeight="false" outlineLevel="0" collapsed="false">
      <c r="A1181" s="483" t="s">
        <v>5265</v>
      </c>
      <c r="B1181" s="483" t="s">
        <v>5266</v>
      </c>
      <c r="C1181" s="480" t="n">
        <v>224818</v>
      </c>
      <c r="D1181" s="483" t="s">
        <v>5267</v>
      </c>
      <c r="E1181" s="483" t="s">
        <v>5268</v>
      </c>
    </row>
    <row r="1182" customFormat="false" ht="15" hidden="false" customHeight="false" outlineLevel="0" collapsed="false">
      <c r="A1182" s="483" t="s">
        <v>5269</v>
      </c>
      <c r="B1182" s="483" t="s">
        <v>5270</v>
      </c>
      <c r="C1182" s="480" t="n">
        <v>100439</v>
      </c>
      <c r="D1182" s="483" t="s">
        <v>5271</v>
      </c>
      <c r="E1182" s="483" t="s">
        <v>5272</v>
      </c>
    </row>
    <row r="1183" customFormat="false" ht="15" hidden="false" customHeight="false" outlineLevel="0" collapsed="false">
      <c r="A1183" s="483" t="s">
        <v>5273</v>
      </c>
      <c r="B1183" s="483" t="s">
        <v>5274</v>
      </c>
      <c r="C1183" s="480" t="n">
        <v>224243</v>
      </c>
      <c r="D1183" s="483" t="s">
        <v>5275</v>
      </c>
      <c r="E1183" s="483" t="s">
        <v>5276</v>
      </c>
    </row>
    <row r="1184" customFormat="false" ht="15" hidden="false" customHeight="false" outlineLevel="0" collapsed="false">
      <c r="A1184" s="483" t="s">
        <v>5277</v>
      </c>
      <c r="B1184" s="483" t="s">
        <v>5278</v>
      </c>
      <c r="C1184" s="480" t="n">
        <v>102986</v>
      </c>
      <c r="D1184" s="483" t="s">
        <v>5279</v>
      </c>
      <c r="E1184" s="483" t="s">
        <v>5280</v>
      </c>
    </row>
    <row r="1185" customFormat="false" ht="15" hidden="false" customHeight="false" outlineLevel="0" collapsed="false">
      <c r="A1185" s="483" t="s">
        <v>5281</v>
      </c>
      <c r="B1185" s="483" t="s">
        <v>5282</v>
      </c>
      <c r="C1185" s="480" t="n">
        <v>214437</v>
      </c>
      <c r="D1185" s="483" t="s">
        <v>5283</v>
      </c>
      <c r="E1185" s="483" t="s">
        <v>5284</v>
      </c>
    </row>
    <row r="1186" customFormat="false" ht="15" hidden="false" customHeight="false" outlineLevel="0" collapsed="false">
      <c r="A1186" s="483" t="s">
        <v>5285</v>
      </c>
      <c r="B1186" s="483" t="s">
        <v>5286</v>
      </c>
      <c r="C1186" s="480" t="n">
        <v>209550</v>
      </c>
      <c r="D1186" s="483" t="s">
        <v>5287</v>
      </c>
      <c r="E1186" s="483" t="s">
        <v>5288</v>
      </c>
    </row>
    <row r="1187" customFormat="false" ht="15" hidden="false" customHeight="false" outlineLevel="0" collapsed="false">
      <c r="A1187" s="483" t="s">
        <v>5289</v>
      </c>
      <c r="B1187" s="483" t="s">
        <v>5290</v>
      </c>
      <c r="C1187" s="480" t="n">
        <v>212035</v>
      </c>
      <c r="D1187" s="483" t="s">
        <v>5291</v>
      </c>
      <c r="E1187" s="483" t="s">
        <v>5292</v>
      </c>
    </row>
    <row r="1188" customFormat="false" ht="15" hidden="false" customHeight="false" outlineLevel="0" collapsed="false">
      <c r="A1188" s="483" t="s">
        <v>5293</v>
      </c>
      <c r="B1188" s="483" t="s">
        <v>5294</v>
      </c>
      <c r="C1188" s="480" t="n">
        <v>100295</v>
      </c>
      <c r="D1188" s="483" t="s">
        <v>5295</v>
      </c>
      <c r="E1188" s="483" t="s">
        <v>5296</v>
      </c>
    </row>
    <row r="1189" customFormat="false" ht="15" hidden="false" customHeight="false" outlineLevel="0" collapsed="false">
      <c r="A1189" s="483" t="s">
        <v>5297</v>
      </c>
      <c r="B1189" s="483" t="s">
        <v>5298</v>
      </c>
      <c r="C1189" s="480" t="n">
        <v>123261</v>
      </c>
      <c r="D1189" s="483" t="s">
        <v>5299</v>
      </c>
      <c r="E1189" s="483" t="s">
        <v>5300</v>
      </c>
    </row>
    <row r="1190" customFormat="false" ht="15" hidden="false" customHeight="false" outlineLevel="0" collapsed="false">
      <c r="A1190" s="483" t="s">
        <v>5301</v>
      </c>
      <c r="B1190" s="483" t="s">
        <v>5302</v>
      </c>
      <c r="C1190" s="480" t="n">
        <v>126953</v>
      </c>
      <c r="D1190" s="483" t="s">
        <v>5303</v>
      </c>
      <c r="E1190" s="483" t="s">
        <v>5304</v>
      </c>
    </row>
    <row r="1191" customFormat="false" ht="15" hidden="false" customHeight="false" outlineLevel="0" collapsed="false">
      <c r="A1191" s="483" t="s">
        <v>5305</v>
      </c>
      <c r="B1191" s="483" t="s">
        <v>5306</v>
      </c>
      <c r="C1191" s="480" t="n">
        <v>120113</v>
      </c>
      <c r="D1191" s="483" t="s">
        <v>5307</v>
      </c>
      <c r="E1191" s="483" t="s">
        <v>5308</v>
      </c>
    </row>
    <row r="1192" customFormat="false" ht="15" hidden="false" customHeight="false" outlineLevel="0" collapsed="false">
      <c r="A1192" s="483" t="s">
        <v>5309</v>
      </c>
      <c r="B1192" s="483" t="s">
        <v>5310</v>
      </c>
      <c r="C1192" s="480" t="n">
        <v>200054</v>
      </c>
      <c r="D1192" s="483" t="s">
        <v>5311</v>
      </c>
      <c r="E1192" s="483" t="s">
        <v>5312</v>
      </c>
    </row>
    <row r="1193" customFormat="false" ht="15" hidden="false" customHeight="false" outlineLevel="0" collapsed="false">
      <c r="A1193" s="483" t="s">
        <v>5313</v>
      </c>
      <c r="B1193" s="483" t="s">
        <v>5314</v>
      </c>
      <c r="C1193" s="480" t="n">
        <v>131717</v>
      </c>
      <c r="D1193" s="483" t="s">
        <v>5315</v>
      </c>
      <c r="E1193" s="483" t="s">
        <v>5316</v>
      </c>
    </row>
    <row r="1194" customFormat="false" ht="15" hidden="false" customHeight="false" outlineLevel="0" collapsed="false">
      <c r="A1194" s="483" t="s">
        <v>5317</v>
      </c>
      <c r="B1194" s="483"/>
      <c r="C1194" s="480" t="n">
        <v>131069</v>
      </c>
      <c r="D1194" s="483" t="s">
        <v>5318</v>
      </c>
      <c r="E1194" s="483" t="s">
        <v>5319</v>
      </c>
    </row>
    <row r="1195" customFormat="false" ht="15" hidden="false" customHeight="false" outlineLevel="0" collapsed="false">
      <c r="A1195" s="483" t="s">
        <v>5320</v>
      </c>
      <c r="B1195" s="483" t="s">
        <v>5321</v>
      </c>
      <c r="C1195" s="480" t="n">
        <v>302427</v>
      </c>
      <c r="D1195" s="483" t="s">
        <v>5322</v>
      </c>
      <c r="E1195" s="483" t="s">
        <v>5323</v>
      </c>
    </row>
    <row r="1196" customFormat="false" ht="15" hidden="false" customHeight="false" outlineLevel="0" collapsed="false">
      <c r="A1196" s="483" t="s">
        <v>5324</v>
      </c>
      <c r="B1196" s="483" t="s">
        <v>5325</v>
      </c>
      <c r="C1196" s="480" t="n">
        <v>124394</v>
      </c>
      <c r="D1196" s="483" t="s">
        <v>5326</v>
      </c>
      <c r="E1196" s="483" t="s">
        <v>5327</v>
      </c>
    </row>
    <row r="1197" customFormat="false" ht="15" hidden="false" customHeight="false" outlineLevel="0" collapsed="false">
      <c r="A1197" s="483" t="s">
        <v>5328</v>
      </c>
      <c r="B1197" s="483" t="s">
        <v>5329</v>
      </c>
      <c r="C1197" s="480" t="n">
        <v>124200</v>
      </c>
      <c r="D1197" s="483" t="s">
        <v>5330</v>
      </c>
      <c r="E1197" s="483" t="s">
        <v>5331</v>
      </c>
    </row>
    <row r="1198" customFormat="false" ht="15" hidden="false" customHeight="false" outlineLevel="0" collapsed="false">
      <c r="A1198" s="483" t="s">
        <v>5332</v>
      </c>
      <c r="B1198" s="483" t="s">
        <v>5333</v>
      </c>
      <c r="C1198" s="480" t="n">
        <v>117015</v>
      </c>
      <c r="D1198" s="483" t="s">
        <v>5334</v>
      </c>
      <c r="E1198" s="483" t="s">
        <v>5335</v>
      </c>
    </row>
    <row r="1199" customFormat="false" ht="15" hidden="false" customHeight="false" outlineLevel="0" collapsed="false">
      <c r="A1199" s="483" t="s">
        <v>5336</v>
      </c>
      <c r="B1199" s="483"/>
      <c r="C1199" s="480" t="n">
        <v>247454</v>
      </c>
      <c r="D1199" s="483" t="s">
        <v>5337</v>
      </c>
      <c r="E1199" s="483" t="s">
        <v>5338</v>
      </c>
    </row>
    <row r="1200" customFormat="false" ht="15" hidden="false" customHeight="false" outlineLevel="0" collapsed="false">
      <c r="A1200" s="483" t="s">
        <v>5339</v>
      </c>
      <c r="B1200" s="483" t="s">
        <v>5340</v>
      </c>
      <c r="C1200" s="480" t="n">
        <v>107880</v>
      </c>
      <c r="D1200" s="483" t="s">
        <v>5341</v>
      </c>
      <c r="E1200" s="483" t="s">
        <v>5342</v>
      </c>
    </row>
    <row r="1201" customFormat="false" ht="15" hidden="false" customHeight="false" outlineLevel="0" collapsed="false">
      <c r="A1201" s="483" t="s">
        <v>5343</v>
      </c>
      <c r="B1201" s="483" t="s">
        <v>5344</v>
      </c>
      <c r="C1201" s="480" t="n">
        <v>109055</v>
      </c>
      <c r="D1201" s="483" t="s">
        <v>5345</v>
      </c>
      <c r="E1201" s="483" t="s">
        <v>5346</v>
      </c>
    </row>
    <row r="1202" customFormat="false" ht="15" hidden="false" customHeight="false" outlineLevel="0" collapsed="false">
      <c r="A1202" s="483" t="s">
        <v>5347</v>
      </c>
      <c r="B1202" s="483" t="s">
        <v>5348</v>
      </c>
      <c r="C1202" s="480" t="n">
        <v>267541</v>
      </c>
      <c r="D1202" s="483" t="s">
        <v>5349</v>
      </c>
      <c r="E1202" s="483" t="s">
        <v>5350</v>
      </c>
    </row>
    <row r="1203" customFormat="false" ht="15" hidden="false" customHeight="false" outlineLevel="0" collapsed="false">
      <c r="A1203" s="483" t="s">
        <v>5351</v>
      </c>
      <c r="B1203" s="483" t="s">
        <v>5352</v>
      </c>
      <c r="C1203" s="480" t="n">
        <v>116072</v>
      </c>
      <c r="D1203" s="483" t="s">
        <v>5353</v>
      </c>
      <c r="E1203" s="483" t="s">
        <v>5354</v>
      </c>
    </row>
    <row r="1204" customFormat="false" ht="15" hidden="false" customHeight="false" outlineLevel="0" collapsed="false">
      <c r="A1204" s="483" t="s">
        <v>5355</v>
      </c>
      <c r="B1204" s="483" t="s">
        <v>5356</v>
      </c>
      <c r="C1204" s="480" t="n">
        <v>229819</v>
      </c>
      <c r="D1204" s="483" t="s">
        <v>5357</v>
      </c>
      <c r="E1204" s="483" t="s">
        <v>5358</v>
      </c>
    </row>
    <row r="1205" customFormat="false" ht="15" hidden="false" customHeight="false" outlineLevel="0" collapsed="false">
      <c r="A1205" s="483" t="s">
        <v>5359</v>
      </c>
      <c r="B1205" s="483" t="s">
        <v>5360</v>
      </c>
      <c r="C1205" s="480" t="n">
        <v>111333</v>
      </c>
      <c r="D1205" s="483" t="s">
        <v>5361</v>
      </c>
      <c r="E1205" s="483" t="s">
        <v>5362</v>
      </c>
    </row>
    <row r="1206" customFormat="false" ht="15" hidden="false" customHeight="false" outlineLevel="0" collapsed="false">
      <c r="A1206" s="483" t="s">
        <v>5363</v>
      </c>
      <c r="B1206" s="483" t="s">
        <v>5364</v>
      </c>
      <c r="C1206" s="480" t="n">
        <v>237191</v>
      </c>
      <c r="D1206" s="483" t="s">
        <v>5365</v>
      </c>
      <c r="E1206" s="483" t="s">
        <v>5366</v>
      </c>
    </row>
    <row r="1207" customFormat="false" ht="15" hidden="false" customHeight="false" outlineLevel="0" collapsed="false">
      <c r="A1207" s="483" t="s">
        <v>5367</v>
      </c>
      <c r="B1207" s="483" t="s">
        <v>5368</v>
      </c>
      <c r="C1207" s="480" t="n">
        <v>132822</v>
      </c>
      <c r="D1207" s="483" t="s">
        <v>5369</v>
      </c>
      <c r="E1207" s="483" t="s">
        <v>5370</v>
      </c>
    </row>
    <row r="1208" customFormat="false" ht="15" hidden="false" customHeight="false" outlineLevel="0" collapsed="false">
      <c r="A1208" s="483" t="s">
        <v>5371</v>
      </c>
      <c r="B1208" s="483" t="s">
        <v>5372</v>
      </c>
      <c r="C1208" s="480" t="n">
        <v>132757</v>
      </c>
      <c r="D1208" s="483" t="s">
        <v>5373</v>
      </c>
      <c r="E1208" s="483" t="s">
        <v>5374</v>
      </c>
    </row>
    <row r="1209" customFormat="false" ht="15" hidden="false" customHeight="false" outlineLevel="0" collapsed="false">
      <c r="A1209" s="483" t="s">
        <v>5375</v>
      </c>
      <c r="B1209" s="483" t="s">
        <v>5376</v>
      </c>
      <c r="C1209" s="480" t="n">
        <v>100575</v>
      </c>
      <c r="D1209" s="483" t="s">
        <v>5377</v>
      </c>
      <c r="E1209" s="483" t="s">
        <v>5378</v>
      </c>
    </row>
    <row r="1210" customFormat="false" ht="15" hidden="false" customHeight="false" outlineLevel="0" collapsed="false">
      <c r="A1210" s="483" t="s">
        <v>5379</v>
      </c>
      <c r="B1210" s="483" t="s">
        <v>5380</v>
      </c>
      <c r="C1210" s="480" t="n">
        <v>209587</v>
      </c>
      <c r="D1210" s="483" t="s">
        <v>5381</v>
      </c>
      <c r="E1210" s="483" t="s">
        <v>5382</v>
      </c>
    </row>
    <row r="1211" customFormat="false" ht="15" hidden="false" customHeight="false" outlineLevel="0" collapsed="false">
      <c r="A1211" s="483" t="s">
        <v>5383</v>
      </c>
      <c r="B1211" s="483" t="s">
        <v>5384</v>
      </c>
      <c r="C1211" s="480" t="n">
        <v>109966</v>
      </c>
      <c r="D1211" s="483" t="s">
        <v>5385</v>
      </c>
      <c r="E1211" s="483" t="s">
        <v>5386</v>
      </c>
    </row>
    <row r="1212" customFormat="false" ht="15" hidden="false" customHeight="false" outlineLevel="0" collapsed="false">
      <c r="A1212" s="483" t="s">
        <v>5387</v>
      </c>
      <c r="B1212" s="483"/>
      <c r="C1212" s="480" t="n">
        <v>237056</v>
      </c>
      <c r="D1212" s="483" t="s">
        <v>5388</v>
      </c>
      <c r="E1212" s="483" t="s">
        <v>5389</v>
      </c>
    </row>
    <row r="1213" customFormat="false" ht="15" hidden="false" customHeight="false" outlineLevel="0" collapsed="false">
      <c r="A1213" s="483" t="s">
        <v>5390</v>
      </c>
      <c r="B1213" s="483" t="s">
        <v>5391</v>
      </c>
      <c r="C1213" s="480" t="n">
        <v>200515</v>
      </c>
      <c r="D1213" s="483" t="s">
        <v>5392</v>
      </c>
      <c r="E1213" s="483" t="s">
        <v>5393</v>
      </c>
    </row>
    <row r="1214" customFormat="false" ht="15" hidden="false" customHeight="false" outlineLevel="0" collapsed="false">
      <c r="A1214" s="483" t="s">
        <v>5394</v>
      </c>
      <c r="B1214" s="483"/>
      <c r="C1214" s="480" t="n">
        <v>255008</v>
      </c>
      <c r="D1214" s="483" t="s">
        <v>5395</v>
      </c>
      <c r="E1214" s="483" t="s">
        <v>5396</v>
      </c>
    </row>
    <row r="1215" customFormat="false" ht="15" hidden="false" customHeight="false" outlineLevel="0" collapsed="false">
      <c r="A1215" s="483" t="s">
        <v>5397</v>
      </c>
      <c r="B1215" s="483" t="s">
        <v>5398</v>
      </c>
      <c r="C1215" s="480" t="n">
        <v>132144</v>
      </c>
      <c r="D1215" s="483" t="s">
        <v>5399</v>
      </c>
      <c r="E1215" s="483" t="s">
        <v>5400</v>
      </c>
    </row>
    <row r="1216" customFormat="false" ht="15" hidden="false" customHeight="false" outlineLevel="0" collapsed="false">
      <c r="A1216" s="483" t="s">
        <v>5401</v>
      </c>
      <c r="B1216" s="483" t="s">
        <v>5402</v>
      </c>
      <c r="C1216" s="480" t="n">
        <v>132553</v>
      </c>
      <c r="D1216" s="483" t="s">
        <v>5403</v>
      </c>
      <c r="E1216" s="483" t="s">
        <v>5404</v>
      </c>
    </row>
    <row r="1217" customFormat="false" ht="15" hidden="false" customHeight="false" outlineLevel="0" collapsed="false">
      <c r="A1217" s="483" t="s">
        <v>5405</v>
      </c>
      <c r="B1217" s="483" t="s">
        <v>5406</v>
      </c>
      <c r="C1217" s="480" t="n">
        <v>114162</v>
      </c>
      <c r="D1217" s="483" t="s">
        <v>5407</v>
      </c>
      <c r="E1217" s="483" t="s">
        <v>5408</v>
      </c>
    </row>
    <row r="1218" customFormat="false" ht="15" hidden="false" customHeight="false" outlineLevel="0" collapsed="false">
      <c r="A1218" s="483" t="s">
        <v>5409</v>
      </c>
      <c r="B1218" s="483" t="s">
        <v>5410</v>
      </c>
      <c r="C1218" s="480" t="n">
        <v>100365</v>
      </c>
      <c r="D1218" s="483" t="s">
        <v>5411</v>
      </c>
      <c r="E1218" s="483" t="s">
        <v>5412</v>
      </c>
    </row>
    <row r="1219" customFormat="false" ht="15" hidden="false" customHeight="false" outlineLevel="0" collapsed="false">
      <c r="A1219" s="483" t="s">
        <v>5413</v>
      </c>
      <c r="B1219" s="483" t="s">
        <v>5414</v>
      </c>
      <c r="C1219" s="480" t="n">
        <v>105412</v>
      </c>
      <c r="D1219" s="483" t="s">
        <v>5415</v>
      </c>
      <c r="E1219" s="483" t="s">
        <v>5416</v>
      </c>
    </row>
    <row r="1220" customFormat="false" ht="15" hidden="false" customHeight="false" outlineLevel="0" collapsed="false">
      <c r="A1220" s="483" t="s">
        <v>5417</v>
      </c>
      <c r="B1220" s="483" t="s">
        <v>5418</v>
      </c>
      <c r="C1220" s="480" t="n">
        <v>100444</v>
      </c>
      <c r="D1220" s="483" t="s">
        <v>5419</v>
      </c>
      <c r="E1220" s="483" t="s">
        <v>5420</v>
      </c>
    </row>
    <row r="1221" customFormat="false" ht="15" hidden="false" customHeight="false" outlineLevel="0" collapsed="false">
      <c r="A1221" s="483" t="s">
        <v>5421</v>
      </c>
      <c r="B1221" s="483" t="s">
        <v>5422</v>
      </c>
      <c r="C1221" s="480" t="n">
        <v>105533</v>
      </c>
      <c r="D1221" s="483" t="s">
        <v>5423</v>
      </c>
      <c r="E1221" s="483" t="s">
        <v>5424</v>
      </c>
    </row>
    <row r="1222" customFormat="false" ht="15" hidden="false" customHeight="false" outlineLevel="0" collapsed="false">
      <c r="A1222" s="483" t="s">
        <v>5425</v>
      </c>
      <c r="B1222" s="483" t="s">
        <v>5426</v>
      </c>
      <c r="C1222" s="480" t="n">
        <v>190073</v>
      </c>
      <c r="D1222" s="483" t="s">
        <v>5427</v>
      </c>
      <c r="E1222" s="483" t="s">
        <v>5428</v>
      </c>
    </row>
    <row r="1223" customFormat="false" ht="15" hidden="false" customHeight="false" outlineLevel="0" collapsed="false">
      <c r="A1223" s="483" t="s">
        <v>5429</v>
      </c>
      <c r="B1223" s="483" t="s">
        <v>5430</v>
      </c>
      <c r="C1223" s="480" t="n">
        <v>100238</v>
      </c>
      <c r="D1223" s="483" t="s">
        <v>5431</v>
      </c>
      <c r="E1223" s="483" t="s">
        <v>5432</v>
      </c>
    </row>
    <row r="1224" customFormat="false" ht="15" hidden="false" customHeight="false" outlineLevel="0" collapsed="false">
      <c r="A1224" s="483" t="s">
        <v>5433</v>
      </c>
      <c r="B1224" s="483" t="s">
        <v>5434</v>
      </c>
      <c r="C1224" s="480" t="n">
        <v>126586</v>
      </c>
      <c r="D1224" s="483" t="s">
        <v>5435</v>
      </c>
      <c r="E1224" s="483" t="s">
        <v>5436</v>
      </c>
    </row>
    <row r="1225" customFormat="false" ht="15" hidden="false" customHeight="false" outlineLevel="0" collapsed="false">
      <c r="A1225" s="483" t="s">
        <v>5437</v>
      </c>
      <c r="B1225" s="483" t="s">
        <v>5438</v>
      </c>
      <c r="C1225" s="480" t="n">
        <v>255003</v>
      </c>
      <c r="D1225" s="483" t="s">
        <v>5439</v>
      </c>
      <c r="E1225" s="483" t="s">
        <v>5440</v>
      </c>
    </row>
    <row r="1226" customFormat="false" ht="15" hidden="false" customHeight="false" outlineLevel="0" collapsed="false">
      <c r="A1226" s="483" t="s">
        <v>5441</v>
      </c>
      <c r="B1226" s="483" t="s">
        <v>5442</v>
      </c>
      <c r="C1226" s="480" t="n">
        <v>107685</v>
      </c>
      <c r="D1226" s="483" t="s">
        <v>5443</v>
      </c>
      <c r="E1226" s="483" t="s">
        <v>5444</v>
      </c>
    </row>
    <row r="1227" customFormat="false" ht="15" hidden="false" customHeight="false" outlineLevel="0" collapsed="false">
      <c r="A1227" s="483" t="s">
        <v>5445</v>
      </c>
      <c r="B1227" s="483" t="s">
        <v>5446</v>
      </c>
      <c r="C1227" s="480" t="n">
        <v>132300</v>
      </c>
      <c r="D1227" s="483" t="s">
        <v>5447</v>
      </c>
      <c r="E1227" s="483" t="s">
        <v>5448</v>
      </c>
    </row>
    <row r="1228" customFormat="false" ht="15" hidden="false" customHeight="false" outlineLevel="0" collapsed="false">
      <c r="A1228" s="483" t="s">
        <v>5449</v>
      </c>
      <c r="B1228" s="483" t="s">
        <v>5450</v>
      </c>
      <c r="C1228" s="480" t="n">
        <v>221217</v>
      </c>
      <c r="D1228" s="483" t="s">
        <v>5451</v>
      </c>
      <c r="E1228" s="483" t="s">
        <v>5452</v>
      </c>
    </row>
    <row r="1229" customFormat="false" ht="15" hidden="false" customHeight="false" outlineLevel="0" collapsed="false">
      <c r="A1229" s="483" t="s">
        <v>5453</v>
      </c>
      <c r="B1229" s="483"/>
      <c r="C1229" s="480" t="n">
        <v>105872</v>
      </c>
      <c r="D1229" s="483" t="s">
        <v>5454</v>
      </c>
      <c r="E1229" s="483" t="s">
        <v>5455</v>
      </c>
    </row>
    <row r="1230" customFormat="false" ht="15" hidden="false" customHeight="false" outlineLevel="0" collapsed="false">
      <c r="A1230" s="483" t="s">
        <v>5456</v>
      </c>
      <c r="B1230" s="483" t="s">
        <v>5457</v>
      </c>
      <c r="C1230" s="480" t="n">
        <v>132616</v>
      </c>
      <c r="D1230" s="483" t="s">
        <v>5458</v>
      </c>
      <c r="E1230" s="483" t="s">
        <v>5459</v>
      </c>
    </row>
    <row r="1231" customFormat="false" ht="15" hidden="false" customHeight="false" outlineLevel="0" collapsed="false">
      <c r="A1231" s="483" t="s">
        <v>5460</v>
      </c>
      <c r="B1231" s="483" t="s">
        <v>5461</v>
      </c>
      <c r="C1231" s="480" t="n">
        <v>291852</v>
      </c>
      <c r="D1231" s="483" t="s">
        <v>5462</v>
      </c>
      <c r="E1231" s="483" t="s">
        <v>5463</v>
      </c>
    </row>
    <row r="1232" customFormat="false" ht="15" hidden="false" customHeight="false" outlineLevel="0" collapsed="false">
      <c r="A1232" s="483" t="s">
        <v>5464</v>
      </c>
      <c r="B1232" s="483" t="s">
        <v>5465</v>
      </c>
      <c r="C1232" s="480" t="n">
        <v>190013</v>
      </c>
      <c r="D1232" s="483" t="s">
        <v>5466</v>
      </c>
      <c r="E1232" s="483" t="s">
        <v>5467</v>
      </c>
    </row>
    <row r="1233" customFormat="false" ht="15" hidden="false" customHeight="false" outlineLevel="0" collapsed="false">
      <c r="A1233" s="483" t="s">
        <v>5468</v>
      </c>
      <c r="B1233" s="483"/>
      <c r="C1233" s="480" t="n">
        <v>131225</v>
      </c>
      <c r="D1233" s="483" t="s">
        <v>5469</v>
      </c>
      <c r="E1233" s="483" t="s">
        <v>5470</v>
      </c>
    </row>
    <row r="1234" customFormat="false" ht="15" hidden="false" customHeight="false" outlineLevel="0" collapsed="false">
      <c r="A1234" s="483" t="s">
        <v>5471</v>
      </c>
      <c r="B1234" s="483" t="s">
        <v>5472</v>
      </c>
      <c r="C1234" s="480" t="n">
        <v>210289</v>
      </c>
      <c r="D1234" s="483" t="s">
        <v>5473</v>
      </c>
      <c r="E1234" s="483" t="s">
        <v>5474</v>
      </c>
    </row>
    <row r="1235" customFormat="false" ht="15" hidden="false" customHeight="false" outlineLevel="0" collapsed="false">
      <c r="A1235" s="483" t="s">
        <v>5475</v>
      </c>
      <c r="B1235" s="483"/>
      <c r="C1235" s="480" t="n">
        <v>275557</v>
      </c>
      <c r="D1235" s="483" t="s">
        <v>5476</v>
      </c>
      <c r="E1235" s="483" t="s">
        <v>5477</v>
      </c>
    </row>
    <row r="1236" customFormat="false" ht="15" hidden="false" customHeight="false" outlineLevel="0" collapsed="false">
      <c r="A1236" s="483" t="s">
        <v>5478</v>
      </c>
      <c r="B1236" s="483" t="s">
        <v>5479</v>
      </c>
      <c r="C1236" s="480" t="n">
        <v>132648</v>
      </c>
      <c r="D1236" s="483" t="s">
        <v>5480</v>
      </c>
      <c r="E1236" s="483" t="s">
        <v>5481</v>
      </c>
    </row>
    <row r="1237" customFormat="false" ht="15" hidden="false" customHeight="false" outlineLevel="0" collapsed="false">
      <c r="A1237" s="483" t="s">
        <v>5482</v>
      </c>
      <c r="B1237" s="483" t="s">
        <v>5483</v>
      </c>
      <c r="C1237" s="480" t="n">
        <v>122108</v>
      </c>
      <c r="D1237" s="483" t="s">
        <v>5484</v>
      </c>
      <c r="E1237" s="483" t="s">
        <v>5485</v>
      </c>
    </row>
    <row r="1238" customFormat="false" ht="15" hidden="false" customHeight="false" outlineLevel="0" collapsed="false">
      <c r="A1238" s="483" t="s">
        <v>5486</v>
      </c>
      <c r="B1238" s="483" t="s">
        <v>5487</v>
      </c>
      <c r="C1238" s="480" t="n">
        <v>105537</v>
      </c>
      <c r="D1238" s="483" t="s">
        <v>5488</v>
      </c>
      <c r="E1238" s="483" t="s">
        <v>5489</v>
      </c>
    </row>
    <row r="1239" customFormat="false" ht="15" hidden="false" customHeight="false" outlineLevel="0" collapsed="false">
      <c r="A1239" s="483" t="s">
        <v>5490</v>
      </c>
      <c r="B1239" s="483" t="s">
        <v>5491</v>
      </c>
      <c r="C1239" s="480" t="n">
        <v>132794</v>
      </c>
      <c r="D1239" s="483" t="s">
        <v>5492</v>
      </c>
      <c r="E1239" s="483" t="s">
        <v>5493</v>
      </c>
    </row>
    <row r="1240" customFormat="false" ht="15" hidden="false" customHeight="false" outlineLevel="0" collapsed="false">
      <c r="A1240" s="483" t="s">
        <v>5494</v>
      </c>
      <c r="B1240" s="483" t="s">
        <v>5495</v>
      </c>
      <c r="C1240" s="480" t="n">
        <v>190032</v>
      </c>
      <c r="D1240" s="483" t="s">
        <v>5496</v>
      </c>
      <c r="E1240" s="483" t="s">
        <v>5497</v>
      </c>
    </row>
    <row r="1241" customFormat="false" ht="15" hidden="false" customHeight="false" outlineLevel="0" collapsed="false">
      <c r="A1241" s="483" t="s">
        <v>5498</v>
      </c>
      <c r="B1241" s="483" t="s">
        <v>5499</v>
      </c>
      <c r="C1241" s="480" t="n">
        <v>104067</v>
      </c>
      <c r="D1241" s="483" t="s">
        <v>5500</v>
      </c>
      <c r="E1241" s="483" t="s">
        <v>5501</v>
      </c>
    </row>
    <row r="1242" customFormat="false" ht="15" hidden="false" customHeight="false" outlineLevel="0" collapsed="false">
      <c r="A1242" s="483" t="s">
        <v>5502</v>
      </c>
      <c r="B1242" s="483" t="s">
        <v>5503</v>
      </c>
      <c r="C1242" s="480" t="n">
        <v>252306</v>
      </c>
      <c r="D1242" s="483" t="s">
        <v>5504</v>
      </c>
      <c r="E1242" s="483" t="s">
        <v>5505</v>
      </c>
    </row>
    <row r="1243" customFormat="false" ht="15" hidden="false" customHeight="false" outlineLevel="0" collapsed="false">
      <c r="A1243" s="483" t="s">
        <v>5506</v>
      </c>
      <c r="B1243" s="483" t="s">
        <v>5507</v>
      </c>
      <c r="C1243" s="480" t="n">
        <v>285652</v>
      </c>
      <c r="D1243" s="483" t="s">
        <v>5508</v>
      </c>
      <c r="E1243" s="483" t="s">
        <v>5509</v>
      </c>
    </row>
  </sheetData>
  <conditionalFormatting sqref="A300:A545 A555:A793">
    <cfRule type="duplicateValues" priority="2" aboveAverage="0" equalAverage="0" bottom="0" percent="0" rank="0" text="" dxfId="4"/>
  </conditionalFormatting>
  <conditionalFormatting sqref="A300:A536">
    <cfRule type="duplicateValues" priority="3" aboveAverage="0" equalAverage="0" bottom="0" percent="0" rank="0" text="" dxfId="4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2012-08-17T09:55:37Z</dcterms:created>
  <dc:creator>Pratyush</dc:creator>
  <dc:description/>
  <dc:language>en-US</dc:language>
  <cp:lastModifiedBy/>
  <cp:lastPrinted>2023-05-17T11:40:04Z</cp:lastPrinted>
  <dcterms:modified xsi:type="dcterms:W3CDTF">2026-05-11T08:12:53Z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