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KgKPr3WLp4CpNoVJlzv7ZSchP96vqhzxHjZRV2oymb9D+wJuZRpP0WBxgWD9otzujEb60Nvk39Ew3abRz094Sg==" workbookSaltValue="PuQ4eZahNmYxitGDjhON3g==" workbookSpinCount="100000"/>
  <bookViews>
    <workbookView visibility="visible" minimized="0" showHorizontalScroll="1" showVerticalScroll="1" showSheetTabs="1" xWindow="-120" yWindow="-120" windowWidth="38640" windowHeight="21120" tabRatio="763" firstSheet="0" activeTab="2" autoFilterDateGrouping="1"/>
  </bookViews>
  <sheets>
    <sheet name="Summary" sheetId="1" state="visible" r:id="rId1"/>
    <sheet name="Valuation" sheetId="2" state="visible" r:id="rId2"/>
    <sheet name="Financial" sheetId="3" state="visible" r:id="rId3"/>
    <sheet name="Segments" sheetId="4" state="visible" r:id="rId4"/>
    <sheet name="Estimates" sheetId="5" state="visible" r:id="rId5"/>
    <sheet name="Customization" sheetId="6" state="visible" r:id="rId6"/>
    <sheet name="Data Sheet" sheetId="7" state="visible" r:id="rId7"/>
    <sheet name="Lookup" sheetId="8" state="hidden" r:id="rId8"/>
    <sheet name="Cover" sheetId="9" state="visible" r:id="rId9"/>
    <sheet name="Assumptions" sheetId="10" state="visible" r:id="rId10"/>
    <sheet name="P&amp;L" sheetId="11" state="visible" r:id="rId11"/>
    <sheet name="Balance Sheet" sheetId="12" state="visible" r:id="rId12"/>
    <sheet name="Cash Flow" sheetId="13" state="visible" r:id="rId13"/>
    <sheet name="Ratios" sheetId="14" state="visible" r:id="rId14"/>
    <sheet name="Valuation - Model" sheetId="15" state="visible" r:id="rId15"/>
    <sheet name="KPI Dashboard" sheetId="16" state="visible" r:id="rId16"/>
    <sheet name="Fin_Summary" sheetId="17" state="visible" r:id="rId17"/>
    <sheet name="Earnings_Forecast" sheetId="18" state="visible" r:id="rId18"/>
    <sheet name="Financials_Table" sheetId="19" state="visible" r:id="rId19"/>
    <sheet name="Valuations_Table" sheetId="20" state="visible" r:id="rId20"/>
    <sheet name="Key_Risks" sheetId="21" state="visible" r:id="rId21"/>
    <sheet name="Peer_Compare" sheetId="22" state="visible" r:id="rId22"/>
    <sheet name="Operational_Data" sheetId="23" state="visible" r:id="rId23"/>
    <sheet name="Governance" sheetId="24" state="visible" r:id="rId24"/>
    <sheet name="Timeline" sheetId="25" state="visible" r:id="rId25"/>
    <sheet name="Op_Charts" sheetId="26" state="visible" r:id="rId26"/>
    <sheet name="Model Diagnostics" sheetId="27" state="visible" r:id="rId27"/>
  </sheets>
  <externalReferences>
    <externalReference r:id="rId28"/>
  </externalReferences>
  <definedNames>
    <definedName name="UPDATE">'Data Sheet'!$E$1</definedName>
  </definedNames>
  <calcPr calcId="18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0.0"/>
    <numFmt numFmtId="167" formatCode="_ * #,##0_ ;_ * \-#,##0_ ;_ * &quot;-&quot;??_ ;_ @_ "/>
    <numFmt numFmtId="168" formatCode="0.0%"/>
    <numFmt numFmtId="169" formatCode="#,##0.0"/>
    <numFmt numFmtId="170" formatCode="_ * #,##0.0_ ;_ * \-#,##0.0_ ;_ * &quot;-&quot;??_ ;_ @_ "/>
    <numFmt numFmtId="171" formatCode="#,##,##0"/>
    <numFmt numFmtId="172" formatCode="#,##,##0.00"/>
    <numFmt numFmtId="173" formatCode="#,##0;[Red](#,##0);&quot;-&quot;"/>
    <numFmt numFmtId="174" formatCode="0.0%;[Red](0.0%);&quot;-&quot;"/>
    <numFmt numFmtId="175" formatCode="0.0&quot;x&quot;"/>
    <numFmt numFmtId="176" formatCode="0;[Red](0);&quot;-&quot;"/>
  </numFmts>
  <fonts count="5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sz val="11"/>
      <scheme val="minor"/>
    </font>
    <font>
      <name val="Tahoma"/>
      <family val="2"/>
      <color indexed="81"/>
      <sz val="9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Tahoma"/>
      <family val="2"/>
      <b val="1"/>
      <color indexed="81"/>
      <sz val="9"/>
    </font>
    <font>
      <name val="Calibri"/>
      <family val="2"/>
      <sz val="8"/>
      <scheme val="minor"/>
    </font>
    <font>
      <name val="Calibri (Body)"/>
      <b val="1"/>
      <color theme="0"/>
      <sz val="20"/>
    </font>
    <font>
      <name val="Calibri"/>
      <family val="2"/>
      <b val="1"/>
      <color theme="0"/>
      <sz val="18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22222F"/>
      <sz val="10"/>
      <scheme val="minor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theme="10"/>
      <sz val="10"/>
      <u val="single"/>
    </font>
    <font>
      <name val="Calibri"/>
      <family val="2"/>
      <b val="1"/>
      <color rgb="FF1F469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0"/>
      <sz val="8"/>
      <scheme val="minor"/>
    </font>
    <font>
      <name val="Calibri"/>
      <family val="2"/>
      <b val="1"/>
      <color theme="1"/>
      <sz val="9"/>
      <scheme val="minor"/>
    </font>
    <font>
      <name val="Arial"/>
      <b val="1"/>
      <color rgb="00FFFFFF"/>
      <sz val="20"/>
    </font>
    <font>
      <name val="Arial"/>
      <color rgb="00FFFFFF"/>
      <sz val="12"/>
    </font>
    <font>
      <name val="Arial"/>
      <b val="1"/>
      <color rgb="001F4690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2E7D32"/>
      <sz val="12"/>
    </font>
    <font>
      <name val="Arial"/>
      <b val="1"/>
      <color rgb="00D32F2F"/>
      <sz val="12"/>
    </font>
    <font>
      <name val="Arial"/>
      <b val="1"/>
      <color rgb="001F4690"/>
      <sz val="13"/>
    </font>
    <font>
      <name val="Arial"/>
      <b val="1"/>
      <color rgb="00FFFFFF"/>
      <sz val="11"/>
    </font>
    <font>
      <name val="Arial"/>
      <color rgb="001F4690"/>
      <sz val="10"/>
    </font>
    <font>
      <name val="Arial"/>
      <i val="1"/>
      <sz val="9"/>
    </font>
    <font>
      <name val="Arial"/>
      <b val="1"/>
      <color rgb="001F4690"/>
      <sz val="12"/>
    </font>
    <font>
      <name val="Arial"/>
      <b val="1"/>
      <color rgb="00FFFFFF"/>
      <sz val="10"/>
    </font>
    <font>
      <name val="Arial"/>
      <color rgb="00D32F2F"/>
      <sz val="10"/>
    </font>
    <font>
      <name val="Arial"/>
      <b val="1"/>
      <color rgb="001F4690"/>
      <sz val="14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000000"/>
      <sz val="10"/>
    </font>
    <font>
      <name val="Arial"/>
      <color rgb="00C00000"/>
      <sz val="10"/>
    </font>
  </fonts>
  <fills count="27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rgb="FF1F4690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A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4B6"/>
        <bgColor indexed="64"/>
      </patternFill>
    </fill>
    <fill>
      <patternFill patternType="solid">
        <fgColor rgb="001F4690"/>
      </patternFill>
    </fill>
    <fill>
      <patternFill patternType="solid">
        <fgColor rgb="003A5BA0"/>
      </patternFill>
    </fill>
    <fill>
      <patternFill patternType="solid">
        <fgColor rgb="002E7D32"/>
      </patternFill>
    </fill>
    <fill>
      <patternFill patternType="solid">
        <fgColor rgb="00FFE5B4"/>
      </patternFill>
    </fill>
    <fill>
      <patternFill patternType="solid">
        <fgColor rgb="00FFA5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006400"/>
      </patternFill>
    </fill>
    <fill>
      <patternFill patternType="solid">
        <fgColor rgb="008FBC8F"/>
      </patternFill>
    </fill>
    <fill>
      <patternFill patternType="solid">
        <fgColor rgb="004682B4"/>
      </patternFill>
    </fill>
    <fill>
      <patternFill patternType="solid">
        <fgColor rgb="00808080"/>
      </patternFill>
    </fill>
    <fill>
      <patternFill patternType="solid">
        <fgColor rgb="009370DB"/>
      </patternFill>
    </fill>
    <fill>
      <patternFill patternType="solid">
        <fgColor rgb="0020B2AA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9" fontId="3" fillId="0" borderId="0"/>
  </cellStyleXfs>
  <cellXfs count="628">
    <xf numFmtId="0" fontId="0" fillId="0" borderId="0" pivotButton="0" quotePrefix="0" xfId="0"/>
    <xf numFmtId="164" fontId="1" fillId="0" borderId="0" pivotButton="0" quotePrefix="0" xfId="1"/>
    <xf numFmtId="164" fontId="0" fillId="0" borderId="0" pivotButton="0" quotePrefix="0" xfId="1"/>
    <xf numFmtId="0" fontId="1" fillId="0" borderId="0" pivotButton="0" quotePrefix="0" xfId="0"/>
    <xf numFmtId="164" fontId="3" fillId="0" borderId="0" pivotButton="0" quotePrefix="0" xfId="1"/>
    <xf numFmtId="165" fontId="2" fillId="3" borderId="0" applyAlignment="1" pivotButton="0" quotePrefix="0" xfId="0">
      <alignment horizontal="center"/>
    </xf>
    <xf numFmtId="165" fontId="2" fillId="3" borderId="0" pivotButton="0" quotePrefix="0" xfId="1"/>
    <xf numFmtId="165" fontId="8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43" fontId="0" fillId="0" borderId="0" pivotButton="0" quotePrefix="0" xfId="1"/>
    <xf numFmtId="0" fontId="1" fillId="0" borderId="1" pivotButton="0" quotePrefix="0" xfId="0"/>
    <xf numFmtId="0" fontId="0" fillId="0" borderId="2" pivotButton="0" quotePrefix="0" xfId="0"/>
    <xf numFmtId="0" fontId="1" fillId="0" borderId="4" pivotButton="0" quotePrefix="0" xfId="0"/>
    <xf numFmtId="166" fontId="0" fillId="0" borderId="5" pivotButton="0" quotePrefix="0" xfId="0"/>
    <xf numFmtId="167" fontId="0" fillId="0" borderId="5" pivotButton="0" quotePrefix="0" xfId="0"/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167" fontId="0" fillId="0" borderId="7" pivotButton="0" quotePrefix="0" xfId="1"/>
    <xf numFmtId="3" fontId="0" fillId="0" borderId="7" pivotButton="0" quotePrefix="0" xfId="0"/>
    <xf numFmtId="9" fontId="10" fillId="0" borderId="7" pivotButton="0" quotePrefix="0" xfId="4"/>
    <xf numFmtId="9" fontId="10" fillId="0" borderId="7" pivotButton="0" quotePrefix="0" xfId="0"/>
    <xf numFmtId="167" fontId="12" fillId="0" borderId="7" pivotButton="0" quotePrefix="0" xfId="1"/>
    <xf numFmtId="168" fontId="10" fillId="0" borderId="7" pivotButton="0" quotePrefix="0" xfId="4"/>
    <xf numFmtId="168" fontId="12" fillId="0" borderId="7" pivotButton="0" quotePrefix="0" xfId="0"/>
    <xf numFmtId="9" fontId="0" fillId="0" borderId="7" pivotButton="0" quotePrefix="0" xfId="4"/>
    <xf numFmtId="164" fontId="12" fillId="0" borderId="7" pivotButton="0" quotePrefix="0" xfId="1"/>
    <xf numFmtId="169" fontId="0" fillId="0" borderId="7" pivotButton="0" quotePrefix="0" xfId="0"/>
    <xf numFmtId="0" fontId="1" fillId="0" borderId="12" applyAlignment="1" pivotButton="0" quotePrefix="0" xfId="0">
      <alignment horizontal="center"/>
    </xf>
    <xf numFmtId="167" fontId="0" fillId="0" borderId="12" pivotButton="0" quotePrefix="0" xfId="1"/>
    <xf numFmtId="9" fontId="10" fillId="0" borderId="12" pivotButton="0" quotePrefix="0" xfId="4"/>
    <xf numFmtId="168" fontId="10" fillId="0" borderId="12" pivotButton="0" quotePrefix="0" xfId="4"/>
    <xf numFmtId="167" fontId="12" fillId="0" borderId="12" pivotButton="0" quotePrefix="0" xfId="1"/>
    <xf numFmtId="164" fontId="12" fillId="0" borderId="12" pivotButton="0" quotePrefix="0" xfId="1"/>
    <xf numFmtId="0" fontId="1" fillId="0" borderId="9" applyAlignment="1" pivotButton="0" quotePrefix="0" xfId="0">
      <alignment horizontal="center"/>
    </xf>
    <xf numFmtId="167" fontId="0" fillId="0" borderId="9" pivotButton="0" quotePrefix="0" xfId="1"/>
    <xf numFmtId="9" fontId="10" fillId="0" borderId="9" pivotButton="0" quotePrefix="0" xfId="4"/>
    <xf numFmtId="168" fontId="10" fillId="0" borderId="9" pivotButton="0" quotePrefix="0" xfId="4"/>
    <xf numFmtId="167" fontId="12" fillId="0" borderId="9" pivotButton="0" quotePrefix="0" xfId="1"/>
    <xf numFmtId="164" fontId="12" fillId="0" borderId="9" pivotButton="0" quotePrefix="0" xfId="1"/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167" fontId="0" fillId="0" borderId="15" pivotButton="0" quotePrefix="0" xfId="1"/>
    <xf numFmtId="9" fontId="10" fillId="0" borderId="15" pivotButton="0" quotePrefix="0" xfId="4"/>
    <xf numFmtId="167" fontId="12" fillId="0" borderId="15" pivotButton="0" quotePrefix="0" xfId="1"/>
    <xf numFmtId="168" fontId="10" fillId="0" borderId="15" pivotButton="0" quotePrefix="0" xfId="4"/>
    <xf numFmtId="164" fontId="12" fillId="0" borderId="15" pivotButton="0" quotePrefix="0" xfId="1"/>
    <xf numFmtId="0" fontId="0" fillId="0" borderId="10" pivotButton="0" quotePrefix="0" xfId="0"/>
    <xf numFmtId="0" fontId="0" fillId="0" borderId="11" pivotButton="0" quotePrefix="0" xfId="0"/>
    <xf numFmtId="3" fontId="0" fillId="0" borderId="12" pivotButton="0" quotePrefix="0" xfId="0"/>
    <xf numFmtId="3" fontId="10" fillId="0" borderId="12" pivotButton="0" quotePrefix="0" xfId="0"/>
    <xf numFmtId="168" fontId="12" fillId="0" borderId="12" pivotButton="0" quotePrefix="0" xfId="0"/>
    <xf numFmtId="9" fontId="0" fillId="0" borderId="12" pivotButton="0" quotePrefix="0" xfId="4"/>
    <xf numFmtId="169" fontId="0" fillId="0" borderId="12" pivotButton="0" quotePrefix="0" xfId="0"/>
    <xf numFmtId="0" fontId="0" fillId="0" borderId="16" pivotButton="0" quotePrefix="0" xfId="0"/>
    <xf numFmtId="0" fontId="1" fillId="0" borderId="17" pivotButton="0" quotePrefix="0" xfId="0"/>
    <xf numFmtId="0" fontId="0" fillId="0" borderId="17" pivotButton="0" quotePrefix="0" xfId="0"/>
    <xf numFmtId="0" fontId="10" fillId="0" borderId="17" pivotButton="0" quotePrefix="0" xfId="0"/>
    <xf numFmtId="0" fontId="12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4" fontId="0" fillId="0" borderId="19" pivotButton="0" quotePrefix="0" xfId="0"/>
    <xf numFmtId="4" fontId="0" fillId="0" borderId="20" pivotButton="0" quotePrefix="0" xfId="0"/>
    <xf numFmtId="0" fontId="1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1" pivotButton="0" quotePrefix="0" xfId="0"/>
    <xf numFmtId="168" fontId="0" fillId="0" borderId="3" pivotButton="0" quotePrefix="0" xfId="4"/>
    <xf numFmtId="0" fontId="0" fillId="0" borderId="27" pivotButton="0" quotePrefix="0" xfId="0"/>
    <xf numFmtId="0" fontId="0" fillId="0" borderId="4" pivotButton="0" quotePrefix="0" xfId="0"/>
    <xf numFmtId="168" fontId="0" fillId="0" borderId="29" pivotButton="0" quotePrefix="0" xfId="4"/>
    <xf numFmtId="0" fontId="1" fillId="0" borderId="27" pivotButton="0" quotePrefix="0" xfId="0"/>
    <xf numFmtId="0" fontId="0" fillId="0" borderId="28" pivotButton="0" quotePrefix="0" xfId="0"/>
    <xf numFmtId="9" fontId="12" fillId="0" borderId="0" pivotButton="0" quotePrefix="0" xfId="4"/>
    <xf numFmtId="9" fontId="0" fillId="0" borderId="28" pivotButton="0" quotePrefix="0" xfId="4"/>
    <xf numFmtId="168" fontId="12" fillId="0" borderId="0" pivotButton="0" quotePrefix="0" xfId="4"/>
    <xf numFmtId="168" fontId="0" fillId="0" borderId="28" pivotButton="0" quotePrefix="0" xfId="4"/>
    <xf numFmtId="168" fontId="0" fillId="0" borderId="6" pivotButton="0" quotePrefix="0" xfId="4"/>
    <xf numFmtId="0" fontId="1" fillId="0" borderId="2" applyAlignment="1" pivotButton="0" quotePrefix="0" xfId="0">
      <alignment horizontal="center"/>
    </xf>
    <xf numFmtId="0" fontId="0" fillId="0" borderId="3" pivotButton="0" quotePrefix="0" xfId="0"/>
    <xf numFmtId="168" fontId="0" fillId="0" borderId="0" pivotButton="0" quotePrefix="0" xfId="4"/>
    <xf numFmtId="0" fontId="1" fillId="4" borderId="4" pivotButton="0" quotePrefix="0" xfId="0"/>
    <xf numFmtId="0" fontId="1" fillId="4" borderId="5" pivotButton="0" quotePrefix="0" xfId="0"/>
    <xf numFmtId="3" fontId="0" fillId="0" borderId="5" pivotButton="0" quotePrefix="0" xfId="0"/>
    <xf numFmtId="167" fontId="0" fillId="0" borderId="30" pivotButton="0" quotePrefix="0" xfId="1"/>
    <xf numFmtId="3" fontId="0" fillId="0" borderId="30" pivotButton="0" quotePrefix="0" xfId="0"/>
    <xf numFmtId="3" fontId="1" fillId="4" borderId="31" pivotButton="0" quotePrefix="0" xfId="0"/>
    <xf numFmtId="3" fontId="0" fillId="0" borderId="8" pivotButton="0" quotePrefix="0" xfId="0"/>
    <xf numFmtId="168" fontId="0" fillId="0" borderId="29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28" pivotButton="0" quotePrefix="0" xfId="0"/>
    <xf numFmtId="9" fontId="0" fillId="0" borderId="0" pivotButton="0" quotePrefix="0" xfId="0"/>
    <xf numFmtId="0" fontId="0" fillId="0" borderId="6" pivotButton="0" quotePrefix="0" xfId="0"/>
    <xf numFmtId="168" fontId="0" fillId="0" borderId="2" pivotButton="0" quotePrefix="0" xfId="4"/>
    <xf numFmtId="170" fontId="0" fillId="0" borderId="5" pivotButton="0" quotePrefix="0" xfId="0"/>
    <xf numFmtId="168" fontId="0" fillId="0" borderId="5" pivotButton="0" quotePrefix="0" xfId="4"/>
    <xf numFmtId="9" fontId="0" fillId="0" borderId="5" pivotButton="0" quotePrefix="0" xfId="0"/>
    <xf numFmtId="0" fontId="1" fillId="0" borderId="30" pivotButton="0" quotePrefix="0" xfId="0"/>
    <xf numFmtId="166" fontId="0" fillId="0" borderId="27" pivotButton="0" quotePrefix="0" xfId="0"/>
    <xf numFmtId="9" fontId="0" fillId="0" borderId="6" pivotButton="0" quotePrefix="0" xfId="4"/>
    <xf numFmtId="168" fontId="0" fillId="0" borderId="27" pivotButton="0" quotePrefix="0" xfId="4"/>
    <xf numFmtId="168" fontId="0" fillId="0" borderId="28" pivotButton="0" quotePrefix="0" xfId="0"/>
    <xf numFmtId="166" fontId="0" fillId="0" borderId="28" pivotButton="0" quotePrefix="0" xfId="0"/>
    <xf numFmtId="167" fontId="0" fillId="0" borderId="3" pivotButton="0" quotePrefix="0" xfId="1"/>
    <xf numFmtId="9" fontId="0" fillId="0" borderId="27" pivotButton="0" quotePrefix="0" xfId="0"/>
    <xf numFmtId="166" fontId="0" fillId="0" borderId="4" pivotButton="0" quotePrefix="0" xfId="0"/>
    <xf numFmtId="166" fontId="0" fillId="0" borderId="6" pivotButton="0" quotePrefix="0" xfId="0"/>
    <xf numFmtId="0" fontId="0" fillId="0" borderId="7" pivotButton="0" quotePrefix="0" xfId="0"/>
    <xf numFmtId="0" fontId="1" fillId="4" borderId="6" pivotButton="0" quotePrefix="0" xfId="0"/>
    <xf numFmtId="0" fontId="0" fillId="0" borderId="23" pivotButton="0" quotePrefix="0" xfId="0"/>
    <xf numFmtId="0" fontId="0" fillId="0" borderId="32" pivotButton="0" quotePrefix="0" xfId="0"/>
    <xf numFmtId="0" fontId="1" fillId="0" borderId="5" pivotButton="0" quotePrefix="0" xfId="0"/>
    <xf numFmtId="0" fontId="1" fillId="0" borderId="31" pivotButton="0" quotePrefix="0" xfId="0"/>
    <xf numFmtId="167" fontId="0" fillId="8" borderId="2" pivotButton="0" quotePrefix="0" xfId="1"/>
    <xf numFmtId="170" fontId="0" fillId="8" borderId="5" pivotButton="0" quotePrefix="0" xfId="1"/>
    <xf numFmtId="10" fontId="0" fillId="8" borderId="30" applyProtection="1" pivotButton="0" quotePrefix="0" xfId="0">
      <protection locked="0" hidden="0"/>
    </xf>
    <xf numFmtId="0" fontId="0" fillId="8" borderId="30" applyProtection="1" pivotButton="0" quotePrefix="0" xfId="0">
      <protection locked="0" hidden="0"/>
    </xf>
    <xf numFmtId="9" fontId="0" fillId="8" borderId="31" applyProtection="1" pivotButton="0" quotePrefix="0" xfId="0">
      <protection locked="0" hidden="0"/>
    </xf>
    <xf numFmtId="10" fontId="0" fillId="8" borderId="33" applyProtection="1" pivotButton="0" quotePrefix="0" xfId="0">
      <protection locked="0" hidden="0"/>
    </xf>
    <xf numFmtId="168" fontId="0" fillId="8" borderId="30" applyProtection="1" pivotButton="0" quotePrefix="0" xfId="0">
      <protection locked="0" hidden="0"/>
    </xf>
    <xf numFmtId="9" fontId="0" fillId="8" borderId="7" applyProtection="1" pivotButton="0" quotePrefix="0" xfId="0">
      <protection locked="0" hidden="0"/>
    </xf>
    <xf numFmtId="9" fontId="11" fillId="8" borderId="7" applyProtection="1" pivotButton="0" quotePrefix="0" xfId="0">
      <protection locked="0" hidden="0"/>
    </xf>
    <xf numFmtId="168" fontId="13" fillId="8" borderId="7" applyProtection="1" pivotButton="0" quotePrefix="0" xfId="0">
      <protection locked="0" hidden="0"/>
    </xf>
    <xf numFmtId="168" fontId="11" fillId="8" borderId="7" applyProtection="1" pivotButton="0" quotePrefix="0" xfId="0">
      <protection locked="0" hidden="0"/>
    </xf>
    <xf numFmtId="3" fontId="0" fillId="0" borderId="0" pivotButton="0" quotePrefix="0" xfId="0"/>
    <xf numFmtId="0" fontId="1" fillId="0" borderId="29" pivotButton="0" quotePrefix="0" xfId="0"/>
    <xf numFmtId="166" fontId="0" fillId="0" borderId="2" pivotButton="0" quotePrefix="0" xfId="0"/>
    <xf numFmtId="3" fontId="0" fillId="0" borderId="27" pivotButton="0" quotePrefix="0" xfId="0"/>
    <xf numFmtId="3" fontId="0" fillId="0" borderId="28" pivotButton="0" quotePrefix="0" xfId="0"/>
    <xf numFmtId="166" fontId="0" fillId="0" borderId="1" pivotButton="0" quotePrefix="0" xfId="0"/>
    <xf numFmtId="166" fontId="0" fillId="0" borderId="3" pivotButton="0" quotePrefix="0" xfId="0"/>
    <xf numFmtId="9" fontId="0" fillId="0" borderId="4" pivotButton="0" quotePrefix="0" xfId="0"/>
    <xf numFmtId="9" fontId="0" fillId="0" borderId="6" pivotButton="0" quotePrefix="0" xfId="0"/>
    <xf numFmtId="169" fontId="0" fillId="0" borderId="7" applyProtection="1" pivotButton="0" quotePrefix="0" xfId="0">
      <protection locked="0" hidden="0"/>
    </xf>
    <xf numFmtId="0" fontId="18" fillId="7" borderId="0" pivotButton="0" quotePrefix="0" xfId="0"/>
    <xf numFmtId="0" fontId="20" fillId="0" borderId="0" pivotButton="0" quotePrefix="0" xfId="0"/>
    <xf numFmtId="165" fontId="19" fillId="7" borderId="23" applyAlignment="1" pivotButton="0" quotePrefix="0" xfId="0">
      <alignment horizontal="center" vertical="center"/>
    </xf>
    <xf numFmtId="165" fontId="19" fillId="7" borderId="32" applyAlignment="1" pivotButton="0" quotePrefix="0" xfId="0">
      <alignment horizontal="center" vertical="center"/>
    </xf>
    <xf numFmtId="165" fontId="19" fillId="7" borderId="33" applyAlignment="1" pivotButton="0" quotePrefix="0" xfId="0">
      <alignment horizontal="center" vertical="center"/>
    </xf>
    <xf numFmtId="165" fontId="21" fillId="8" borderId="23" applyAlignment="1" pivotButton="0" quotePrefix="0" xfId="0">
      <alignment horizontal="center" vertical="center"/>
    </xf>
    <xf numFmtId="165" fontId="21" fillId="8" borderId="32" applyAlignment="1" pivotButton="0" quotePrefix="0" xfId="0">
      <alignment horizontal="center" vertical="center"/>
    </xf>
    <xf numFmtId="165" fontId="21" fillId="8" borderId="33" applyAlignment="1" pivotButton="0" quotePrefix="0" xfId="0">
      <alignment horizontal="center" vertical="center"/>
    </xf>
    <xf numFmtId="165" fontId="19" fillId="7" borderId="8" applyAlignment="1" pivotButton="0" quotePrefix="0" xfId="0">
      <alignment horizontal="center" vertical="center"/>
    </xf>
    <xf numFmtId="165" fontId="19" fillId="7" borderId="23" applyAlignment="1" pivotButton="0" quotePrefix="0" xfId="0">
      <alignment horizontal="center" vertical="center" wrapText="1"/>
    </xf>
    <xf numFmtId="165" fontId="19" fillId="7" borderId="32" applyAlignment="1" pivotButton="0" quotePrefix="0" xfId="0">
      <alignment horizontal="center" vertical="center" wrapText="1"/>
    </xf>
    <xf numFmtId="165" fontId="19" fillId="7" borderId="33" applyAlignment="1" pivotButton="0" quotePrefix="0" xfId="0">
      <alignment horizontal="center" vertical="center" wrapText="1"/>
    </xf>
    <xf numFmtId="0" fontId="20" fillId="0" borderId="27" pivotButton="0" quotePrefix="0" xfId="0"/>
    <xf numFmtId="167" fontId="20" fillId="0" borderId="27" pivotButton="0" quotePrefix="0" xfId="1"/>
    <xf numFmtId="167" fontId="20" fillId="0" borderId="0" pivotButton="0" quotePrefix="0" xfId="1"/>
    <xf numFmtId="167" fontId="20" fillId="0" borderId="28" pivotButton="0" quotePrefix="0" xfId="1"/>
    <xf numFmtId="167" fontId="22" fillId="8" borderId="27" pivotButton="0" quotePrefix="0" xfId="0"/>
    <xf numFmtId="167" fontId="22" fillId="8" borderId="0" pivotButton="0" quotePrefix="0" xfId="0"/>
    <xf numFmtId="167" fontId="22" fillId="8" borderId="28" pivotButton="0" quotePrefix="0" xfId="0"/>
    <xf numFmtId="167" fontId="20" fillId="0" borderId="30" pivotButton="0" quotePrefix="0" xfId="1"/>
    <xf numFmtId="9" fontId="20" fillId="0" borderId="0" pivotButton="0" quotePrefix="0" xfId="4"/>
    <xf numFmtId="0" fontId="20" fillId="0" borderId="28" pivotButton="0" quotePrefix="0" xfId="0"/>
    <xf numFmtId="166" fontId="20" fillId="0" borderId="27" pivotButton="0" quotePrefix="0" xfId="0"/>
    <xf numFmtId="166" fontId="20" fillId="0" borderId="0" pivotButton="0" quotePrefix="0" xfId="0"/>
    <xf numFmtId="166" fontId="20" fillId="0" borderId="28" pivotButton="0" quotePrefix="0" xfId="0"/>
    <xf numFmtId="166" fontId="22" fillId="8" borderId="27" pivotButton="0" quotePrefix="0" xfId="0"/>
    <xf numFmtId="166" fontId="22" fillId="8" borderId="0" pivotButton="0" quotePrefix="0" xfId="0"/>
    <xf numFmtId="166" fontId="22" fillId="8" borderId="28" pivotButton="0" quotePrefix="0" xfId="0"/>
    <xf numFmtId="166" fontId="20" fillId="0" borderId="30" pivotButton="0" quotePrefix="0" xfId="0"/>
    <xf numFmtId="167" fontId="22" fillId="8" borderId="27" pivotButton="0" quotePrefix="0" xfId="1"/>
    <xf numFmtId="167" fontId="22" fillId="8" borderId="0" pivotButton="0" quotePrefix="0" xfId="1"/>
    <xf numFmtId="167" fontId="22" fillId="8" borderId="28" pivotButton="0" quotePrefix="0" xfId="1"/>
    <xf numFmtId="0" fontId="20" fillId="0" borderId="4" pivotButton="0" quotePrefix="0" xfId="0"/>
    <xf numFmtId="0" fontId="20" fillId="0" borderId="5" pivotButton="0" quotePrefix="0" xfId="0"/>
    <xf numFmtId="167" fontId="20" fillId="0" borderId="4" pivotButton="0" quotePrefix="0" xfId="1"/>
    <xf numFmtId="167" fontId="20" fillId="0" borderId="5" pivotButton="0" quotePrefix="0" xfId="1"/>
    <xf numFmtId="167" fontId="20" fillId="0" borderId="6" pivotButton="0" quotePrefix="0" xfId="1"/>
    <xf numFmtId="167" fontId="22" fillId="8" borderId="4" pivotButton="0" quotePrefix="0" xfId="1"/>
    <xf numFmtId="167" fontId="22" fillId="8" borderId="5" pivotButton="0" quotePrefix="0" xfId="1"/>
    <xf numFmtId="167" fontId="22" fillId="8" borderId="6" pivotButton="0" quotePrefix="0" xfId="1"/>
    <xf numFmtId="167" fontId="22" fillId="0" borderId="31" pivotButton="0" quotePrefix="0" xfId="1"/>
    <xf numFmtId="9" fontId="20" fillId="0" borderId="5" pivotButton="0" quotePrefix="0" xfId="4"/>
    <xf numFmtId="0" fontId="22" fillId="8" borderId="27" pivotButton="0" quotePrefix="0" xfId="0"/>
    <xf numFmtId="0" fontId="22" fillId="8" borderId="0" pivotButton="0" quotePrefix="0" xfId="0"/>
    <xf numFmtId="0" fontId="22" fillId="8" borderId="28" pivotButton="0" quotePrefix="0" xfId="0"/>
    <xf numFmtId="0" fontId="20" fillId="0" borderId="30" pivotButton="0" quotePrefix="0" xfId="0"/>
    <xf numFmtId="170" fontId="18" fillId="0" borderId="0" pivotButton="0" quotePrefix="0" xfId="1"/>
    <xf numFmtId="0" fontId="20" fillId="0" borderId="1" pivotButton="0" quotePrefix="0" xfId="0"/>
    <xf numFmtId="0" fontId="20" fillId="0" borderId="2" pivotButton="0" quotePrefix="0" xfId="0"/>
    <xf numFmtId="167" fontId="20" fillId="0" borderId="1" pivotButton="0" quotePrefix="0" xfId="1"/>
    <xf numFmtId="167" fontId="20" fillId="0" borderId="2" pivotButton="0" quotePrefix="0" xfId="1"/>
    <xf numFmtId="167" fontId="22" fillId="8" borderId="1" pivotButton="0" quotePrefix="0" xfId="1"/>
    <xf numFmtId="167" fontId="22" fillId="8" borderId="2" pivotButton="0" quotePrefix="0" xfId="1"/>
    <xf numFmtId="167" fontId="22" fillId="8" borderId="3" pivotButton="0" quotePrefix="0" xfId="1"/>
    <xf numFmtId="167" fontId="20" fillId="0" borderId="29" pivotButton="0" quotePrefix="0" xfId="1"/>
    <xf numFmtId="168" fontId="20" fillId="0" borderId="1" pivotButton="0" quotePrefix="0" xfId="4"/>
    <xf numFmtId="9" fontId="20" fillId="0" borderId="2" pivotButton="0" quotePrefix="0" xfId="4"/>
    <xf numFmtId="9" fontId="20" fillId="6" borderId="27" applyProtection="1" pivotButton="0" quotePrefix="0" xfId="0">
      <protection locked="0" hidden="0"/>
    </xf>
    <xf numFmtId="9" fontId="20" fillId="6" borderId="0" applyProtection="1" pivotButton="0" quotePrefix="0" xfId="0">
      <protection locked="0" hidden="0"/>
    </xf>
    <xf numFmtId="9" fontId="20" fillId="6" borderId="28" applyProtection="1" pivotButton="0" quotePrefix="0" xfId="0">
      <protection locked="0" hidden="0"/>
    </xf>
    <xf numFmtId="9" fontId="20" fillId="8" borderId="27" pivotButton="0" quotePrefix="0" xfId="4"/>
    <xf numFmtId="9" fontId="20" fillId="8" borderId="0" pivotButton="0" quotePrefix="0" xfId="4"/>
    <xf numFmtId="9" fontId="20" fillId="8" borderId="28" pivotButton="0" quotePrefix="0" xfId="4"/>
    <xf numFmtId="168" fontId="20" fillId="0" borderId="27" pivotButton="0" quotePrefix="0" xfId="4"/>
    <xf numFmtId="167" fontId="20" fillId="0" borderId="27" pivotButton="0" quotePrefix="0" xfId="0"/>
    <xf numFmtId="168" fontId="20" fillId="0" borderId="0" pivotButton="0" quotePrefix="0" xfId="4"/>
    <xf numFmtId="167" fontId="20" fillId="0" borderId="30" pivotButton="0" quotePrefix="0" xfId="0"/>
    <xf numFmtId="164" fontId="20" fillId="0" borderId="27" pivotButton="0" quotePrefix="0" xfId="1"/>
    <xf numFmtId="167" fontId="20" fillId="0" borderId="0" pivotButton="0" quotePrefix="0" xfId="0"/>
    <xf numFmtId="9" fontId="20" fillId="0" borderId="27" pivotButton="0" quotePrefix="0" xfId="0"/>
    <xf numFmtId="170" fontId="20" fillId="0" borderId="27" pivotButton="0" quotePrefix="0" xfId="0"/>
    <xf numFmtId="170" fontId="20" fillId="0" borderId="0" pivotButton="0" quotePrefix="0" xfId="1"/>
    <xf numFmtId="170" fontId="22" fillId="8" borderId="27" pivotButton="0" quotePrefix="0" xfId="0"/>
    <xf numFmtId="170" fontId="22" fillId="8" borderId="0" pivotButton="0" quotePrefix="0" xfId="0"/>
    <xf numFmtId="170" fontId="22" fillId="8" borderId="28" pivotButton="0" quotePrefix="0" xfId="0"/>
    <xf numFmtId="170" fontId="20" fillId="0" borderId="30" pivotButton="0" quotePrefix="0" xfId="0"/>
    <xf numFmtId="164" fontId="20" fillId="0" borderId="4" pivotButton="0" quotePrefix="0" xfId="1"/>
    <xf numFmtId="170" fontId="20" fillId="0" borderId="4" pivotButton="0" quotePrefix="0" xfId="0"/>
    <xf numFmtId="170" fontId="20" fillId="0" borderId="5" pivotButton="0" quotePrefix="0" xfId="0"/>
    <xf numFmtId="170" fontId="22" fillId="8" borderId="4" pivotButton="0" quotePrefix="0" xfId="0"/>
    <xf numFmtId="170" fontId="22" fillId="8" borderId="5" pivotButton="0" quotePrefix="0" xfId="0"/>
    <xf numFmtId="170" fontId="22" fillId="8" borderId="6" pivotButton="0" quotePrefix="0" xfId="0"/>
    <xf numFmtId="170" fontId="20" fillId="0" borderId="31" pivotButton="0" quotePrefix="0" xfId="0"/>
    <xf numFmtId="170" fontId="20" fillId="0" borderId="0" pivotButton="0" quotePrefix="0" xfId="0"/>
    <xf numFmtId="170" fontId="20" fillId="0" borderId="28" pivotButton="0" quotePrefix="0" xfId="0"/>
    <xf numFmtId="164" fontId="23" fillId="0" borderId="1" pivotButton="0" quotePrefix="0" xfId="1"/>
    <xf numFmtId="170" fontId="20" fillId="0" borderId="2" pivotButton="0" quotePrefix="0" xfId="0"/>
    <xf numFmtId="170" fontId="20" fillId="0" borderId="3" pivotButton="0" quotePrefix="0" xfId="0"/>
    <xf numFmtId="170" fontId="22" fillId="8" borderId="1" pivotButton="0" quotePrefix="0" xfId="0"/>
    <xf numFmtId="170" fontId="22" fillId="8" borderId="2" pivotButton="0" quotePrefix="0" xfId="0"/>
    <xf numFmtId="170" fontId="22" fillId="8" borderId="3" pivotButton="0" quotePrefix="0" xfId="0"/>
    <xf numFmtId="170" fontId="20" fillId="0" borderId="29" pivotButton="0" quotePrefix="0" xfId="0"/>
    <xf numFmtId="170" fontId="20" fillId="0" borderId="1" pivotButton="0" quotePrefix="0" xfId="0"/>
    <xf numFmtId="168" fontId="20" fillId="0" borderId="2" pivotButton="0" quotePrefix="0" xfId="4"/>
    <xf numFmtId="168" fontId="20" fillId="0" borderId="30" pivotButton="0" quotePrefix="0" xfId="4"/>
    <xf numFmtId="9" fontId="20" fillId="0" borderId="0" pivotButton="0" quotePrefix="0" xfId="0"/>
    <xf numFmtId="168" fontId="22" fillId="8" borderId="27" pivotButton="0" quotePrefix="0" xfId="4"/>
    <xf numFmtId="168" fontId="22" fillId="8" borderId="0" pivotButton="0" quotePrefix="0" xfId="4"/>
    <xf numFmtId="168" fontId="22" fillId="8" borderId="28" pivotButton="0" quotePrefix="0" xfId="4"/>
    <xf numFmtId="168" fontId="20" fillId="6" borderId="27" applyProtection="1" pivotButton="0" quotePrefix="0" xfId="0">
      <protection locked="0" hidden="0"/>
    </xf>
    <xf numFmtId="168" fontId="20" fillId="6" borderId="0" applyProtection="1" pivotButton="0" quotePrefix="0" xfId="0">
      <protection locked="0" hidden="0"/>
    </xf>
    <xf numFmtId="168" fontId="20" fillId="6" borderId="28" applyProtection="1" pivotButton="0" quotePrefix="0" xfId="0">
      <protection locked="0" hidden="0"/>
    </xf>
    <xf numFmtId="168" fontId="20" fillId="0" borderId="27" pivotButton="0" quotePrefix="0" xfId="0"/>
    <xf numFmtId="168" fontId="20" fillId="0" borderId="0" pivotButton="0" quotePrefix="0" xfId="0"/>
    <xf numFmtId="168" fontId="20" fillId="0" borderId="4" pivotButton="0" quotePrefix="0" xfId="4"/>
    <xf numFmtId="168" fontId="20" fillId="0" borderId="5" pivotButton="0" quotePrefix="0" xfId="4"/>
    <xf numFmtId="168" fontId="22" fillId="8" borderId="4" pivotButton="0" quotePrefix="0" xfId="4"/>
    <xf numFmtId="168" fontId="22" fillId="8" borderId="5" pivotButton="0" quotePrefix="0" xfId="4"/>
    <xf numFmtId="168" fontId="22" fillId="8" borderId="6" pivotButton="0" quotePrefix="0" xfId="4"/>
    <xf numFmtId="168" fontId="20" fillId="0" borderId="31" pivotButton="0" quotePrefix="0" xfId="4"/>
    <xf numFmtId="9" fontId="20" fillId="0" borderId="5" pivotButton="0" quotePrefix="0" xfId="0"/>
    <xf numFmtId="168" fontId="20" fillId="0" borderId="28" pivotButton="0" quotePrefix="0" xfId="4"/>
    <xf numFmtId="168" fontId="20" fillId="0" borderId="3" pivotButton="0" quotePrefix="0" xfId="4"/>
    <xf numFmtId="168" fontId="22" fillId="8" borderId="1" pivotButton="0" quotePrefix="0" xfId="4"/>
    <xf numFmtId="168" fontId="22" fillId="8" borderId="2" pivotButton="0" quotePrefix="0" xfId="4"/>
    <xf numFmtId="168" fontId="22" fillId="8" borderId="3" pivotButton="0" quotePrefix="0" xfId="4"/>
    <xf numFmtId="168" fontId="20" fillId="0" borderId="29" pivotButton="0" quotePrefix="0" xfId="4"/>
    <xf numFmtId="167" fontId="20" fillId="0" borderId="28" pivotButton="0" quotePrefix="0" xfId="0"/>
    <xf numFmtId="164" fontId="23" fillId="0" borderId="27" pivotButton="0" quotePrefix="0" xfId="1"/>
    <xf numFmtId="0" fontId="23" fillId="0" borderId="0" pivotButton="0" quotePrefix="0" xfId="0"/>
    <xf numFmtId="167" fontId="23" fillId="0" borderId="27" pivotButton="0" quotePrefix="0" xfId="0"/>
    <xf numFmtId="167" fontId="23" fillId="0" borderId="0" pivotButton="0" quotePrefix="0" xfId="0"/>
    <xf numFmtId="167" fontId="23" fillId="0" borderId="28" pivotButton="0" quotePrefix="0" xfId="0"/>
    <xf numFmtId="167" fontId="21" fillId="8" borderId="27" pivotButton="0" quotePrefix="0" xfId="0"/>
    <xf numFmtId="167" fontId="21" fillId="8" borderId="0" pivotButton="0" quotePrefix="0" xfId="0"/>
    <xf numFmtId="167" fontId="21" fillId="8" borderId="28" pivotButton="0" quotePrefix="0" xfId="0"/>
    <xf numFmtId="0" fontId="23" fillId="0" borderId="30" pivotButton="0" quotePrefix="0" xfId="0"/>
    <xf numFmtId="170" fontId="23" fillId="0" borderId="30" pivotButton="0" quotePrefix="0" xfId="0"/>
    <xf numFmtId="170" fontId="23" fillId="0" borderId="27" pivotButton="0" quotePrefix="0" xfId="0"/>
    <xf numFmtId="167" fontId="20" fillId="0" borderId="5" pivotButton="0" quotePrefix="0" xfId="0"/>
    <xf numFmtId="167" fontId="20" fillId="0" borderId="4" pivotButton="0" quotePrefix="0" xfId="0"/>
    <xf numFmtId="167" fontId="20" fillId="0" borderId="6" pivotButton="0" quotePrefix="0" xfId="0"/>
    <xf numFmtId="167" fontId="22" fillId="8" borderId="4" pivotButton="0" quotePrefix="0" xfId="0"/>
    <xf numFmtId="167" fontId="22" fillId="8" borderId="5" pivotButton="0" quotePrefix="0" xfId="0"/>
    <xf numFmtId="167" fontId="22" fillId="8" borderId="6" pivotButton="0" quotePrefix="0" xfId="0"/>
    <xf numFmtId="0" fontId="20" fillId="0" borderId="31" pivotButton="0" quotePrefix="0" xfId="0"/>
    <xf numFmtId="167" fontId="20" fillId="0" borderId="1" pivotButton="0" quotePrefix="0" xfId="0"/>
    <xf numFmtId="167" fontId="20" fillId="0" borderId="2" pivotButton="0" quotePrefix="0" xfId="0"/>
    <xf numFmtId="167" fontId="20" fillId="0" borderId="3" pivotButton="0" quotePrefix="0" xfId="0"/>
    <xf numFmtId="167" fontId="22" fillId="8" borderId="1" pivotButton="0" quotePrefix="0" xfId="0"/>
    <xf numFmtId="167" fontId="22" fillId="8" borderId="2" pivotButton="0" quotePrefix="0" xfId="0"/>
    <xf numFmtId="167" fontId="22" fillId="8" borderId="3" pivotButton="0" quotePrefix="0" xfId="0"/>
    <xf numFmtId="0" fontId="20" fillId="0" borderId="29" pivotButton="0" quotePrefix="0" xfId="0"/>
    <xf numFmtId="0" fontId="23" fillId="0" borderId="1" pivotButton="0" quotePrefix="0" xfId="0"/>
    <xf numFmtId="0" fontId="20" fillId="0" borderId="3" pivotButton="0" quotePrefix="0" xfId="0"/>
    <xf numFmtId="0" fontId="22" fillId="8" borderId="1" pivotButton="0" quotePrefix="0" xfId="0"/>
    <xf numFmtId="0" fontId="22" fillId="8" borderId="2" pivotButton="0" quotePrefix="0" xfId="0"/>
    <xf numFmtId="0" fontId="22" fillId="8" borderId="3" pivotButton="0" quotePrefix="0" xfId="0"/>
    <xf numFmtId="0" fontId="23" fillId="0" borderId="27" pivotButton="0" quotePrefix="0" xfId="0"/>
    <xf numFmtId="0" fontId="22" fillId="8" borderId="4" pivotButton="0" quotePrefix="0" xfId="0"/>
    <xf numFmtId="0" fontId="22" fillId="8" borderId="5" pivotButton="0" quotePrefix="0" xfId="0"/>
    <xf numFmtId="0" fontId="22" fillId="8" borderId="6" pivotButton="0" quotePrefix="0" xfId="0"/>
    <xf numFmtId="0" fontId="20" fillId="0" borderId="6" pivotButton="0" quotePrefix="0" xfId="0"/>
    <xf numFmtId="1" fontId="20" fillId="0" borderId="2" pivotButton="0" quotePrefix="0" xfId="0"/>
    <xf numFmtId="1" fontId="20" fillId="0" borderId="1" pivotButton="0" quotePrefix="0" xfId="0"/>
    <xf numFmtId="1" fontId="20" fillId="0" borderId="0" pivotButton="0" quotePrefix="0" xfId="0"/>
    <xf numFmtId="1" fontId="20" fillId="0" borderId="27" pivotButton="0" quotePrefix="0" xfId="0"/>
    <xf numFmtId="9" fontId="20" fillId="0" borderId="27" pivotButton="0" quotePrefix="0" xfId="4"/>
    <xf numFmtId="9" fontId="22" fillId="8" borderId="27" pivotButton="0" quotePrefix="0" xfId="4"/>
    <xf numFmtId="9" fontId="22" fillId="8" borderId="0" pivotButton="0" quotePrefix="0" xfId="4"/>
    <xf numFmtId="9" fontId="22" fillId="8" borderId="28" pivotButton="0" quotePrefix="0" xfId="4"/>
    <xf numFmtId="0" fontId="23" fillId="0" borderId="4" pivotButton="0" quotePrefix="0" xfId="0"/>
    <xf numFmtId="1" fontId="20" fillId="0" borderId="5" pivotButton="0" quotePrefix="0" xfId="0"/>
    <xf numFmtId="9" fontId="20" fillId="0" borderId="4" pivotButton="0" quotePrefix="0" xfId="4"/>
    <xf numFmtId="9" fontId="22" fillId="8" borderId="4" pivotButton="0" quotePrefix="0" xfId="4"/>
    <xf numFmtId="9" fontId="22" fillId="8" borderId="5" pivotButton="0" quotePrefix="0" xfId="4"/>
    <xf numFmtId="9" fontId="22" fillId="8" borderId="6" pivotButton="0" quotePrefix="0" xfId="4"/>
    <xf numFmtId="164" fontId="20" fillId="0" borderId="1" pivotButton="0" quotePrefix="0" xfId="1"/>
    <xf numFmtId="164" fontId="20" fillId="0" borderId="2" pivotButton="0" quotePrefix="0" xfId="1"/>
    <xf numFmtId="164" fontId="22" fillId="8" borderId="1" pivotButton="0" quotePrefix="0" xfId="1"/>
    <xf numFmtId="164" fontId="22" fillId="8" borderId="2" pivotButton="0" quotePrefix="0" xfId="1"/>
    <xf numFmtId="164" fontId="22" fillId="8" borderId="3" pivotButton="0" quotePrefix="0" xfId="1"/>
    <xf numFmtId="164" fontId="20" fillId="0" borderId="2" pivotButton="0" quotePrefix="0" xfId="0"/>
    <xf numFmtId="164" fontId="20" fillId="0" borderId="0" pivotButton="0" quotePrefix="0" xfId="1"/>
    <xf numFmtId="9" fontId="20" fillId="0" borderId="28" pivotButton="0" quotePrefix="0" xfId="4"/>
    <xf numFmtId="9" fontId="20" fillId="0" borderId="6" pivotButton="0" quotePrefix="0" xfId="4"/>
    <xf numFmtId="167" fontId="20" fillId="0" borderId="29" pivotButton="0" quotePrefix="0" xfId="0"/>
    <xf numFmtId="170" fontId="20" fillId="0" borderId="30" pivotButton="0" quotePrefix="0" xfId="1"/>
    <xf numFmtId="170" fontId="20" fillId="0" borderId="27" pivotButton="0" quotePrefix="0" xfId="1"/>
    <xf numFmtId="170" fontId="20" fillId="0" borderId="28" pivotButton="0" quotePrefix="0" xfId="1"/>
    <xf numFmtId="170" fontId="22" fillId="8" borderId="27" pivotButton="0" quotePrefix="0" xfId="1"/>
    <xf numFmtId="170" fontId="22" fillId="8" borderId="0" pivotButton="0" quotePrefix="0" xfId="1"/>
    <xf numFmtId="170" fontId="22" fillId="8" borderId="28" pivotButton="0" quotePrefix="0" xfId="1"/>
    <xf numFmtId="170" fontId="20" fillId="0" borderId="4" pivotButton="0" quotePrefix="0" xfId="1"/>
    <xf numFmtId="170" fontId="20" fillId="0" borderId="5" pivotButton="0" quotePrefix="0" xfId="1"/>
    <xf numFmtId="170" fontId="20" fillId="0" borderId="6" pivotButton="0" quotePrefix="0" xfId="1"/>
    <xf numFmtId="170" fontId="22" fillId="8" borderId="4" pivotButton="0" quotePrefix="0" xfId="1"/>
    <xf numFmtId="170" fontId="22" fillId="8" borderId="5" pivotButton="0" quotePrefix="0" xfId="1"/>
    <xf numFmtId="170" fontId="22" fillId="8" borderId="6" pivotButton="0" quotePrefix="0" xfId="1"/>
    <xf numFmtId="170" fontId="20" fillId="0" borderId="31" pivotButton="0" quotePrefix="0" xfId="1"/>
    <xf numFmtId="0" fontId="20" fillId="0" borderId="0" applyAlignment="1" pivotButton="0" quotePrefix="0" xfId="0">
      <alignment horizontal="center"/>
    </xf>
    <xf numFmtId="165" fontId="19" fillId="7" borderId="1" applyAlignment="1" pivotButton="0" quotePrefix="0" xfId="0">
      <alignment horizontal="center" vertical="center"/>
    </xf>
    <xf numFmtId="165" fontId="19" fillId="7" borderId="2" applyAlignment="1" pivotButton="0" quotePrefix="0" xfId="0">
      <alignment horizontal="center" vertical="center"/>
    </xf>
    <xf numFmtId="165" fontId="19" fillId="7" borderId="3" applyAlignment="1" pivotButton="0" quotePrefix="0" xfId="0">
      <alignment horizontal="center" vertical="center"/>
    </xf>
    <xf numFmtId="17" fontId="20" fillId="0" borderId="2" pivotButton="0" quotePrefix="0" xfId="0"/>
    <xf numFmtId="167" fontId="20" fillId="0" borderId="27" applyProtection="1" pivotButton="0" quotePrefix="0" xfId="0">
      <protection locked="0" hidden="0"/>
    </xf>
    <xf numFmtId="167" fontId="20" fillId="0" borderId="0" applyProtection="1" pivotButton="0" quotePrefix="0" xfId="0">
      <protection locked="0" hidden="0"/>
    </xf>
    <xf numFmtId="167" fontId="20" fillId="0" borderId="28" applyProtection="1" pivotButton="0" quotePrefix="0" xfId="0">
      <protection locked="0" hidden="0"/>
    </xf>
    <xf numFmtId="9" fontId="20" fillId="5" borderId="0" pivotButton="0" quotePrefix="0" xfId="4"/>
    <xf numFmtId="9" fontId="20" fillId="0" borderId="27" applyProtection="1" pivotButton="0" quotePrefix="0" xfId="4">
      <protection locked="0" hidden="0"/>
    </xf>
    <xf numFmtId="9" fontId="20" fillId="0" borderId="0" applyProtection="1" pivotButton="0" quotePrefix="0" xfId="4">
      <protection locked="0" hidden="0"/>
    </xf>
    <xf numFmtId="9" fontId="20" fillId="0" borderId="28" applyProtection="1" pivotButton="0" quotePrefix="0" xfId="4">
      <protection locked="0" hidden="0"/>
    </xf>
    <xf numFmtId="167" fontId="20" fillId="0" borderId="27" applyProtection="1" pivotButton="0" quotePrefix="0" xfId="1">
      <protection locked="0" hidden="0"/>
    </xf>
    <xf numFmtId="167" fontId="20" fillId="0" borderId="0" applyProtection="1" pivotButton="0" quotePrefix="0" xfId="1">
      <protection locked="0" hidden="0"/>
    </xf>
    <xf numFmtId="167" fontId="20" fillId="0" borderId="28" applyProtection="1" pivotButton="0" quotePrefix="0" xfId="1">
      <protection locked="0" hidden="0"/>
    </xf>
    <xf numFmtId="168" fontId="20" fillId="0" borderId="27" applyProtection="1" pivotButton="0" quotePrefix="0" xfId="4">
      <protection locked="0" hidden="0"/>
    </xf>
    <xf numFmtId="168" fontId="20" fillId="0" borderId="0" applyProtection="1" pivotButton="0" quotePrefix="0" xfId="4">
      <protection locked="0" hidden="0"/>
    </xf>
    <xf numFmtId="168" fontId="20" fillId="0" borderId="28" applyProtection="1" pivotButton="0" quotePrefix="0" xfId="4">
      <protection locked="0" hidden="0"/>
    </xf>
    <xf numFmtId="9" fontId="20" fillId="0" borderId="27" applyProtection="1" pivotButton="0" quotePrefix="0" xfId="0">
      <protection locked="0" hidden="0"/>
    </xf>
    <xf numFmtId="9" fontId="20" fillId="0" borderId="0" applyProtection="1" pivotButton="0" quotePrefix="0" xfId="0">
      <protection locked="0" hidden="0"/>
    </xf>
    <xf numFmtId="9" fontId="20" fillId="0" borderId="28" applyProtection="1" pivotButton="0" quotePrefix="0" xfId="0">
      <protection locked="0" hidden="0"/>
    </xf>
    <xf numFmtId="9" fontId="20" fillId="5" borderId="0" pivotButton="0" quotePrefix="0" xfId="0"/>
    <xf numFmtId="0" fontId="20" fillId="0" borderId="27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0" fontId="20" fillId="0" borderId="28" applyProtection="1" pivotButton="0" quotePrefix="0" xfId="0">
      <protection locked="0" hidden="0"/>
    </xf>
    <xf numFmtId="164" fontId="23" fillId="0" borderId="27" pivotButton="0" quotePrefix="0" xfId="1"/>
    <xf numFmtId="166" fontId="20" fillId="0" borderId="4" applyProtection="1" pivotButton="0" quotePrefix="0" xfId="0">
      <protection locked="0" hidden="0"/>
    </xf>
    <xf numFmtId="166" fontId="20" fillId="0" borderId="5" applyProtection="1" pivotButton="0" quotePrefix="0" xfId="0">
      <protection locked="0" hidden="0"/>
    </xf>
    <xf numFmtId="166" fontId="20" fillId="0" borderId="6" applyProtection="1" pivotButton="0" quotePrefix="0" xfId="0">
      <protection locked="0" hidden="0"/>
    </xf>
    <xf numFmtId="0" fontId="24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pivotButton="0" quotePrefix="0" xfId="0"/>
    <xf numFmtId="17" fontId="2" fillId="7" borderId="35" applyAlignment="1" pivotButton="0" quotePrefix="0" xfId="0">
      <alignment horizontal="center" vertical="center"/>
    </xf>
    <xf numFmtId="17" fontId="2" fillId="7" borderId="36" applyAlignment="1" pivotButton="0" quotePrefix="0" xfId="0">
      <alignment horizontal="center" vertical="center"/>
    </xf>
    <xf numFmtId="0" fontId="2" fillId="7" borderId="34" applyAlignment="1" pivotButton="0" quotePrefix="0" xfId="0">
      <alignment horizontal="center" vertical="center" wrapText="1"/>
    </xf>
    <xf numFmtId="0" fontId="2" fillId="7" borderId="37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2" pivotButton="0" quotePrefix="0" xfId="0"/>
    <xf numFmtId="0" fontId="2" fillId="7" borderId="15" applyAlignment="1" pivotButton="0" quotePrefix="0" xfId="0">
      <alignment vertical="center"/>
    </xf>
    <xf numFmtId="17" fontId="2" fillId="7" borderId="16" applyAlignment="1" pivotButton="0" quotePrefix="0" xfId="0">
      <alignment horizontal="center" vertical="center"/>
    </xf>
    <xf numFmtId="167" fontId="20" fillId="0" borderId="0" pivotButton="0" quotePrefix="0" xfId="1"/>
    <xf numFmtId="3" fontId="20" fillId="0" borderId="0" pivotButton="0" quotePrefix="0" xfId="0"/>
    <xf numFmtId="3" fontId="25" fillId="9" borderId="0" applyAlignment="1" pivotButton="0" quotePrefix="0" xfId="0">
      <alignment horizontal="right" vertical="center" wrapText="1"/>
    </xf>
    <xf numFmtId="0" fontId="25" fillId="9" borderId="0" applyAlignment="1" pivotButton="0" quotePrefix="0" xfId="0">
      <alignment horizontal="right" vertical="center" wrapText="1"/>
    </xf>
    <xf numFmtId="168" fontId="20" fillId="0" borderId="0" pivotButton="0" quotePrefix="0" xfId="4"/>
    <xf numFmtId="0" fontId="26" fillId="0" borderId="0" applyAlignment="1" pivotButton="0" quotePrefix="0" xfId="0">
      <alignment horizontal="left"/>
    </xf>
    <xf numFmtId="0" fontId="27" fillId="0" borderId="0" pivotButton="0" quotePrefix="0" xfId="0"/>
    <xf numFmtId="0" fontId="24" fillId="0" borderId="0" applyAlignment="1" pivotButton="0" quotePrefix="0" xfId="0">
      <alignment horizontal="left"/>
    </xf>
    <xf numFmtId="0" fontId="28" fillId="0" borderId="0" pivotButton="0" quotePrefix="0" xfId="0"/>
    <xf numFmtId="4" fontId="0" fillId="8" borderId="7" applyProtection="1" pivotButton="0" quotePrefix="0" xfId="0">
      <protection locked="0" hidden="0"/>
    </xf>
    <xf numFmtId="164" fontId="20" fillId="0" borderId="0" pivotButton="0" quotePrefix="0" xfId="0"/>
    <xf numFmtId="0" fontId="29" fillId="0" borderId="0" pivotButton="0" quotePrefix="0" xfId="2"/>
    <xf numFmtId="0" fontId="20" fillId="0" borderId="0" applyAlignment="1" pivotButton="0" quotePrefix="0" xfId="0">
      <alignment horizontal="right"/>
    </xf>
    <xf numFmtId="9" fontId="20" fillId="0" borderId="0" applyAlignment="1" pivotButton="0" quotePrefix="0" xfId="4">
      <alignment horizontal="right"/>
    </xf>
    <xf numFmtId="168" fontId="20" fillId="0" borderId="0" applyAlignment="1" pivotButton="0" quotePrefix="0" xfId="4">
      <alignment horizontal="right"/>
    </xf>
    <xf numFmtId="9" fontId="20" fillId="0" borderId="0" pivotButton="0" quotePrefix="0" xfId="4"/>
    <xf numFmtId="165" fontId="20" fillId="0" borderId="0" pivotButton="0" quotePrefix="0" xfId="0"/>
    <xf numFmtId="0" fontId="25" fillId="9" borderId="0" applyAlignment="1" pivotButton="0" quotePrefix="0" xfId="0">
      <alignment horizontal="left" vertical="center"/>
    </xf>
    <xf numFmtId="0" fontId="30" fillId="0" borderId="38" applyAlignment="1" pivotButton="0" quotePrefix="0" xfId="0">
      <alignment vertical="center" wrapText="1"/>
    </xf>
    <xf numFmtId="3" fontId="31" fillId="0" borderId="39" applyAlignment="1" pivotButton="0" quotePrefix="0" xfId="0">
      <alignment horizontal="right" vertical="center" wrapText="1"/>
    </xf>
    <xf numFmtId="0" fontId="30" fillId="0" borderId="42" applyAlignment="1" pivotButton="0" quotePrefix="0" xfId="0">
      <alignment vertical="center" wrapText="1"/>
    </xf>
    <xf numFmtId="168" fontId="31" fillId="0" borderId="41" applyAlignment="1" pivotButton="0" quotePrefix="0" xfId="0">
      <alignment horizontal="right" vertical="center" wrapText="1"/>
    </xf>
    <xf numFmtId="166" fontId="31" fillId="0" borderId="39" applyAlignment="1" pivotButton="0" quotePrefix="0" xfId="0">
      <alignment horizontal="right" vertical="center" wrapText="1"/>
    </xf>
    <xf numFmtId="9" fontId="31" fillId="0" borderId="41" applyAlignment="1" pivotButton="0" quotePrefix="0" xfId="4">
      <alignment vertical="center" wrapText="1"/>
    </xf>
    <xf numFmtId="9" fontId="31" fillId="0" borderId="42" applyAlignment="1" pivotButton="0" quotePrefix="0" xfId="4">
      <alignment horizontal="right" vertical="center" wrapText="1"/>
    </xf>
    <xf numFmtId="0" fontId="30" fillId="0" borderId="40" applyAlignment="1" pivotButton="0" quotePrefix="0" xfId="0">
      <alignment vertical="center" wrapText="1"/>
    </xf>
    <xf numFmtId="9" fontId="0" fillId="0" borderId="0" pivotButton="0" quotePrefix="0" xfId="4"/>
    <xf numFmtId="0" fontId="20" fillId="8" borderId="0" pivotButton="0" quotePrefix="0" xfId="0"/>
    <xf numFmtId="164" fontId="20" fillId="8" borderId="0" pivotButton="0" quotePrefix="0" xfId="0"/>
    <xf numFmtId="166" fontId="20" fillId="8" borderId="0" pivotButton="0" quotePrefix="0" xfId="0"/>
    <xf numFmtId="165" fontId="2" fillId="10" borderId="0" applyAlignment="1" pivotButton="0" quotePrefix="0" xfId="0">
      <alignment horizontal="center"/>
    </xf>
    <xf numFmtId="168" fontId="20" fillId="8" borderId="0" pivotButton="0" quotePrefix="0" xfId="0"/>
    <xf numFmtId="168" fontId="32" fillId="8" borderId="0" pivotButton="0" quotePrefix="0" xfId="4"/>
    <xf numFmtId="0" fontId="20" fillId="11" borderId="0" pivotButton="0" quotePrefix="0" xfId="0"/>
    <xf numFmtId="168" fontId="20" fillId="11" borderId="0" pivotButton="0" quotePrefix="0" xfId="0"/>
    <xf numFmtId="0" fontId="33" fillId="10" borderId="0" pivotButton="0" quotePrefix="0" xfId="0"/>
    <xf numFmtId="166" fontId="20" fillId="0" borderId="0" applyProtection="1" pivotButton="0" quotePrefix="0" xfId="0">
      <protection locked="0" hidden="0"/>
    </xf>
    <xf numFmtId="0" fontId="19" fillId="7" borderId="23" applyAlignment="1" pivotButton="0" quotePrefix="0" xfId="0">
      <alignment horizontal="center"/>
    </xf>
    <xf numFmtId="0" fontId="19" fillId="7" borderId="32" applyAlignment="1" pivotButton="0" quotePrefix="0" xfId="0">
      <alignment horizontal="center"/>
    </xf>
    <xf numFmtId="0" fontId="19" fillId="7" borderId="33" applyAlignment="1" pivotButton="0" quotePrefix="0" xfId="0">
      <alignment horizontal="center"/>
    </xf>
    <xf numFmtId="0" fontId="19" fillId="7" borderId="0" applyAlignment="1" pivotButton="0" quotePrefix="0" xfId="0">
      <alignment horizontal="center"/>
    </xf>
    <xf numFmtId="165" fontId="23" fillId="12" borderId="0" applyAlignment="1" pivotButton="0" quotePrefix="0" xfId="0">
      <alignment horizontal="center" vertical="center"/>
    </xf>
    <xf numFmtId="165" fontId="34" fillId="12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165" fontId="19" fillId="7" borderId="5" applyAlignment="1" pivotButton="0" quotePrefix="0" xfId="0">
      <alignment horizontal="center" vertical="center" wrapText="1"/>
    </xf>
    <xf numFmtId="165" fontId="19" fillId="7" borderId="6" applyAlignment="1" pivotButton="0" quotePrefix="0" xfId="0">
      <alignment horizontal="center" vertical="center" wrapText="1"/>
    </xf>
    <xf numFmtId="0" fontId="19" fillId="7" borderId="4" applyAlignment="1" pivotButton="0" quotePrefix="0" xfId="0">
      <alignment horizontal="center" vertical="top"/>
    </xf>
    <xf numFmtId="0" fontId="19" fillId="7" borderId="5" applyAlignment="1" pivotButton="0" quotePrefix="0" xfId="0">
      <alignment horizontal="center" vertical="top"/>
    </xf>
    <xf numFmtId="0" fontId="19" fillId="7" borderId="6" applyAlignment="1" pivotButton="0" quotePrefix="0" xfId="0">
      <alignment horizontal="center" vertical="top"/>
    </xf>
    <xf numFmtId="0" fontId="2" fillId="7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17" fillId="7" borderId="23" applyAlignment="1" pivotButton="0" quotePrefix="0" xfId="0">
      <alignment horizontal="center" vertical="center"/>
    </xf>
    <xf numFmtId="0" fontId="17" fillId="7" borderId="32" applyAlignment="1" pivotButton="0" quotePrefix="0" xfId="0">
      <alignment horizontal="center" vertical="center"/>
    </xf>
    <xf numFmtId="0" fontId="17" fillId="7" borderId="3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6" fillId="7" borderId="0" applyAlignment="1" pivotButton="0" quotePrefix="0" xfId="0">
      <alignment horizontal="center" vertical="center"/>
    </xf>
    <xf numFmtId="164" fontId="4" fillId="0" borderId="0" applyAlignment="1" pivotButton="0" quotePrefix="0" xfId="2">
      <alignment horizontal="center"/>
    </xf>
    <xf numFmtId="164" fontId="2" fillId="2" borderId="0" applyAlignment="1" pivotButton="0" quotePrefix="0" xfId="3">
      <alignment horizontal="center"/>
    </xf>
    <xf numFmtId="166" fontId="0" fillId="0" borderId="27" pivotButton="0" quotePrefix="0" xfId="0"/>
    <xf numFmtId="166" fontId="0" fillId="0" borderId="0" pivotButton="0" quotePrefix="0" xfId="0"/>
    <xf numFmtId="166" fontId="0" fillId="0" borderId="28" pivotButton="0" quotePrefix="0" xfId="0"/>
    <xf numFmtId="166" fontId="31" fillId="0" borderId="39" applyAlignment="1" pivotButton="0" quotePrefix="0" xfId="0">
      <alignment horizontal="right" vertical="center" wrapText="1"/>
    </xf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166" fontId="0" fillId="0" borderId="4" pivotButton="0" quotePrefix="0" xfId="0"/>
    <xf numFmtId="166" fontId="0" fillId="0" borderId="5" pivotButton="0" quotePrefix="0" xfId="0"/>
    <xf numFmtId="166" fontId="0" fillId="0" borderId="6" pivotButton="0" quotePrefix="0" xfId="0"/>
    <xf numFmtId="0" fontId="17" fillId="7" borderId="8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5" pivotButton="0" quotePrefix="0" xfId="0"/>
    <xf numFmtId="0" fontId="0" fillId="0" borderId="44" pivotButton="0" quotePrefix="0" xfId="0"/>
    <xf numFmtId="164" fontId="12" fillId="0" borderId="12" pivotButton="0" quotePrefix="0" xfId="1"/>
    <xf numFmtId="164" fontId="12" fillId="0" borderId="7" pivotButton="0" quotePrefix="0" xfId="1"/>
    <xf numFmtId="164" fontId="12" fillId="0" borderId="9" pivotButton="0" quotePrefix="0" xfId="1"/>
    <xf numFmtId="164" fontId="12" fillId="0" borderId="15" pivotButton="0" quotePrefix="0" xfId="1"/>
    <xf numFmtId="169" fontId="0" fillId="0" borderId="12" pivotButton="0" quotePrefix="0" xfId="0"/>
    <xf numFmtId="169" fontId="0" fillId="0" borderId="7" pivotButton="0" quotePrefix="0" xfId="0"/>
    <xf numFmtId="169" fontId="0" fillId="0" borderId="7" applyProtection="1" pivotButton="0" quotePrefix="0" xfId="0">
      <protection locked="0" hidden="0"/>
    </xf>
    <xf numFmtId="0" fontId="1" fillId="0" borderId="8" applyAlignment="1" pivotButton="0" quotePrefix="0" xfId="0">
      <alignment horizontal="center"/>
    </xf>
    <xf numFmtId="170" fontId="0" fillId="8" borderId="5" pivotButton="0" quotePrefix="0" xfId="1"/>
    <xf numFmtId="0" fontId="0" fillId="0" borderId="8" applyAlignment="1" pivotButton="0" quotePrefix="0" xfId="0">
      <alignment horizontal="center"/>
    </xf>
    <xf numFmtId="170" fontId="0" fillId="0" borderId="5" pivotButton="0" quotePrefix="0" xfId="0"/>
    <xf numFmtId="0" fontId="19" fillId="7" borderId="8" applyAlignment="1" pivotButton="0" quotePrefix="0" xfId="0">
      <alignment horizontal="center"/>
    </xf>
    <xf numFmtId="0" fontId="19" fillId="7" borderId="31" applyAlignment="1" pivotButton="0" quotePrefix="0" xfId="0">
      <alignment horizontal="center" vertical="top"/>
    </xf>
    <xf numFmtId="166" fontId="20" fillId="0" borderId="27" pivotButton="0" quotePrefix="0" xfId="0"/>
    <xf numFmtId="166" fontId="20" fillId="0" borderId="0" pivotButton="0" quotePrefix="0" xfId="0"/>
    <xf numFmtId="166" fontId="20" fillId="0" borderId="28" pivotButton="0" quotePrefix="0" xfId="0"/>
    <xf numFmtId="166" fontId="22" fillId="8" borderId="27" pivotButton="0" quotePrefix="0" xfId="0"/>
    <xf numFmtId="166" fontId="22" fillId="8" borderId="0" pivotButton="0" quotePrefix="0" xfId="0"/>
    <xf numFmtId="166" fontId="22" fillId="8" borderId="28" pivotButton="0" quotePrefix="0" xfId="0"/>
    <xf numFmtId="166" fontId="20" fillId="0" borderId="30" pivotButton="0" quotePrefix="0" xfId="0"/>
    <xf numFmtId="170" fontId="18" fillId="0" borderId="0" pivotButton="0" quotePrefix="0" xfId="1"/>
    <xf numFmtId="164" fontId="20" fillId="0" borderId="27" pivotButton="0" quotePrefix="0" xfId="1"/>
    <xf numFmtId="170" fontId="20" fillId="0" borderId="27" pivotButton="0" quotePrefix="0" xfId="0"/>
    <xf numFmtId="170" fontId="20" fillId="0" borderId="0" pivotButton="0" quotePrefix="0" xfId="1"/>
    <xf numFmtId="170" fontId="22" fillId="8" borderId="27" pivotButton="0" quotePrefix="0" xfId="0"/>
    <xf numFmtId="170" fontId="22" fillId="8" borderId="0" pivotButton="0" quotePrefix="0" xfId="0"/>
    <xf numFmtId="170" fontId="22" fillId="8" borderId="28" pivotButton="0" quotePrefix="0" xfId="0"/>
    <xf numFmtId="170" fontId="20" fillId="0" borderId="30" pivotButton="0" quotePrefix="0" xfId="0"/>
    <xf numFmtId="164" fontId="20" fillId="0" borderId="4" pivotButton="0" quotePrefix="0" xfId="1"/>
    <xf numFmtId="170" fontId="20" fillId="0" borderId="4" pivotButton="0" quotePrefix="0" xfId="0"/>
    <xf numFmtId="170" fontId="20" fillId="0" borderId="5" pivotButton="0" quotePrefix="0" xfId="0"/>
    <xf numFmtId="170" fontId="22" fillId="8" borderId="4" pivotButton="0" quotePrefix="0" xfId="0"/>
    <xf numFmtId="170" fontId="22" fillId="8" borderId="5" pivotButton="0" quotePrefix="0" xfId="0"/>
    <xf numFmtId="170" fontId="22" fillId="8" borderId="6" pivotButton="0" quotePrefix="0" xfId="0"/>
    <xf numFmtId="170" fontId="20" fillId="0" borderId="31" pivotButton="0" quotePrefix="0" xfId="0"/>
    <xf numFmtId="170" fontId="20" fillId="0" borderId="0" pivotButton="0" quotePrefix="0" xfId="0"/>
    <xf numFmtId="170" fontId="20" fillId="0" borderId="28" pivotButton="0" quotePrefix="0" xfId="0"/>
    <xf numFmtId="164" fontId="23" fillId="0" borderId="1" pivotButton="0" quotePrefix="0" xfId="1"/>
    <xf numFmtId="170" fontId="20" fillId="0" borderId="2" pivotButton="0" quotePrefix="0" xfId="0"/>
    <xf numFmtId="170" fontId="20" fillId="0" borderId="3" pivotButton="0" quotePrefix="0" xfId="0"/>
    <xf numFmtId="170" fontId="22" fillId="8" borderId="1" pivotButton="0" quotePrefix="0" xfId="0"/>
    <xf numFmtId="170" fontId="22" fillId="8" borderId="2" pivotButton="0" quotePrefix="0" xfId="0"/>
    <xf numFmtId="170" fontId="22" fillId="8" borderId="3" pivotButton="0" quotePrefix="0" xfId="0"/>
    <xf numFmtId="170" fontId="20" fillId="0" borderId="29" pivotButton="0" quotePrefix="0" xfId="0"/>
    <xf numFmtId="170" fontId="20" fillId="0" borderId="1" pivotButton="0" quotePrefix="0" xfId="0"/>
    <xf numFmtId="164" fontId="23" fillId="0" borderId="27" pivotButton="0" quotePrefix="0" xfId="1"/>
    <xf numFmtId="170" fontId="23" fillId="0" borderId="30" pivotButton="0" quotePrefix="0" xfId="0"/>
    <xf numFmtId="170" fontId="23" fillId="0" borderId="27" pivotButton="0" quotePrefix="0" xfId="0"/>
    <xf numFmtId="164" fontId="20" fillId="0" borderId="1" pivotButton="0" quotePrefix="0" xfId="1"/>
    <xf numFmtId="164" fontId="20" fillId="0" borderId="2" pivotButton="0" quotePrefix="0" xfId="1"/>
    <xf numFmtId="164" fontId="22" fillId="8" borderId="1" pivotButton="0" quotePrefix="0" xfId="1"/>
    <xf numFmtId="164" fontId="22" fillId="8" borderId="2" pivotButton="0" quotePrefix="0" xfId="1"/>
    <xf numFmtId="164" fontId="22" fillId="8" borderId="3" pivotButton="0" quotePrefix="0" xfId="1"/>
    <xf numFmtId="164" fontId="20" fillId="0" borderId="2" pivotButton="0" quotePrefix="0" xfId="0"/>
    <xf numFmtId="164" fontId="20" fillId="0" borderId="0" pivotButton="0" quotePrefix="0" xfId="1"/>
    <xf numFmtId="170" fontId="20" fillId="0" borderId="30" pivotButton="0" quotePrefix="0" xfId="1"/>
    <xf numFmtId="170" fontId="20" fillId="0" borderId="27" pivotButton="0" quotePrefix="0" xfId="1"/>
    <xf numFmtId="170" fontId="20" fillId="0" borderId="28" pivotButton="0" quotePrefix="0" xfId="1"/>
    <xf numFmtId="170" fontId="22" fillId="8" borderId="27" pivotButton="0" quotePrefix="0" xfId="1"/>
    <xf numFmtId="170" fontId="22" fillId="8" borderId="0" pivotButton="0" quotePrefix="0" xfId="1"/>
    <xf numFmtId="170" fontId="22" fillId="8" borderId="28" pivotButton="0" quotePrefix="0" xfId="1"/>
    <xf numFmtId="170" fontId="20" fillId="0" borderId="4" pivotButton="0" quotePrefix="0" xfId="1"/>
    <xf numFmtId="170" fontId="20" fillId="0" borderId="5" pivotButton="0" quotePrefix="0" xfId="1"/>
    <xf numFmtId="170" fontId="20" fillId="0" borderId="6" pivotButton="0" quotePrefix="0" xfId="1"/>
    <xf numFmtId="170" fontId="22" fillId="8" borderId="4" pivotButton="0" quotePrefix="0" xfId="1"/>
    <xf numFmtId="170" fontId="22" fillId="8" borderId="5" pivotButton="0" quotePrefix="0" xfId="1"/>
    <xf numFmtId="170" fontId="22" fillId="8" borderId="6" pivotButton="0" quotePrefix="0" xfId="1"/>
    <xf numFmtId="170" fontId="20" fillId="0" borderId="31" pivotButton="0" quotePrefix="0" xfId="1"/>
    <xf numFmtId="166" fontId="20" fillId="0" borderId="4" applyProtection="1" pivotButton="0" quotePrefix="0" xfId="0">
      <protection locked="0" hidden="0"/>
    </xf>
    <xf numFmtId="166" fontId="20" fillId="0" borderId="5" applyProtection="1" pivotButton="0" quotePrefix="0" xfId="0">
      <protection locked="0" hidden="0"/>
    </xf>
    <xf numFmtId="166" fontId="20" fillId="0" borderId="6" applyProtection="1" pivotButton="0" quotePrefix="0" xfId="0">
      <protection locked="0" hidden="0"/>
    </xf>
    <xf numFmtId="166" fontId="20" fillId="0" borderId="0" applyProtection="1" pivotButton="0" quotePrefix="0" xfId="0">
      <protection locked="0" hidden="0"/>
    </xf>
    <xf numFmtId="164" fontId="20" fillId="0" borderId="0" pivotButton="0" quotePrefix="0" xfId="0"/>
    <xf numFmtId="164" fontId="20" fillId="8" borderId="0" pivotButton="0" quotePrefix="0" xfId="0"/>
    <xf numFmtId="166" fontId="20" fillId="8" borderId="0" pivotButton="0" quotePrefix="0" xfId="0"/>
    <xf numFmtId="164" fontId="0" fillId="0" borderId="0" pivotButton="0" quotePrefix="0" xfId="1"/>
    <xf numFmtId="164" fontId="1" fillId="0" borderId="0" pivotButton="0" quotePrefix="0" xfId="1"/>
    <xf numFmtId="164" fontId="4" fillId="0" borderId="0" applyAlignment="1" pivotButton="0" quotePrefix="0" xfId="2">
      <alignment horizontal="center"/>
    </xf>
    <xf numFmtId="164" fontId="2" fillId="2" borderId="0" applyAlignment="1" pivotButton="0" quotePrefix="0" xfId="3">
      <alignment horizontal="center"/>
    </xf>
    <xf numFmtId="164" fontId="3" fillId="0" borderId="0" pivotButton="0" quotePrefix="0" xfId="1"/>
    <xf numFmtId="43" fontId="0" fillId="0" borderId="0" pivotButton="0" quotePrefix="0" xfId="1"/>
    <xf numFmtId="0" fontId="35" fillId="13" borderId="0" applyAlignment="1" pivotButton="0" quotePrefix="0" xfId="0">
      <alignment horizontal="center" vertical="center" wrapText="1"/>
    </xf>
    <xf numFmtId="0" fontId="36" fillId="14" borderId="0" applyAlignment="1" pivotButton="0" quotePrefix="0" xfId="0">
      <alignment horizontal="center" vertical="center" wrapText="1"/>
    </xf>
    <xf numFmtId="0" fontId="37" fillId="0" borderId="45" pivotButton="0" quotePrefix="0" xfId="0"/>
    <xf numFmtId="0" fontId="38" fillId="0" borderId="45" pivotButton="0" quotePrefix="0" xfId="0"/>
    <xf numFmtId="0" fontId="39" fillId="15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top" wrapText="1"/>
    </xf>
    <xf numFmtId="0" fontId="40" fillId="0" borderId="0" pivotButton="0" quotePrefix="0" xfId="0"/>
    <xf numFmtId="0" fontId="41" fillId="0" borderId="0" pivotButton="0" quotePrefix="0" xfId="0"/>
    <xf numFmtId="0" fontId="42" fillId="16" borderId="0" pivotButton="0" quotePrefix="0" xfId="0"/>
    <xf numFmtId="0" fontId="43" fillId="13" borderId="45" applyAlignment="1" pivotButton="0" quotePrefix="0" xfId="0">
      <alignment horizontal="center" vertical="center" wrapText="1"/>
    </xf>
    <xf numFmtId="0" fontId="43" fillId="17" borderId="45" applyAlignment="1" pivotButton="0" quotePrefix="0" xfId="0">
      <alignment horizontal="center" vertical="center" wrapText="1"/>
    </xf>
    <xf numFmtId="0" fontId="0" fillId="0" borderId="45" pivotButton="0" quotePrefix="0" xfId="0"/>
    <xf numFmtId="2" fontId="44" fillId="16" borderId="45" pivotButton="0" quotePrefix="0" xfId="0"/>
    <xf numFmtId="171" fontId="44" fillId="16" borderId="45" pivotButton="0" quotePrefix="0" xfId="0"/>
    <xf numFmtId="1" fontId="44" fillId="16" borderId="45" pivotButton="0" quotePrefix="0" xfId="0"/>
    <xf numFmtId="0" fontId="37" fillId="18" borderId="45" pivotButton="0" quotePrefix="0" xfId="0"/>
    <xf numFmtId="0" fontId="0" fillId="18" borderId="45" pivotButton="0" quotePrefix="0" xfId="0"/>
    <xf numFmtId="2" fontId="44" fillId="0" borderId="45" pivotButton="0" quotePrefix="0" xfId="0"/>
    <xf numFmtId="0" fontId="38" fillId="0" borderId="45" applyAlignment="1" pivotButton="0" quotePrefix="0" xfId="0">
      <alignment vertical="top" wrapText="1"/>
    </xf>
    <xf numFmtId="0" fontId="45" fillId="0" borderId="45" pivotButton="0" quotePrefix="0" xfId="0"/>
    <xf numFmtId="171" fontId="0" fillId="0" borderId="45" pivotButton="0" quotePrefix="0" xfId="0"/>
    <xf numFmtId="171" fontId="0" fillId="16" borderId="45" pivotButton="0" quotePrefix="0" xfId="0"/>
    <xf numFmtId="10" fontId="0" fillId="0" borderId="45" pivotButton="0" quotePrefix="0" xfId="0"/>
    <xf numFmtId="10" fontId="0" fillId="16" borderId="45" pivotButton="0" quotePrefix="0" xfId="0"/>
    <xf numFmtId="0" fontId="46" fillId="0" borderId="45" pivotButton="0" quotePrefix="0" xfId="0"/>
    <xf numFmtId="172" fontId="0" fillId="0" borderId="45" pivotButton="0" quotePrefix="0" xfId="0"/>
    <xf numFmtId="172" fontId="0" fillId="16" borderId="45" pivotButton="0" quotePrefix="0" xfId="0"/>
    <xf numFmtId="0" fontId="47" fillId="14" borderId="45" pivotButton="0" quotePrefix="0" xfId="0"/>
    <xf numFmtId="0" fontId="48" fillId="0" borderId="45" pivotButton="0" quotePrefix="0" xfId="0"/>
    <xf numFmtId="0" fontId="49" fillId="0" borderId="45" pivotButton="0" quotePrefix="0" xfId="0"/>
    <xf numFmtId="2" fontId="0" fillId="0" borderId="45" pivotButton="0" quotePrefix="0" xfId="0"/>
    <xf numFmtId="2" fontId="0" fillId="16" borderId="45" pivotButton="0" quotePrefix="0" xfId="0"/>
    <xf numFmtId="1" fontId="0" fillId="0" borderId="45" pivotButton="0" quotePrefix="0" xfId="0"/>
    <xf numFmtId="1" fontId="0" fillId="16" borderId="45" pivotButton="0" quotePrefix="0" xfId="0"/>
    <xf numFmtId="0" fontId="49" fillId="0" borderId="0" pivotButton="0" quotePrefix="0" xfId="0"/>
    <xf numFmtId="0" fontId="37" fillId="0" borderId="0" pivotButton="0" quotePrefix="0" xfId="0"/>
    <xf numFmtId="0" fontId="43" fillId="13" borderId="0" pivotButton="0" quotePrefix="0" xfId="0"/>
    <xf numFmtId="171" fontId="0" fillId="16" borderId="0" pivotButton="0" quotePrefix="0" xfId="0"/>
    <xf numFmtId="0" fontId="50" fillId="13" borderId="0" applyAlignment="1" pivotButton="0" quotePrefix="0" xfId="0">
      <alignment horizontal="center" vertical="center" wrapText="1"/>
    </xf>
    <xf numFmtId="0" fontId="51" fillId="16" borderId="0" applyAlignment="1" pivotButton="0" quotePrefix="0" xfId="0">
      <alignment horizontal="center" vertical="center"/>
    </xf>
    <xf numFmtId="0" fontId="47" fillId="17" borderId="45" applyAlignment="1" pivotButton="0" quotePrefix="0" xfId="0">
      <alignment horizontal="left" vertical="center"/>
    </xf>
    <xf numFmtId="0" fontId="52" fillId="19" borderId="45" applyAlignment="1" pivotButton="0" quotePrefix="0" xfId="0">
      <alignment horizontal="left" vertical="center"/>
    </xf>
    <xf numFmtId="173" fontId="38" fillId="19" borderId="45" applyAlignment="1" pivotButton="0" quotePrefix="0" xfId="0">
      <alignment horizontal="center" vertical="center" wrapText="1"/>
    </xf>
    <xf numFmtId="173" fontId="38" fillId="16" borderId="45" applyAlignment="1" pivotButton="0" quotePrefix="0" xfId="0">
      <alignment horizontal="center" vertical="center" wrapText="1"/>
    </xf>
    <xf numFmtId="0" fontId="52" fillId="18" borderId="45" applyAlignment="1" pivotButton="0" quotePrefix="0" xfId="0">
      <alignment horizontal="left" vertical="center"/>
    </xf>
    <xf numFmtId="0" fontId="0" fillId="18" borderId="45" applyAlignment="1" pivotButton="0" quotePrefix="0" xfId="0">
      <alignment horizontal="center" vertical="center" wrapText="1"/>
    </xf>
    <xf numFmtId="174" fontId="38" fillId="18" borderId="45" applyAlignment="1" pivotButton="0" quotePrefix="0" xfId="0">
      <alignment horizontal="center" vertical="center" wrapText="1"/>
    </xf>
    <xf numFmtId="174" fontId="38" fillId="16" borderId="45" applyAlignment="1" pivotButton="0" quotePrefix="0" xfId="0">
      <alignment horizontal="center" vertical="center" wrapText="1"/>
    </xf>
    <xf numFmtId="173" fontId="38" fillId="18" borderId="45" applyAlignment="1" pivotButton="0" quotePrefix="0" xfId="0">
      <alignment horizontal="center" vertical="center" wrapText="1"/>
    </xf>
    <xf numFmtId="0" fontId="0" fillId="19" borderId="45" applyAlignment="1" pivotButton="0" quotePrefix="0" xfId="0">
      <alignment horizontal="center" vertical="center" wrapText="1"/>
    </xf>
    <xf numFmtId="174" fontId="38" fillId="19" borderId="45" applyAlignment="1" pivotButton="0" quotePrefix="0" xfId="0">
      <alignment horizontal="center" vertical="center" wrapText="1"/>
    </xf>
    <xf numFmtId="174" fontId="53" fillId="16" borderId="45" applyAlignment="1" pivotButton="0" quotePrefix="0" xfId="0">
      <alignment horizontal="center" vertical="center" wrapText="1"/>
    </xf>
    <xf numFmtId="4" fontId="38" fillId="18" borderId="45" applyAlignment="1" pivotButton="0" quotePrefix="0" xfId="0">
      <alignment horizontal="center" vertical="center" wrapText="1"/>
    </xf>
    <xf numFmtId="4" fontId="38" fillId="16" borderId="45" applyAlignment="1" pivotButton="0" quotePrefix="0" xfId="0">
      <alignment horizontal="center" vertical="center" wrapText="1"/>
    </xf>
    <xf numFmtId="4" fontId="38" fillId="19" borderId="45" applyAlignment="1" pivotButton="0" quotePrefix="0" xfId="0">
      <alignment horizontal="center" vertical="center" wrapText="1"/>
    </xf>
    <xf numFmtId="175" fontId="38" fillId="18" borderId="45" applyAlignment="1" pivotButton="0" quotePrefix="0" xfId="0">
      <alignment horizontal="center" vertical="center" wrapText="1"/>
    </xf>
    <xf numFmtId="175" fontId="38" fillId="16" borderId="45" applyAlignment="1" pivotButton="0" quotePrefix="0" xfId="0">
      <alignment horizontal="center" vertical="center" wrapText="1"/>
    </xf>
    <xf numFmtId="173" fontId="53" fillId="19" borderId="45" applyAlignment="1" pivotButton="0" quotePrefix="0" xfId="0">
      <alignment horizontal="center" vertical="center" wrapText="1"/>
    </xf>
    <xf numFmtId="173" fontId="53" fillId="16" borderId="45" applyAlignment="1" pivotButton="0" quotePrefix="0" xfId="0">
      <alignment horizontal="center" vertical="center" wrapText="1"/>
    </xf>
    <xf numFmtId="176" fontId="38" fillId="19" borderId="45" applyAlignment="1" pivotButton="0" quotePrefix="0" xfId="0">
      <alignment horizontal="center" vertical="center" wrapText="1"/>
    </xf>
    <xf numFmtId="176" fontId="38" fillId="16" borderId="45" applyAlignment="1" pivotButton="0" quotePrefix="0" xfId="0">
      <alignment horizontal="center" vertical="center" wrapText="1"/>
    </xf>
    <xf numFmtId="176" fontId="38" fillId="18" borderId="45" applyAlignment="1" pivotButton="0" quotePrefix="0" xfId="0">
      <alignment horizontal="center" vertical="center" wrapText="1"/>
    </xf>
    <xf numFmtId="175" fontId="38" fillId="19" borderId="45" applyAlignment="1" pivotButton="0" quotePrefix="0" xfId="0">
      <alignment horizontal="center" vertical="center" wrapText="1"/>
    </xf>
    <xf numFmtId="174" fontId="53" fillId="19" borderId="45" applyAlignment="1" pivotButton="0" quotePrefix="0" xfId="0">
      <alignment horizontal="center" vertical="center" wrapText="1"/>
    </xf>
    <xf numFmtId="0" fontId="52" fillId="0" borderId="45" pivotButton="0" quotePrefix="0" xfId="0"/>
    <xf numFmtId="173" fontId="0" fillId="19" borderId="45" applyAlignment="1" pivotButton="0" quotePrefix="0" xfId="0">
      <alignment horizontal="center" vertical="center" wrapText="1"/>
    </xf>
    <xf numFmtId="173" fontId="0" fillId="16" borderId="45" applyAlignment="1" pivotButton="0" quotePrefix="0" xfId="0">
      <alignment horizontal="center" vertical="center" wrapText="1"/>
    </xf>
    <xf numFmtId="174" fontId="0" fillId="19" borderId="45" applyAlignment="1" pivotButton="0" quotePrefix="0" xfId="0">
      <alignment horizontal="center" vertical="center" wrapText="1"/>
    </xf>
    <xf numFmtId="174" fontId="0" fillId="16" borderId="45" applyAlignment="1" pivotButton="0" quotePrefix="0" xfId="0">
      <alignment horizontal="center" vertical="center" wrapText="1"/>
    </xf>
    <xf numFmtId="4" fontId="0" fillId="19" borderId="45" applyAlignment="1" pivotButton="0" quotePrefix="0" xfId="0">
      <alignment horizontal="center" vertical="center" wrapText="1"/>
    </xf>
    <xf numFmtId="4" fontId="0" fillId="16" borderId="45" applyAlignment="1" pivotButton="0" quotePrefix="0" xfId="0">
      <alignment horizontal="center" vertical="center" wrapText="1"/>
    </xf>
    <xf numFmtId="175" fontId="0" fillId="19" borderId="45" applyAlignment="1" pivotButton="0" quotePrefix="0" xfId="0">
      <alignment horizontal="center" vertical="center" wrapText="1"/>
    </xf>
    <xf numFmtId="175" fontId="0" fillId="16" borderId="45" applyAlignment="1" pivotButton="0" quotePrefix="0" xfId="0">
      <alignment horizontal="center" vertical="center" wrapText="1"/>
    </xf>
    <xf numFmtId="176" fontId="0" fillId="19" borderId="45" applyAlignment="1" pivotButton="0" quotePrefix="0" xfId="0">
      <alignment horizontal="center" vertical="center" wrapText="1"/>
    </xf>
    <xf numFmtId="176" fontId="0" fillId="16" borderId="45" applyAlignment="1" pivotButton="0" quotePrefix="0" xfId="0">
      <alignment horizontal="center" vertical="center" wrapText="1"/>
    </xf>
    <xf numFmtId="166" fontId="43" fillId="13" borderId="45" applyAlignment="1" pivotButton="0" quotePrefix="0" xfId="0">
      <alignment horizontal="center" vertical="center" wrapText="1"/>
    </xf>
    <xf numFmtId="175" fontId="43" fillId="13" borderId="45" applyAlignment="1" pivotButton="0" quotePrefix="0" xfId="0">
      <alignment horizontal="center" vertical="center" wrapText="1"/>
    </xf>
    <xf numFmtId="173" fontId="38" fillId="0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horizontal="left" vertical="center" wrapText="1"/>
    </xf>
    <xf numFmtId="0" fontId="47" fillId="17" borderId="45" applyAlignment="1" pivotButton="0" quotePrefix="0" xfId="0">
      <alignment horizontal="center" vertical="center" wrapText="1"/>
    </xf>
    <xf numFmtId="0" fontId="47" fillId="20" borderId="45" applyAlignment="1" pivotButton="0" quotePrefix="0" xfId="0">
      <alignment horizontal="center" vertical="center" wrapText="1"/>
    </xf>
    <xf numFmtId="0" fontId="47" fillId="21" borderId="45" applyAlignment="1" pivotButton="0" quotePrefix="0" xfId="0">
      <alignment horizontal="center" vertical="center" wrapText="1"/>
    </xf>
    <xf numFmtId="174" fontId="38" fillId="0" borderId="45" applyAlignment="1" pivotButton="0" quotePrefix="0" xfId="0">
      <alignment horizontal="center" vertical="center" wrapText="1"/>
    </xf>
    <xf numFmtId="0" fontId="51" fillId="0" borderId="0" pivotButton="0" quotePrefix="0" xfId="0"/>
    <xf numFmtId="0" fontId="51" fillId="0" borderId="45" pivotButton="0" quotePrefix="0" xfId="0"/>
    <xf numFmtId="176" fontId="38" fillId="0" borderId="45" applyAlignment="1" pivotButton="0" quotePrefix="0" xfId="0">
      <alignment horizontal="center" vertical="center" wrapText="1"/>
    </xf>
    <xf numFmtId="0" fontId="47" fillId="22" borderId="45" applyAlignment="1" pivotButton="0" quotePrefix="0" xfId="0">
      <alignment horizontal="center" vertical="center" wrapText="1"/>
    </xf>
    <xf numFmtId="0" fontId="47" fillId="23" borderId="45" applyAlignment="1" pivotButton="0" quotePrefix="0" xfId="0">
      <alignment horizontal="center" vertical="center" wrapText="1"/>
    </xf>
    <xf numFmtId="0" fontId="47" fillId="24" borderId="45" applyAlignment="1" pivotButton="0" quotePrefix="0" xfId="0">
      <alignment horizontal="center" vertical="center" wrapText="1"/>
    </xf>
    <xf numFmtId="0" fontId="47" fillId="25" borderId="45" applyAlignment="1" pivotButton="0" quotePrefix="0" xfId="0">
      <alignment horizontal="center" vertical="center" wrapText="1"/>
    </xf>
    <xf numFmtId="0" fontId="47" fillId="26" borderId="45" applyAlignment="1" pivotButton="0" quotePrefix="0" xfId="0">
      <alignment horizontal="center" vertical="center" wrapText="1"/>
    </xf>
    <xf numFmtId="0" fontId="47" fillId="13" borderId="45" applyAlignment="1" pivotButton="0" quotePrefix="0" xfId="0">
      <alignment horizontal="center" vertical="center" wrapText="1"/>
    </xf>
    <xf numFmtId="0" fontId="52" fillId="0" borderId="0" pivotButton="0" quotePrefix="0" xfId="0"/>
    <xf numFmtId="0" fontId="38" fillId="0" borderId="0" pivotButton="0" quotePrefix="0" xfId="0"/>
  </cellXfs>
  <cellStyles count="5">
    <cellStyle name="Normal" xfId="0" builtinId="0"/>
    <cellStyle name="Comma" xfId="1" builtinId="3"/>
    <cellStyle name="Hyperlink" xfId="2" builtinId="8"/>
    <cellStyle name="Accent6" xfId="3" builtinId="49"/>
    <cellStyle name="Percent" xfId="4" builtinId="5"/>
  </cellStyles>
  <dxfs count="86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externalLink" Target="/xl/externalLinks/externalLink1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Comparison (₹ Cr) — Last 3 Years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'Peer_Compare'!$A$71:$A$74</f>
            </numRef>
          </cat>
          <val>
            <numRef>
              <f>'Peer_Compare'!$B$70:$B$74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'Peer_Compare'!$A$71:$A$74</f>
            </numRef>
          </cat>
          <val>
            <numRef>
              <f>'Peer_Compare'!$C$70:$C$74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'Peer_Compare'!$A$71:$A$74</f>
            </numRef>
          </cat>
          <val>
            <numRef>
              <f>'Peer_Compare'!$D$70:$D$74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 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Margin % — Last 3 Years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'Peer_Compare'!$A$79:$A$82</f>
            </numRef>
          </cat>
          <val>
            <numRef>
              <f>'Peer_Compare'!$B$78:$B$82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'Peer_Compare'!$A$79:$A$82</f>
            </numRef>
          </cat>
          <val>
            <numRef>
              <f>'Peer_Compare'!$C$78:$C$82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'Peer_Compare'!$A$79:$A$82</f>
            </numRef>
          </cat>
          <val>
            <numRef>
              <f>'Peer_Compare'!$D$78:$D$82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/ EBITDA / PAT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'Op_Charts'!A61</f>
            </strRef>
          </tx>
          <spPr>
            <a:ln>
              <a:prstDash val="solid"/>
            </a:ln>
          </spPr>
          <cat>
            <numRef>
              <f>'Op_Charts'!$B$60:$K$60</f>
            </numRef>
          </cat>
          <val>
            <numRef>
              <f>'Op_Charts'!$B$61:$K$61</f>
            </numRef>
          </val>
        </ser>
        <ser>
          <idx val="1"/>
          <order val="1"/>
          <tx>
            <strRef>
              <f>'Op_Charts'!A62</f>
            </strRef>
          </tx>
          <spPr>
            <a:ln>
              <a:prstDash val="solid"/>
            </a:ln>
          </spPr>
          <cat>
            <numRef>
              <f>'Op_Charts'!$B$60:$K$60</f>
            </numRef>
          </cat>
          <val>
            <numRef>
              <f>'Op_Charts'!$B$62:$K$62</f>
            </numRef>
          </val>
        </ser>
        <ser>
          <idx val="2"/>
          <order val="2"/>
          <tx>
            <strRef>
              <f>'Op_Charts'!A63</f>
            </strRef>
          </tx>
          <spPr>
            <a:ln>
              <a:prstDash val="solid"/>
            </a:ln>
          </spPr>
          <cat>
            <numRef>
              <f>'Op_Charts'!$B$60:$K$60</f>
            </numRef>
          </cat>
          <val>
            <numRef>
              <f>'Op_Charts'!$B$63:$K$63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Profile %</a:t>
            </a:r>
          </a:p>
        </rich>
      </tx>
    </title>
    <plotArea>
      <lineChart>
        <grouping val="standard"/>
        <ser>
          <idx val="0"/>
          <order val="0"/>
          <tx>
            <strRef>
              <f>'Op_Charts'!A67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'Op_Charts'!$B$66:$K$66</f>
            </numRef>
          </cat>
          <val>
            <numRef>
              <f>'Op_Charts'!$B$67:$K$67</f>
            </numRef>
          </val>
        </ser>
        <ser>
          <idx val="1"/>
          <order val="1"/>
          <tx>
            <strRef>
              <f>'Op_Charts'!A68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'Op_Charts'!$B$66:$K$66</f>
            </numRef>
          </cat>
          <val>
            <numRef>
              <f>'Op_Charts'!$B$68:$K$68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 (₹ Cr, indicative)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'Op_Charts'!A72</f>
            </strRef>
          </tx>
          <spPr>
            <a:ln>
              <a:prstDash val="solid"/>
            </a:ln>
          </spPr>
          <cat>
            <numRef>
              <f>'Op_Charts'!$B$71:$K$71</f>
            </numRef>
          </cat>
          <val>
            <numRef>
              <f>'Op_Charts'!$B$72:$K$72</f>
            </numRef>
          </val>
        </ser>
        <ser>
          <idx val="1"/>
          <order val="1"/>
          <tx>
            <strRef>
              <f>'Op_Charts'!A73</f>
            </strRef>
          </tx>
          <spPr>
            <a:ln>
              <a:prstDash val="solid"/>
            </a:ln>
          </spPr>
          <cat>
            <numRef>
              <f>'Op_Charts'!$B$71:$K$71</f>
            </numRef>
          </cat>
          <val>
            <numRef>
              <f>'Op_Charts'!$B$73:$K$73</f>
            </numRef>
          </val>
        </ser>
        <ser>
          <idx val="2"/>
          <order val="2"/>
          <tx>
            <strRef>
              <f>'Op_Charts'!A74</f>
            </strRef>
          </tx>
          <spPr>
            <a:ln>
              <a:prstDash val="solid"/>
            </a:ln>
          </spPr>
          <cat>
            <numRef>
              <f>'Op_Charts'!$B$71:$K$71</f>
            </numRef>
          </cat>
          <val>
            <numRef>
              <f>'Op_Charts'!$B$74:$K$74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ROE vs ROCE %</a:t>
            </a:r>
          </a:p>
        </rich>
      </tx>
    </title>
    <plotArea>
      <lineChart>
        <grouping val="standard"/>
        <ser>
          <idx val="0"/>
          <order val="0"/>
          <tx>
            <strRef>
              <f>'Op_Charts'!A78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'Op_Charts'!$B$77:$K$77</f>
            </numRef>
          </cat>
          <val>
            <numRef>
              <f>'Op_Charts'!$B$78:$K$78</f>
            </numRef>
          </val>
        </ser>
        <ser>
          <idx val="1"/>
          <order val="1"/>
          <tx>
            <strRef>
              <f>'Op_Charts'!A79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'Op_Charts'!$B$77:$K$77</f>
            </numRef>
          </cat>
          <val>
            <numRef>
              <f>'Op_Charts'!$B$79:$K$79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Flow Profile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'Op_Charts'!A83</f>
            </strRef>
          </tx>
          <spPr>
            <a:ln>
              <a:prstDash val="solid"/>
            </a:ln>
          </spPr>
          <cat>
            <numRef>
              <f>'Op_Charts'!$B$82:$K$82</f>
            </numRef>
          </cat>
          <val>
            <numRef>
              <f>'Op_Charts'!$B$83:$K$83</f>
            </numRef>
          </val>
        </ser>
        <ser>
          <idx val="1"/>
          <order val="1"/>
          <tx>
            <strRef>
              <f>'Op_Charts'!A84</f>
            </strRef>
          </tx>
          <spPr>
            <a:ln>
              <a:prstDash val="solid"/>
            </a:ln>
          </spPr>
          <cat>
            <numRef>
              <f>'Op_Charts'!$B$82:$K$82</f>
            </numRef>
          </cat>
          <val>
            <numRef>
              <f>'Op_Charts'!$B$84:$K$84</f>
            </numRef>
          </val>
        </ser>
        <ser>
          <idx val="2"/>
          <order val="2"/>
          <tx>
            <strRef>
              <f>'Op_Charts'!A85</f>
            </strRef>
          </tx>
          <spPr>
            <a:ln>
              <a:prstDash val="solid"/>
            </a:ln>
          </spPr>
          <cat>
            <numRef>
              <f>'Op_Charts'!$B$82:$K$82</f>
            </numRef>
          </cat>
          <val>
            <numRef>
              <f>'Op_Charts'!$B$85:$K$85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EPS Trend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'Op_Charts'!A89</f>
            </strRef>
          </tx>
          <spPr>
            <a:ln>
              <a:prstDash val="solid"/>
            </a:ln>
          </spPr>
          <cat>
            <numRef>
              <f>'Op_Charts'!$B$88:$K$88</f>
            </numRef>
          </cat>
          <val>
            <numRef>
              <f>'Op_Charts'!$B$89:$K$89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Sumit Poddar</author>
  </authors>
  <commentList>
    <comment ref="H16" authorId="0" shapeId="0">
      <text>
        <t>Cost of Equity = Risk-Free Rate of Return + Beta * (Market Rate of Return - Risk-Free Rate of Return)</t>
      </text>
    </comment>
    <comment ref="J22" authorId="0" shapeId="0">
      <text>
        <t xml:space="preserve">Sumit Poddar:
Increase in interest rates </t>
      </text>
    </comment>
  </commentList>
</comments>
</file>

<file path=xl/comments/comment2.xml><?xml version="1.0" encoding="utf-8"?>
<comments xmlns="http://schemas.openxmlformats.org/spreadsheetml/2006/main">
  <authors>
    <author>Sumit Poddar</author>
  </authors>
  <commentList>
    <comment ref="U71" authorId="0" shapeId="0">
      <text>
        <t>SP : Change based on Outlook</t>
      </text>
    </comment>
    <comment ref="U73" authorId="0" shapeId="0">
      <text>
        <t>SP : Change based on Outlook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57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21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648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40</row>
      <rowOff>0</rowOff>
    </from>
    <ext cx="648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singh/Downloads/GIA%20Stocks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 t="str">
            <v>Actuals &amp; Forward Estimates</v>
          </cell>
          <cell r="B2" t="str">
            <v>Mar2026 E</v>
          </cell>
          <cell r="C2" t="str">
            <v>Mar2025 E</v>
          </cell>
          <cell r="D2" t="str">
            <v>Mar2024 E</v>
          </cell>
          <cell r="E2" t="str">
            <v>Mar2023</v>
          </cell>
          <cell r="F2" t="str">
            <v>Mar2022</v>
          </cell>
          <cell r="G2" t="str">
            <v>Mar2021</v>
          </cell>
          <cell r="H2" t="str">
            <v>Mar2020</v>
          </cell>
          <cell r="I2" t="str">
            <v>Mar2019</v>
          </cell>
          <cell r="J2" t="str">
            <v>Mar2018</v>
          </cell>
          <cell r="K2" t="str">
            <v>Mar2017</v>
          </cell>
          <cell r="L2" t="str">
            <v>Mar2016</v>
          </cell>
        </row>
        <row r="3">
          <cell r="A3" t="str">
            <v>Net Income</v>
          </cell>
          <cell r="B3" t="str">
            <v>42,757.3</v>
          </cell>
          <cell r="C3" t="str">
            <v>35,770.4</v>
          </cell>
          <cell r="D3" t="str">
            <v>30,374.7</v>
          </cell>
          <cell r="E3" t="str">
            <v>25,764.9</v>
          </cell>
          <cell r="F3" t="str">
            <v>22,345.6</v>
          </cell>
          <cell r="G3" t="str">
            <v>20,028.8</v>
          </cell>
          <cell r="H3" t="str">
            <v>19,011.4</v>
          </cell>
          <cell r="I3" t="str">
            <v>14,492.9</v>
          </cell>
          <cell r="J3" t="str">
            <v>12,247.5</v>
          </cell>
          <cell r="K3" t="str">
            <v>10,234.1</v>
          </cell>
          <cell r="L3" t="str">
            <v>7,813.5</v>
          </cell>
        </row>
        <row r="4">
          <cell r="A4" t="str">
            <v>% Change YoY</v>
          </cell>
          <cell r="B4">
            <v>0.19500000000000001</v>
          </cell>
          <cell r="C4">
            <v>0.17800000000000002</v>
          </cell>
          <cell r="D4">
            <v>0.17899999999999999</v>
          </cell>
          <cell r="E4">
            <v>0.153</v>
          </cell>
          <cell r="F4">
            <v>0.11599999999999999</v>
          </cell>
          <cell r="G4">
            <v>5.2999999999999999E-2</v>
          </cell>
          <cell r="H4">
            <v>0.312</v>
          </cell>
          <cell r="I4">
            <v>0.183</v>
          </cell>
          <cell r="J4">
            <v>0.19699999999999998</v>
          </cell>
          <cell r="K4">
            <v>0.31</v>
          </cell>
          <cell r="L4">
            <v>0</v>
          </cell>
        </row>
        <row r="5">
          <cell r="A5" t="str">
            <v>EBITDA</v>
          </cell>
          <cell r="B5" t="str">
            <v>NaN</v>
          </cell>
          <cell r="C5" t="str">
            <v>NaN</v>
          </cell>
          <cell r="D5" t="str">
            <v>NaN</v>
          </cell>
          <cell r="E5" t="str">
            <v>14,419.0</v>
          </cell>
          <cell r="F5" t="str">
            <v>13,034.9</v>
          </cell>
          <cell r="G5" t="str">
            <v>11,871.9</v>
          </cell>
          <cell r="H5" t="str">
            <v>10,828.8</v>
          </cell>
          <cell r="I5" t="str">
            <v>8,087.6</v>
          </cell>
          <cell r="J5" t="str">
            <v>6,656.1</v>
          </cell>
          <cell r="K5" t="str">
            <v>5,451.0</v>
          </cell>
          <cell r="L5" t="str">
            <v>4,141.4</v>
          </cell>
        </row>
        <row r="6">
          <cell r="A6" t="str">
            <v>% Change YoY</v>
          </cell>
          <cell r="B6">
            <v>0</v>
          </cell>
          <cell r="C6">
            <v>0</v>
          </cell>
          <cell r="D6">
            <v>0</v>
          </cell>
          <cell r="E6">
            <v>0.106</v>
          </cell>
          <cell r="F6">
            <v>9.8000000000000004E-2</v>
          </cell>
          <cell r="G6">
            <v>9.6000000000000002E-2</v>
          </cell>
          <cell r="H6">
            <v>0.33899999999999997</v>
          </cell>
          <cell r="I6">
            <v>0.215</v>
          </cell>
          <cell r="J6">
            <v>0.221</v>
          </cell>
          <cell r="K6">
            <v>0.316</v>
          </cell>
          <cell r="L6">
            <v>0</v>
          </cell>
        </row>
        <row r="7">
          <cell r="A7" t="str">
            <v>% EBITDA Margin</v>
          </cell>
          <cell r="B7">
            <v>0</v>
          </cell>
          <cell r="C7">
            <v>0</v>
          </cell>
          <cell r="D7">
            <v>0</v>
          </cell>
          <cell r="E7">
            <v>0.56000000000000005</v>
          </cell>
          <cell r="F7">
            <v>0.58299999999999996</v>
          </cell>
          <cell r="G7">
            <v>0.59299999999999997</v>
          </cell>
          <cell r="H7">
            <v>0.56999999999999995</v>
          </cell>
          <cell r="I7">
            <v>0.55799999999999994</v>
          </cell>
          <cell r="J7">
            <v>0.54400000000000004</v>
          </cell>
          <cell r="K7">
            <v>0.53299999999999992</v>
          </cell>
          <cell r="L7">
            <v>0.53</v>
          </cell>
        </row>
        <row r="8">
          <cell r="A8" t="str">
            <v>PAT</v>
          </cell>
          <cell r="B8" t="str">
            <v>12,873.2</v>
          </cell>
          <cell r="C8" t="str">
            <v>10,680.4</v>
          </cell>
          <cell r="D8" t="str">
            <v>9,195.1</v>
          </cell>
          <cell r="E8" t="str">
            <v>7,443.5</v>
          </cell>
          <cell r="F8" t="str">
            <v>4,805.0</v>
          </cell>
          <cell r="G8" t="str">
            <v>2,930.1</v>
          </cell>
          <cell r="H8" t="str">
            <v>4,458.2</v>
          </cell>
          <cell r="I8" t="str">
            <v>3,300.8</v>
          </cell>
          <cell r="J8" t="str">
            <v>3,606.1</v>
          </cell>
          <cell r="K8" t="str">
            <v>2,868.2</v>
          </cell>
          <cell r="L8" t="str">
            <v>2,286.7</v>
          </cell>
        </row>
        <row r="9">
          <cell r="A9" t="str">
            <v>% Change YoY</v>
          </cell>
          <cell r="B9">
            <v>0.20499999999999999</v>
          </cell>
          <cell r="C9">
            <v>0.161</v>
          </cell>
          <cell r="D9">
            <v>0.23499999999999999</v>
          </cell>
          <cell r="E9">
            <v>0.54899999999999993</v>
          </cell>
          <cell r="F9">
            <v>0.64</v>
          </cell>
          <cell r="G9">
            <v>-0.34299999999999997</v>
          </cell>
          <cell r="H9">
            <v>0.35100000000000003</v>
          </cell>
          <cell r="I9">
            <v>-8.5000000000000006E-2</v>
          </cell>
          <cell r="J9">
            <v>0.25700000000000001</v>
          </cell>
          <cell r="K9">
            <v>0.254</v>
          </cell>
          <cell r="L9">
            <v>0</v>
          </cell>
        </row>
        <row r="10">
          <cell r="A10" t="str">
            <v>% PAT Margin</v>
          </cell>
          <cell r="B10">
            <v>0.30099999999999999</v>
          </cell>
          <cell r="C10">
            <v>0.29899999999999999</v>
          </cell>
          <cell r="D10">
            <v>0.30299999999999999</v>
          </cell>
          <cell r="E10">
            <v>0.28899999999999998</v>
          </cell>
          <cell r="F10">
            <v>0.215</v>
          </cell>
          <cell r="G10">
            <v>0.14599999999999999</v>
          </cell>
          <cell r="H10">
            <v>0.23399999999999999</v>
          </cell>
          <cell r="I10">
            <v>0.22800000000000001</v>
          </cell>
          <cell r="J10">
            <v>0.29399999999999998</v>
          </cell>
          <cell r="K10">
            <v>0.28000000000000003</v>
          </cell>
          <cell r="L10">
            <v>0.29299999999999998</v>
          </cell>
        </row>
        <row r="11">
          <cell r="A11" t="str">
            <v>Diluted EPS</v>
          </cell>
          <cell r="B11">
            <v>166</v>
          </cell>
          <cell r="C11">
            <v>137.6</v>
          </cell>
          <cell r="D11">
            <v>118.4</v>
          </cell>
          <cell r="E11">
            <v>95.9</v>
          </cell>
          <cell r="F11">
            <v>62</v>
          </cell>
          <cell r="G11">
            <v>37.9</v>
          </cell>
          <cell r="H11">
            <v>64.3</v>
          </cell>
          <cell r="I11">
            <v>54.8</v>
          </cell>
          <cell r="J11">
            <v>60.1</v>
          </cell>
          <cell r="K11">
            <v>48</v>
          </cell>
          <cell r="L11">
            <v>38.4</v>
          </cell>
        </row>
        <row r="12">
          <cell r="A12" t="str">
            <v>% Change YoY</v>
          </cell>
          <cell r="B12">
            <v>0.20600000000000002</v>
          </cell>
          <cell r="C12">
            <v>0.16300000000000001</v>
          </cell>
          <cell r="D12">
            <v>0.23399999999999999</v>
          </cell>
          <cell r="E12">
            <v>0.54600000000000004</v>
          </cell>
          <cell r="F12">
            <v>0.63700000000000001</v>
          </cell>
          <cell r="G12">
            <v>-0.41</v>
          </cell>
          <cell r="H12">
            <v>0.17399999999999999</v>
          </cell>
          <cell r="I12">
            <v>-8.8000000000000009E-2</v>
          </cell>
          <cell r="J12">
            <v>0.253</v>
          </cell>
          <cell r="K12">
            <v>0.248</v>
          </cell>
          <cell r="L12">
            <v>0</v>
          </cell>
        </row>
        <row r="13">
          <cell r="A13" t="str">
            <v>Net Debt</v>
          </cell>
        </row>
        <row r="14">
          <cell r="A14" t="str">
            <v>% Change YoY</v>
          </cell>
        </row>
        <row r="15">
          <cell r="A15" t="str">
            <v>Net Debt/EBITDA</v>
          </cell>
        </row>
        <row r="16">
          <cell r="A16" t="str">
            <v>BVPS</v>
          </cell>
          <cell r="B16" t="str">
            <v>1,080.3</v>
          </cell>
          <cell r="C16">
            <v>929</v>
          </cell>
          <cell r="D16">
            <v>814.3</v>
          </cell>
          <cell r="E16">
            <v>704.5</v>
          </cell>
          <cell r="F16">
            <v>615.79999999999995</v>
          </cell>
          <cell r="G16">
            <v>558.4</v>
          </cell>
          <cell r="H16">
            <v>486.6</v>
          </cell>
          <cell r="I16">
            <v>437.2</v>
          </cell>
          <cell r="J16">
            <v>391</v>
          </cell>
          <cell r="K16">
            <v>338.7</v>
          </cell>
          <cell r="L16">
            <v>290.8</v>
          </cell>
        </row>
        <row r="17">
          <cell r="A17" t="str">
            <v>% Change YoY</v>
          </cell>
          <cell r="B17">
            <v>0.16300000000000001</v>
          </cell>
          <cell r="C17">
            <v>0.14099999999999999</v>
          </cell>
          <cell r="D17">
            <v>0.156</v>
          </cell>
          <cell r="E17">
            <v>0.14400000000000002</v>
          </cell>
          <cell r="F17">
            <v>0.10300000000000001</v>
          </cell>
          <cell r="G17">
            <v>0.14800000000000002</v>
          </cell>
          <cell r="H17">
            <v>0.113</v>
          </cell>
          <cell r="I17">
            <v>0.11800000000000001</v>
          </cell>
          <cell r="J17">
            <v>0.154</v>
          </cell>
          <cell r="K17">
            <v>0.16500000000000001</v>
          </cell>
          <cell r="L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goindiastocks.com/GIA/stockDashboard?Fincode=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7"/>
  <sheetViews>
    <sheetView zoomScale="80" zoomScaleNormal="80" workbookViewId="0">
      <selection activeCell="N64" sqref="N64"/>
    </sheetView>
  </sheetViews>
  <sheetFormatPr baseColWidth="8" defaultColWidth="10.85546875" defaultRowHeight="15"/>
  <cols>
    <col width="13.42578125" bestFit="1" customWidth="1" min="1" max="1"/>
    <col width="9" customWidth="1" min="2" max="8"/>
    <col width="7.85546875" bestFit="1" customWidth="1" min="9" max="9"/>
    <col width="9.140625" customWidth="1" min="10" max="11"/>
    <col width="17.42578125" customWidth="1" min="14" max="14"/>
    <col width="11.85546875" bestFit="1" customWidth="1" min="15" max="15"/>
    <col width="12.42578125" bestFit="1" customWidth="1" min="16" max="16"/>
  </cols>
  <sheetData>
    <row r="1" ht="24.95" customHeight="1" thickBot="1">
      <c r="A1" s="368" t="n"/>
      <c r="B1" s="369" t="n"/>
      <c r="C1" s="422">
        <f>Financial!A2</f>
        <v/>
      </c>
      <c r="D1" s="14" t="n"/>
      <c r="E1" s="14" t="n"/>
      <c r="F1" s="14" t="n"/>
      <c r="G1" s="14" t="n"/>
      <c r="H1" s="14" t="n"/>
      <c r="I1" s="14" t="n"/>
      <c r="J1" s="14" t="n"/>
      <c r="K1" s="86" t="n"/>
    </row>
    <row r="2">
      <c r="A2" s="370" t="inlineStr">
        <is>
          <t>INR Cr</t>
        </is>
      </c>
      <c r="B2" s="371">
        <f>Financial!I3</f>
        <v/>
      </c>
      <c r="C2" s="364">
        <f>Financial!J3</f>
        <v/>
      </c>
      <c r="D2" s="364">
        <f>Financial!K3</f>
        <v/>
      </c>
      <c r="E2" s="364">
        <f>Financial!L3</f>
        <v/>
      </c>
      <c r="F2" s="364">
        <f>CONCATENATE(TEXT(Financial!M3,"MMM-YY")," e")</f>
        <v/>
      </c>
      <c r="G2" s="364">
        <f>CONCATENATE(TEXT(Financial!N3,"MMM-YY")," e")</f>
        <v/>
      </c>
      <c r="H2" s="365">
        <f>CONCATENATE(TEXT(Financial!O3,"MMM-YY")," e")</f>
        <v/>
      </c>
      <c r="I2" s="366">
        <f>CONCATENATE(TEXT(B2,"YY"),"-",TEXT(E2,"YY"),"       3Y CAGR")</f>
        <v/>
      </c>
      <c r="J2" s="367">
        <f>CONCATENATE(TEXT(E2,"YY"),"-",MID(TRIM(G2), 5, 2),"          2Y CAGR")</f>
        <v/>
      </c>
      <c r="K2" s="367">
        <f>CONCATENATE(TEXT(E2,"YY"),"-",MID(TRIM(H2), 5, 2),"          3Y CAGR")</f>
        <v/>
      </c>
      <c r="N2" s="371" t="inlineStr">
        <is>
          <t>Particulars</t>
        </is>
      </c>
      <c r="O2" s="371" t="inlineStr">
        <is>
          <t>FY22A</t>
        </is>
      </c>
      <c r="P2" s="371" t="inlineStr">
        <is>
          <t>FY23A</t>
        </is>
      </c>
      <c r="Q2" s="371" t="inlineStr">
        <is>
          <t>FY24E</t>
        </is>
      </c>
      <c r="R2" s="371" t="inlineStr">
        <is>
          <t>FY25E</t>
        </is>
      </c>
    </row>
    <row r="3" ht="15.75" customHeight="1" thickBot="1">
      <c r="A3" s="105" t="inlineStr">
        <is>
          <t xml:space="preserve">Revenue </t>
        </is>
      </c>
      <c r="B3" s="135">
        <f>Financial!I9</f>
        <v/>
      </c>
      <c r="C3" s="132">
        <f>Financial!J9</f>
        <v/>
      </c>
      <c r="D3" s="132">
        <f>Financial!K9</f>
        <v/>
      </c>
      <c r="E3" s="132">
        <f>Financial!L9</f>
        <v/>
      </c>
      <c r="F3" s="132">
        <f>Financial!M9</f>
        <v/>
      </c>
      <c r="G3" s="132">
        <f>Financial!N9</f>
        <v/>
      </c>
      <c r="H3" s="136">
        <f>Financial!O9</f>
        <v/>
      </c>
      <c r="I3" s="87">
        <f>(E3/B3)^(1/3)-1</f>
        <v/>
      </c>
      <c r="J3" s="83">
        <f>(G3/E3)^(1/2)-1</f>
        <v/>
      </c>
      <c r="K3" s="83">
        <f>(H3/E3)^(1/3)-1</f>
        <v/>
      </c>
      <c r="N3" s="390" t="inlineStr">
        <is>
          <t>Net Revenue</t>
        </is>
      </c>
      <c r="O3" s="391">
        <f>D3</f>
        <v/>
      </c>
      <c r="P3" s="391">
        <f>E3</f>
        <v/>
      </c>
      <c r="Q3" s="391">
        <f>F3</f>
        <v/>
      </c>
      <c r="R3" s="391">
        <f>G3</f>
        <v/>
      </c>
    </row>
    <row r="4" ht="15.75" customHeight="1" thickBot="1">
      <c r="A4" s="105" t="inlineStr">
        <is>
          <t>EBITDA</t>
        </is>
      </c>
      <c r="B4" s="135">
        <f>Financial!I13</f>
        <v/>
      </c>
      <c r="C4" s="132">
        <f>Financial!J13</f>
        <v/>
      </c>
      <c r="D4" s="132">
        <f>Financial!K13</f>
        <v/>
      </c>
      <c r="E4" s="132">
        <f>Financial!L13</f>
        <v/>
      </c>
      <c r="F4" s="132">
        <f>Financial!M13</f>
        <v/>
      </c>
      <c r="G4" s="132">
        <f>Financial!N13</f>
        <v/>
      </c>
      <c r="H4" s="136">
        <f>Financial!O13</f>
        <v/>
      </c>
      <c r="I4" s="87">
        <f>(E4/B4)^(1/3)-1</f>
        <v/>
      </c>
      <c r="J4" s="83">
        <f>(G4/E4)^(1/2)-1</f>
        <v/>
      </c>
      <c r="K4" s="83">
        <f>(H4/E4)^(1/3)-1</f>
        <v/>
      </c>
      <c r="N4" s="390" t="inlineStr">
        <is>
          <t>% Chg y-o-y</t>
        </is>
      </c>
      <c r="O4" s="398">
        <f>(O3-C3)/C3</f>
        <v/>
      </c>
      <c r="P4" s="398">
        <f>(P3-O3)/O3</f>
        <v/>
      </c>
      <c r="Q4" s="398">
        <f>(Q3-P3)/P3</f>
        <v/>
      </c>
      <c r="R4" s="398">
        <f>(R3-Q3)/Q3</f>
        <v/>
      </c>
    </row>
    <row r="5" ht="15.75" customHeight="1" thickBot="1">
      <c r="A5" s="105" t="inlineStr">
        <is>
          <t>EBITDA Margin</t>
        </is>
      </c>
      <c r="B5" s="108">
        <f>Financial!I27</f>
        <v/>
      </c>
      <c r="C5" s="87">
        <f>Financial!J27</f>
        <v/>
      </c>
      <c r="D5" s="87">
        <f>Financial!K27</f>
        <v/>
      </c>
      <c r="E5" s="87">
        <f>Financial!L27</f>
        <v/>
      </c>
      <c r="F5" s="87">
        <f>Financial!M27</f>
        <v/>
      </c>
      <c r="G5" s="87">
        <f>Financial!N27</f>
        <v/>
      </c>
      <c r="H5" s="83">
        <f>Financial!O27</f>
        <v/>
      </c>
      <c r="I5" s="87" t="n"/>
      <c r="J5" s="83" t="n"/>
      <c r="K5" s="83" t="n"/>
      <c r="N5" s="390" t="inlineStr">
        <is>
          <t>EBITDA</t>
        </is>
      </c>
      <c r="O5" s="391">
        <f>D4</f>
        <v/>
      </c>
      <c r="P5" s="391">
        <f>E4</f>
        <v/>
      </c>
      <c r="Q5" s="391">
        <f>F4</f>
        <v/>
      </c>
      <c r="R5" s="391">
        <f>G4</f>
        <v/>
      </c>
    </row>
    <row r="6" ht="14.45" customHeight="1">
      <c r="A6" s="105" t="inlineStr">
        <is>
          <t>PAT</t>
        </is>
      </c>
      <c r="B6" s="135">
        <f>Financial!I20</f>
        <v/>
      </c>
      <c r="C6" s="132">
        <f>Financial!J20</f>
        <v/>
      </c>
      <c r="D6" s="132">
        <f>Financial!K20</f>
        <v/>
      </c>
      <c r="E6" s="132">
        <f>Financial!L20</f>
        <v/>
      </c>
      <c r="F6" s="132">
        <f>Financial!M20</f>
        <v/>
      </c>
      <c r="G6" s="132">
        <f>Financial!N20</f>
        <v/>
      </c>
      <c r="H6" s="136">
        <f>Financial!O20</f>
        <v/>
      </c>
      <c r="I6" s="87">
        <f>(E6/B6)^(1/3)-1</f>
        <v/>
      </c>
      <c r="J6" s="83">
        <f>(G6/E6)^(1/2)-1</f>
        <v/>
      </c>
      <c r="K6" s="83">
        <f>(H6/E6)^(1/3)-1</f>
        <v/>
      </c>
      <c r="N6" s="392" t="inlineStr">
        <is>
          <t>EBITDA Margin (%)</t>
        </is>
      </c>
      <c r="O6" s="393">
        <f>D5</f>
        <v/>
      </c>
      <c r="P6" s="393">
        <f>E5</f>
        <v/>
      </c>
      <c r="Q6" s="393">
        <f>F5</f>
        <v/>
      </c>
      <c r="R6" s="393">
        <f>G5</f>
        <v/>
      </c>
    </row>
    <row r="7" ht="15.75" customHeight="1" thickBot="1">
      <c r="A7" s="105" t="inlineStr">
        <is>
          <t xml:space="preserve">PAT Margin </t>
        </is>
      </c>
      <c r="B7" s="108">
        <f>Financial!I31</f>
        <v/>
      </c>
      <c r="C7" s="87">
        <f>Financial!J31</f>
        <v/>
      </c>
      <c r="D7" s="87">
        <f>Financial!K31</f>
        <v/>
      </c>
      <c r="E7" s="87">
        <f>Financial!L31</f>
        <v/>
      </c>
      <c r="F7" s="87">
        <f>Financial!M31</f>
        <v/>
      </c>
      <c r="G7" s="87">
        <f>Financial!N31</f>
        <v/>
      </c>
      <c r="H7" s="83">
        <f>Financial!O31</f>
        <v/>
      </c>
      <c r="I7" s="87" t="n"/>
      <c r="J7" s="83" t="n"/>
      <c r="K7" s="83" t="n"/>
      <c r="N7" s="390" t="inlineStr">
        <is>
          <t>Net Profit</t>
        </is>
      </c>
      <c r="O7" s="391">
        <f>D6</f>
        <v/>
      </c>
      <c r="P7" s="391">
        <f>E6</f>
        <v/>
      </c>
      <c r="Q7" s="391">
        <f>F6</f>
        <v/>
      </c>
      <c r="R7" s="391">
        <f>G6</f>
        <v/>
      </c>
    </row>
    <row r="8" ht="15.75" customHeight="1" thickBot="1">
      <c r="A8" s="105" t="inlineStr">
        <is>
          <t>EPS</t>
        </is>
      </c>
      <c r="B8" s="438">
        <f>Financial!I22</f>
        <v/>
      </c>
      <c r="C8" s="439">
        <f>Financial!J22</f>
        <v/>
      </c>
      <c r="D8" s="439">
        <f>Financial!K22</f>
        <v/>
      </c>
      <c r="E8" s="439">
        <f>Financial!L22</f>
        <v/>
      </c>
      <c r="F8" s="439">
        <f>Financial!M22</f>
        <v/>
      </c>
      <c r="G8" s="439">
        <f>Financial!N22</f>
        <v/>
      </c>
      <c r="H8" s="440">
        <f>Financial!O22</f>
        <v/>
      </c>
      <c r="I8" s="87">
        <f>(E8/B8)^(1/3)-1</f>
        <v/>
      </c>
      <c r="J8" s="83">
        <f>(G8/E8)^(1/2)-1</f>
        <v/>
      </c>
      <c r="K8" s="83">
        <f>(H8/E8)^(1/3)-1</f>
        <v/>
      </c>
      <c r="N8" s="390" t="inlineStr">
        <is>
          <t>EPS (RS)</t>
        </is>
      </c>
      <c r="O8" s="441">
        <f>D8</f>
        <v/>
      </c>
      <c r="P8" s="441">
        <f>E8</f>
        <v/>
      </c>
      <c r="Q8" s="441">
        <f>F8</f>
        <v/>
      </c>
      <c r="R8" s="441">
        <f>G8</f>
        <v/>
      </c>
    </row>
    <row r="9" ht="15.75" customHeight="1" thickBot="1">
      <c r="A9" s="105" t="inlineStr">
        <is>
          <t>BVPS</t>
        </is>
      </c>
      <c r="B9" s="438">
        <f>Financial!I86</f>
        <v/>
      </c>
      <c r="C9" s="439">
        <f>Financial!J86</f>
        <v/>
      </c>
      <c r="D9" s="439">
        <f>Financial!K86</f>
        <v/>
      </c>
      <c r="E9" s="439">
        <f>Financial!L86</f>
        <v/>
      </c>
      <c r="F9" s="439">
        <f>Financial!M86</f>
        <v/>
      </c>
      <c r="G9" s="439">
        <f>Financial!N86</f>
        <v/>
      </c>
      <c r="H9" s="440">
        <f>Financial!O86</f>
        <v/>
      </c>
      <c r="I9" s="87">
        <f>(E9/B9)^(1/3)-1</f>
        <v/>
      </c>
      <c r="J9" s="83">
        <f>(G9/E9)^(1/2)-1</f>
        <v/>
      </c>
      <c r="K9" s="83">
        <f>(H9/E9)^(1/3)-1</f>
        <v/>
      </c>
      <c r="N9" s="392" t="inlineStr">
        <is>
          <t>EPS % Chg</t>
        </is>
      </c>
      <c r="O9" s="395">
        <f>(O8-C8)/C8</f>
        <v/>
      </c>
      <c r="P9" s="396">
        <f>(P8-O8)/O8</f>
        <v/>
      </c>
      <c r="Q9" s="396">
        <f>(Q8-P8)/P8</f>
        <v/>
      </c>
      <c r="R9" s="396">
        <f>(R8-Q8)/Q8</f>
        <v/>
      </c>
    </row>
    <row r="10" ht="15.75" customHeight="1" thickBot="1">
      <c r="A10" s="133" t="inlineStr">
        <is>
          <t>PE</t>
        </is>
      </c>
      <c r="B10" s="442">
        <f>'Data Sheet'!$B$8/Summary!B8</f>
        <v/>
      </c>
      <c r="C10" s="443">
        <f>'Data Sheet'!$B$8/Summary!C8</f>
        <v/>
      </c>
      <c r="D10" s="443">
        <f>'Data Sheet'!$B$8/Summary!D8</f>
        <v/>
      </c>
      <c r="E10" s="443">
        <f>'Data Sheet'!$B$8/Summary!E8</f>
        <v/>
      </c>
      <c r="F10" s="443">
        <f>'Data Sheet'!$B$8/Summary!F8</f>
        <v/>
      </c>
      <c r="G10" s="443">
        <f>'Data Sheet'!$B$8/Summary!G8</f>
        <v/>
      </c>
      <c r="H10" s="444">
        <f>'Data Sheet'!$B$8/Summary!H8</f>
        <v/>
      </c>
      <c r="I10" s="101" t="n"/>
      <c r="J10" s="74" t="n"/>
      <c r="K10" s="74" t="n"/>
      <c r="N10" s="390" t="inlineStr">
        <is>
          <t>P/E (X)</t>
        </is>
      </c>
      <c r="O10" s="441">
        <f>D10</f>
        <v/>
      </c>
      <c r="P10" s="441">
        <f>E10</f>
        <v/>
      </c>
      <c r="Q10" s="441">
        <f>F10</f>
        <v/>
      </c>
      <c r="R10" s="441">
        <f>G10</f>
        <v/>
      </c>
    </row>
    <row r="11" ht="15.75" customHeight="1" thickBot="1">
      <c r="A11" s="105" t="inlineStr">
        <is>
          <t>P/B</t>
        </is>
      </c>
      <c r="B11" s="438">
        <f>'Data Sheet'!$B$8/Summary!B9</f>
        <v/>
      </c>
      <c r="C11" s="439">
        <f>'Data Sheet'!$B$8/Summary!C9</f>
        <v/>
      </c>
      <c r="D11" s="439">
        <f>'Data Sheet'!$B$8/Summary!D9</f>
        <v/>
      </c>
      <c r="E11" s="439">
        <f>'Data Sheet'!$B$8/Summary!E9</f>
        <v/>
      </c>
      <c r="F11" s="439">
        <f>'Data Sheet'!$B$8/Summary!F9</f>
        <v/>
      </c>
      <c r="G11" s="439">
        <f>'Data Sheet'!$B$8/Summary!G9</f>
        <v/>
      </c>
      <c r="H11" s="440">
        <f>'Data Sheet'!$B$8/Summary!H9</f>
        <v/>
      </c>
      <c r="I11" s="87" t="n"/>
      <c r="J11" s="83" t="n"/>
      <c r="K11" s="83" t="n"/>
      <c r="N11" s="390" t="inlineStr">
        <is>
          <t>EV/EBITDA(X)</t>
        </is>
      </c>
      <c r="O11" s="441">
        <f>D12</f>
        <v/>
      </c>
      <c r="P11" s="441">
        <f>E12</f>
        <v/>
      </c>
      <c r="Q11" s="441">
        <f>F12</f>
        <v/>
      </c>
      <c r="R11" s="441">
        <f>G12</f>
        <v/>
      </c>
    </row>
    <row r="12" ht="15.75" customHeight="1" thickBot="1">
      <c r="A12" s="120" t="inlineStr">
        <is>
          <t>EV/EBITDA</t>
        </is>
      </c>
      <c r="B12" s="445">
        <f>Financial!I95</f>
        <v/>
      </c>
      <c r="C12" s="446">
        <f>Financial!J95</f>
        <v/>
      </c>
      <c r="D12" s="446">
        <f>Financial!K95</f>
        <v/>
      </c>
      <c r="E12" s="446">
        <f>Financial!L95</f>
        <v/>
      </c>
      <c r="F12" s="446">
        <f>Financial!M95</f>
        <v/>
      </c>
      <c r="G12" s="446">
        <f>Financial!N95</f>
        <v/>
      </c>
      <c r="H12" s="447">
        <f>Financial!O95</f>
        <v/>
      </c>
      <c r="I12" s="103" t="n"/>
      <c r="J12" s="84" t="n"/>
      <c r="K12" s="84" t="n"/>
      <c r="N12" s="390" t="inlineStr">
        <is>
          <t>P/BV</t>
        </is>
      </c>
      <c r="O12" s="441">
        <f>D11</f>
        <v/>
      </c>
      <c r="P12" s="441">
        <f>E11</f>
        <v/>
      </c>
      <c r="Q12" s="441">
        <f>F11</f>
        <v/>
      </c>
      <c r="R12" s="441">
        <f>G11</f>
        <v/>
      </c>
    </row>
    <row r="13" ht="15.75" customHeight="1" thickBot="1">
      <c r="A13" s="105" t="inlineStr">
        <is>
          <t>RoE</t>
        </is>
      </c>
      <c r="B13" s="112">
        <f>Financial!I79</f>
        <v/>
      </c>
      <c r="C13" s="99">
        <f>Financial!J79</f>
        <v/>
      </c>
      <c r="D13" s="99">
        <f>Financial!K79</f>
        <v/>
      </c>
      <c r="E13" s="99">
        <f>Financial!L79</f>
        <v/>
      </c>
      <c r="F13" s="99">
        <f>Financial!M79</f>
        <v/>
      </c>
      <c r="G13" s="99">
        <f>Financial!N79</f>
        <v/>
      </c>
      <c r="H13" s="98">
        <f>Financial!O79</f>
        <v/>
      </c>
      <c r="I13" s="87" t="n"/>
      <c r="J13" s="83" t="n"/>
      <c r="K13" s="83" t="n"/>
      <c r="N13" s="390" t="inlineStr">
        <is>
          <t>BV/SHARE</t>
        </is>
      </c>
      <c r="O13" s="441">
        <f>D9</f>
        <v/>
      </c>
      <c r="P13" s="441">
        <f>E9</f>
        <v/>
      </c>
      <c r="Q13" s="441">
        <f>F9</f>
        <v/>
      </c>
      <c r="R13" s="441">
        <f>G9</f>
        <v/>
      </c>
    </row>
    <row r="14">
      <c r="A14" s="105" t="inlineStr">
        <is>
          <t>RoCE</t>
        </is>
      </c>
      <c r="B14" s="112">
        <f>Financial!I80</f>
        <v/>
      </c>
      <c r="C14" s="99">
        <f>Financial!J80</f>
        <v/>
      </c>
      <c r="D14" s="99">
        <f>Financial!K80</f>
        <v/>
      </c>
      <c r="E14" s="99">
        <f>Financial!L80</f>
        <v/>
      </c>
      <c r="F14" s="99">
        <f>Financial!M80</f>
        <v/>
      </c>
      <c r="G14" s="99">
        <f>Financial!N80</f>
        <v/>
      </c>
      <c r="H14" s="98">
        <f>Financial!O80</f>
        <v/>
      </c>
      <c r="I14" s="87" t="n"/>
      <c r="J14" s="83" t="n"/>
      <c r="K14" s="83" t="n"/>
      <c r="N14" s="397" t="inlineStr">
        <is>
          <t>ROE</t>
        </is>
      </c>
      <c r="O14" s="99">
        <f>D13</f>
        <v/>
      </c>
      <c r="P14" s="99">
        <f>E13</f>
        <v/>
      </c>
      <c r="Q14" s="99">
        <f>F13</f>
        <v/>
      </c>
      <c r="R14" s="99">
        <f>G13</f>
        <v/>
      </c>
    </row>
    <row r="15">
      <c r="A15" s="105" t="inlineStr">
        <is>
          <t>RoIC</t>
        </is>
      </c>
      <c r="B15" s="112">
        <f>Financial!I81</f>
        <v/>
      </c>
      <c r="C15" s="99">
        <f>Financial!J81</f>
        <v/>
      </c>
      <c r="D15" s="99">
        <f>Financial!K81</f>
        <v/>
      </c>
      <c r="E15" s="99">
        <f>Financial!L81</f>
        <v/>
      </c>
      <c r="F15" s="99">
        <f>Financial!M81</f>
        <v/>
      </c>
      <c r="G15" s="99">
        <f>Financial!N81</f>
        <v/>
      </c>
      <c r="H15" s="98">
        <f>Financial!O81</f>
        <v/>
      </c>
      <c r="I15" s="87" t="n"/>
      <c r="J15" s="83" t="n"/>
      <c r="K15" s="83" t="n"/>
      <c r="N15" s="397" t="inlineStr">
        <is>
          <t>ROCE</t>
        </is>
      </c>
      <c r="O15" s="99">
        <f>D14</f>
        <v/>
      </c>
      <c r="P15" s="99">
        <f>E14</f>
        <v/>
      </c>
      <c r="Q15" s="99">
        <f>F14</f>
        <v/>
      </c>
      <c r="R15" s="99">
        <f>G14</f>
        <v/>
      </c>
    </row>
    <row r="16">
      <c r="A16" s="105" t="inlineStr">
        <is>
          <t>WC Sales %</t>
        </is>
      </c>
      <c r="B16" s="112">
        <f>Financial!I71</f>
        <v/>
      </c>
      <c r="C16" s="99">
        <f>Financial!J71</f>
        <v/>
      </c>
      <c r="D16" s="99">
        <f>Financial!K71</f>
        <v/>
      </c>
      <c r="E16" s="99">
        <f>Financial!L71</f>
        <v/>
      </c>
      <c r="F16" s="99">
        <f>Financial!M71</f>
        <v/>
      </c>
      <c r="G16" s="99">
        <f>Financial!N71</f>
        <v/>
      </c>
      <c r="H16" s="98">
        <f>Financial!O71</f>
        <v/>
      </c>
      <c r="I16" s="87" t="n"/>
      <c r="J16" s="83" t="n"/>
      <c r="K16" s="83" t="n"/>
    </row>
    <row r="17" ht="15.75" customHeight="1" thickBot="1">
      <c r="A17" s="120" t="inlineStr">
        <is>
          <t>OCF / EBITDA</t>
        </is>
      </c>
      <c r="B17" s="139">
        <f>Financial!I73</f>
        <v/>
      </c>
      <c r="C17" s="104">
        <f>Financial!J73</f>
        <v/>
      </c>
      <c r="D17" s="104">
        <f>Financial!K73</f>
        <v/>
      </c>
      <c r="E17" s="104">
        <f>Financial!L73</f>
        <v/>
      </c>
      <c r="F17" s="104">
        <f>Financial!M73</f>
        <v/>
      </c>
      <c r="G17" s="104">
        <f>Financial!N73</f>
        <v/>
      </c>
      <c r="H17" s="140">
        <f>Financial!O73</f>
        <v/>
      </c>
      <c r="I17" s="103" t="n"/>
      <c r="J17" s="84" t="n"/>
      <c r="K17" s="84" t="n"/>
    </row>
  </sheetData>
  <mergeCells count="1">
    <mergeCell ref="C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W24"/>
  <sheetViews>
    <sheetView topLeftCell="B2" zoomScale="200" zoomScaleNormal="200" workbookViewId="0">
      <selection activeCell="R24" sqref="R24"/>
    </sheetView>
  </sheetViews>
  <sheetFormatPr baseColWidth="8" defaultColWidth="8.85546875" defaultRowHeight="15"/>
  <cols>
    <col width="18.7109375" customWidth="1" min="1" max="1"/>
    <col width="8.140625" customWidth="1" min="2" max="2"/>
    <col width="9.140625" bestFit="1" customWidth="1" min="3" max="3"/>
    <col width="9.28515625" bestFit="1" customWidth="1" min="4" max="5"/>
    <col width="10" bestFit="1" customWidth="1" min="6" max="13"/>
    <col width="13.7109375" bestFit="1" customWidth="1" min="14" max="14"/>
    <col width="10.140625" bestFit="1" customWidth="1" min="15" max="15"/>
    <col width="10" bestFit="1" customWidth="1" min="16" max="16"/>
    <col width="12.7109375" bestFit="1" customWidth="1" min="17" max="17"/>
    <col width="9" bestFit="1" customWidth="1" min="18" max="18"/>
    <col width="10" bestFit="1" customWidth="1" min="19" max="19"/>
    <col width="10.42578125" bestFit="1" customWidth="1" min="20" max="20"/>
    <col width="6.7109375" bestFit="1" customWidth="1" min="21" max="22"/>
    <col width="8.140625" bestFit="1" customWidth="1" min="23" max="23"/>
    <col width="5.42578125" bestFit="1" customWidth="1" min="24" max="24"/>
    <col width="7" bestFit="1" customWidth="1" min="25" max="25"/>
  </cols>
  <sheetData>
    <row r="1" ht="42.95" customHeight="1" thickBot="1">
      <c r="A1" s="448">
        <f>Financial!A2</f>
        <v/>
      </c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449" t="n"/>
    </row>
    <row r="2">
      <c r="A2" s="56" t="inlineStr">
        <is>
          <t>DCF Value</t>
        </is>
      </c>
      <c r="B2" s="432" t="inlineStr">
        <is>
          <t xml:space="preserve">10 year </t>
        </is>
      </c>
      <c r="C2" s="450" t="n"/>
      <c r="D2" s="450" t="n"/>
      <c r="E2" s="451" t="n"/>
      <c r="F2" s="42" t="inlineStr">
        <is>
          <t>3 year</t>
        </is>
      </c>
      <c r="G2" s="49" t="n">
        <v>0</v>
      </c>
      <c r="H2" s="50">
        <f>G2+1</f>
        <v/>
      </c>
      <c r="I2" s="50">
        <f>H2+1</f>
        <v/>
      </c>
      <c r="J2" s="50">
        <f>I2+1</f>
        <v/>
      </c>
      <c r="K2" s="50">
        <f>J2+1</f>
        <v/>
      </c>
      <c r="L2" s="50">
        <f>K2+1</f>
        <v/>
      </c>
      <c r="M2" s="50">
        <f>L2+1</f>
        <v/>
      </c>
      <c r="N2" s="50">
        <f>M2+1</f>
        <v/>
      </c>
      <c r="O2" s="50">
        <f>N2+1</f>
        <v/>
      </c>
      <c r="P2" s="50">
        <f>O2+1</f>
        <v/>
      </c>
      <c r="Q2" s="50">
        <f>P2+1</f>
        <v/>
      </c>
      <c r="S2" s="115" t="inlineStr">
        <is>
          <t>4th - 7th</t>
        </is>
      </c>
      <c r="T2" s="115" t="inlineStr">
        <is>
          <t xml:space="preserve">8th -10th </t>
        </is>
      </c>
    </row>
    <row r="3">
      <c r="A3" s="57" t="inlineStr">
        <is>
          <t>DCF (Rs Cr)</t>
        </is>
      </c>
      <c r="B3" s="30" t="inlineStr">
        <is>
          <t>Hi</t>
        </is>
      </c>
      <c r="C3" s="19" t="inlineStr">
        <is>
          <t>Low</t>
        </is>
      </c>
      <c r="D3" s="19" t="inlineStr">
        <is>
          <t>Avg</t>
        </is>
      </c>
      <c r="E3" s="36" t="inlineStr">
        <is>
          <t>Median</t>
        </is>
      </c>
      <c r="F3" s="43" t="inlineStr">
        <is>
          <t>Avg</t>
        </is>
      </c>
      <c r="G3" s="30" t="inlineStr">
        <is>
          <t>FY22</t>
        </is>
      </c>
      <c r="H3" s="19" t="inlineStr">
        <is>
          <t>FY23</t>
        </is>
      </c>
      <c r="I3" s="19" t="inlineStr">
        <is>
          <t>FY24</t>
        </is>
      </c>
      <c r="J3" s="19" t="inlineStr">
        <is>
          <t>FY25</t>
        </is>
      </c>
      <c r="K3" s="19" t="inlineStr">
        <is>
          <t>FY26</t>
        </is>
      </c>
      <c r="L3" s="19" t="inlineStr">
        <is>
          <t>FY27</t>
        </is>
      </c>
      <c r="M3" s="19" t="inlineStr">
        <is>
          <t>FY28</t>
        </is>
      </c>
      <c r="N3" s="19" t="inlineStr">
        <is>
          <t>FY29</t>
        </is>
      </c>
      <c r="O3" s="19" t="inlineStr">
        <is>
          <t>FY30</t>
        </is>
      </c>
      <c r="P3" s="19" t="inlineStr">
        <is>
          <t>FY31</t>
        </is>
      </c>
      <c r="Q3" s="19" t="inlineStr">
        <is>
          <t>FY32</t>
        </is>
      </c>
    </row>
    <row r="4">
      <c r="A4" s="58" t="inlineStr">
        <is>
          <t>Revenues</t>
        </is>
      </c>
      <c r="B4" s="31">
        <f>MAX(Financial!D9:L9)</f>
        <v/>
      </c>
      <c r="C4" s="20">
        <f>MIN(Financial!D9:L9)</f>
        <v/>
      </c>
      <c r="D4" s="20">
        <f>AVERAGE(Financial!D9:L9)</f>
        <v/>
      </c>
      <c r="E4" s="37">
        <f>MEDIAN(Financial!D9:L9)</f>
        <v/>
      </c>
      <c r="F4" s="44">
        <f>AVERAGE(Financial!J9:L9)</f>
        <v/>
      </c>
      <c r="G4" s="51">
        <f>Financial!M9</f>
        <v/>
      </c>
      <c r="H4" s="21">
        <f>Financial!N9</f>
        <v/>
      </c>
      <c r="I4" s="21">
        <f>Financial!O9</f>
        <v/>
      </c>
      <c r="J4" s="21">
        <f>+I4*(1+J5)</f>
        <v/>
      </c>
      <c r="K4" s="21">
        <f>+J4*(1+K5)</f>
        <v/>
      </c>
      <c r="L4" s="21">
        <f>+K4*(1+L5)</f>
        <v/>
      </c>
      <c r="M4" s="21">
        <f>+L4*(1+M5)</f>
        <v/>
      </c>
      <c r="N4" s="21">
        <f>+M4*(1+N5)</f>
        <v/>
      </c>
      <c r="O4" s="21">
        <f>+N4*(1+O5)</f>
        <v/>
      </c>
      <c r="P4" s="21">
        <f>+O4*(1+P5)</f>
        <v/>
      </c>
      <c r="Q4" s="21">
        <f>+P4*(1+Q5)</f>
        <v/>
      </c>
      <c r="S4" s="128" t="n">
        <v>0.66</v>
      </c>
      <c r="T4" s="128" t="n">
        <v>0.66</v>
      </c>
    </row>
    <row r="5">
      <c r="A5" s="59" t="inlineStr">
        <is>
          <t>% yoy growth</t>
        </is>
      </c>
      <c r="B5" s="32">
        <f>MAX(Financial!D35:L35)</f>
        <v/>
      </c>
      <c r="C5" s="22">
        <f>MIN(Financial!D35:L35)</f>
        <v/>
      </c>
      <c r="D5" s="22">
        <f>AVERAGE(Financial!D35:L35)</f>
        <v/>
      </c>
      <c r="E5" s="38">
        <f>MEDIAN(Financial!D35:L35)</f>
        <v/>
      </c>
      <c r="F5" s="45">
        <f>AVERAGE(Financial!J35:L35)</f>
        <v/>
      </c>
      <c r="G5" s="52" t="n"/>
      <c r="H5" s="23">
        <f>+H4/G4-1</f>
        <v/>
      </c>
      <c r="I5" s="23">
        <f>+I4/H4-1</f>
        <v/>
      </c>
      <c r="J5" s="129">
        <f>I5</f>
        <v/>
      </c>
      <c r="K5" s="129">
        <f>S5</f>
        <v/>
      </c>
      <c r="L5" s="129">
        <f>+K5</f>
        <v/>
      </c>
      <c r="M5" s="129">
        <f>+L5</f>
        <v/>
      </c>
      <c r="N5" s="129">
        <f>+M5</f>
        <v/>
      </c>
      <c r="O5" s="129">
        <f>T5</f>
        <v/>
      </c>
      <c r="P5" s="129">
        <f>+O5</f>
        <v/>
      </c>
      <c r="Q5" s="129">
        <f>+P5</f>
        <v/>
      </c>
      <c r="S5" s="129">
        <f>J5*S4</f>
        <v/>
      </c>
      <c r="T5" s="129">
        <f>S5*T4</f>
        <v/>
      </c>
    </row>
    <row r="6">
      <c r="A6" s="58" t="inlineStr">
        <is>
          <t>EBITDA</t>
        </is>
      </c>
      <c r="B6" s="31">
        <f>MAX(Financial!D13:L13)</f>
        <v/>
      </c>
      <c r="C6" s="20">
        <f>MIN(Financial!D13:L13)</f>
        <v/>
      </c>
      <c r="D6" s="20">
        <f>AVERAGE(Financial!D13:L13)</f>
        <v/>
      </c>
      <c r="E6" s="37">
        <f>MEDIAN(Financial!D13:L13)</f>
        <v/>
      </c>
      <c r="F6" s="46">
        <f>AVERAGE(Financial!J13:L13)</f>
        <v/>
      </c>
      <c r="G6" s="51">
        <f>Financial!M13</f>
        <v/>
      </c>
      <c r="H6" s="21">
        <f>Financial!N13</f>
        <v/>
      </c>
      <c r="I6" s="21">
        <f>Financial!O13</f>
        <v/>
      </c>
      <c r="J6" s="21">
        <f>+J7*J4</f>
        <v/>
      </c>
      <c r="K6" s="21">
        <f>+K7*K4</f>
        <v/>
      </c>
      <c r="L6" s="21">
        <f>+L7*L4</f>
        <v/>
      </c>
      <c r="M6" s="21">
        <f>+M7*M4</f>
        <v/>
      </c>
      <c r="N6" s="21">
        <f>+N7*N4</f>
        <v/>
      </c>
      <c r="O6" s="21">
        <f>+O7*O4</f>
        <v/>
      </c>
      <c r="P6" s="21">
        <f>+P7*P4</f>
        <v/>
      </c>
      <c r="Q6" s="21">
        <f>+Q7*Q4</f>
        <v/>
      </c>
      <c r="S6" s="128" t="n">
        <v>0.9</v>
      </c>
      <c r="T6" s="128" t="n">
        <v>0.9</v>
      </c>
    </row>
    <row r="7">
      <c r="A7" s="60" t="inlineStr">
        <is>
          <t>EBITDA margin</t>
        </is>
      </c>
      <c r="B7" s="33">
        <f>MAX(Financial!C27:L27)</f>
        <v/>
      </c>
      <c r="C7" s="25">
        <f>MIN(Financial!C27:L27)</f>
        <v/>
      </c>
      <c r="D7" s="25">
        <f>AVERAGE(Financial!C27:L27)</f>
        <v/>
      </c>
      <c r="E7" s="39">
        <f>MEDIAN(Financial!C27:L27)</f>
        <v/>
      </c>
      <c r="F7" s="47">
        <f>AVERAGE(Financial!J27:L27)</f>
        <v/>
      </c>
      <c r="G7" s="53">
        <f>+G6/G4</f>
        <v/>
      </c>
      <c r="H7" s="26">
        <f>+H6/H4</f>
        <v/>
      </c>
      <c r="I7" s="26">
        <f>+I6/I4</f>
        <v/>
      </c>
      <c r="J7" s="130">
        <f>I7</f>
        <v/>
      </c>
      <c r="K7" s="130">
        <f>S7</f>
        <v/>
      </c>
      <c r="L7" s="130">
        <f>+K7</f>
        <v/>
      </c>
      <c r="M7" s="130">
        <f>+L7</f>
        <v/>
      </c>
      <c r="N7" s="130">
        <f>+M7</f>
        <v/>
      </c>
      <c r="O7" s="130">
        <f>T7</f>
        <v/>
      </c>
      <c r="P7" s="130">
        <f>+O7</f>
        <v/>
      </c>
      <c r="Q7" s="130">
        <f>+P7</f>
        <v/>
      </c>
      <c r="S7" s="130">
        <f>J7*S6</f>
        <v/>
      </c>
      <c r="T7" s="131">
        <f>S7*T6</f>
        <v/>
      </c>
    </row>
    <row r="8">
      <c r="A8" s="58" t="inlineStr">
        <is>
          <t>CFO/EBITDA</t>
        </is>
      </c>
      <c r="B8" s="32">
        <f>MAX(Financial!C73:L73)</f>
        <v/>
      </c>
      <c r="C8" s="22">
        <f>MIN(Financial!C73:L73)</f>
        <v/>
      </c>
      <c r="D8" s="22">
        <f>AVERAGE(Financial!C73:L73)</f>
        <v/>
      </c>
      <c r="E8" s="38">
        <f>MEDIAN(Financial!C73:L73)</f>
        <v/>
      </c>
      <c r="F8" s="45">
        <f>AVERAGE(Financial!J73:L73)</f>
        <v/>
      </c>
      <c r="G8" s="54">
        <f>Financial!M73</f>
        <v/>
      </c>
      <c r="H8" s="27">
        <f>Financial!N73</f>
        <v/>
      </c>
      <c r="I8" s="27">
        <f>Financial!O73</f>
        <v/>
      </c>
      <c r="J8" s="27">
        <f>I8</f>
        <v/>
      </c>
      <c r="K8" s="27">
        <f>+J8</f>
        <v/>
      </c>
      <c r="L8" s="27">
        <f>+K8</f>
        <v/>
      </c>
      <c r="M8" s="27">
        <f>+L8</f>
        <v/>
      </c>
      <c r="N8" s="27">
        <f>+M8</f>
        <v/>
      </c>
      <c r="O8" s="27">
        <f>+N8</f>
        <v/>
      </c>
      <c r="P8" s="27">
        <f>+O8</f>
        <v/>
      </c>
      <c r="Q8" s="27">
        <f>+P8</f>
        <v/>
      </c>
    </row>
    <row r="9">
      <c r="A9" s="58" t="inlineStr">
        <is>
          <t>CFO</t>
        </is>
      </c>
      <c r="B9" s="34">
        <f>MAX(Financial!C64:L64)</f>
        <v/>
      </c>
      <c r="C9" s="24">
        <f>MIN(Financial!C64:L64)</f>
        <v/>
      </c>
      <c r="D9" s="24">
        <f>AVERAGE(Financial!C64:L64)</f>
        <v/>
      </c>
      <c r="E9" s="40">
        <f>MEDIAN(Financial!C64:L64)</f>
        <v/>
      </c>
      <c r="F9" s="46">
        <f>AVERAGE(Financial!J64:L64)</f>
        <v/>
      </c>
      <c r="G9" s="51">
        <f>+G8*G6</f>
        <v/>
      </c>
      <c r="H9" s="21">
        <f>+H8*H6</f>
        <v/>
      </c>
      <c r="I9" s="21">
        <f>+I8*I6</f>
        <v/>
      </c>
      <c r="J9" s="21">
        <f>+J8*J6</f>
        <v/>
      </c>
      <c r="K9" s="21">
        <f>+K8*K6</f>
        <v/>
      </c>
      <c r="L9" s="21">
        <f>+L8*L6</f>
        <v/>
      </c>
      <c r="M9" s="21">
        <f>+M8*M6</f>
        <v/>
      </c>
      <c r="N9" s="21">
        <f>+N8*N6</f>
        <v/>
      </c>
      <c r="O9" s="21">
        <f>+O8*O6</f>
        <v/>
      </c>
      <c r="P9" s="21">
        <f>+P8*P6</f>
        <v/>
      </c>
      <c r="Q9" s="21">
        <f>+Q8*Q6</f>
        <v/>
      </c>
    </row>
    <row r="10">
      <c r="A10" s="58" t="inlineStr">
        <is>
          <t>Fixed asset turns</t>
        </is>
      </c>
      <c r="B10" s="452">
        <f>MAX(Financial!C72:L72)</f>
        <v/>
      </c>
      <c r="C10" s="453">
        <f>MIN(Financial!C72:L72)</f>
        <v/>
      </c>
      <c r="D10" s="453">
        <f>AVERAGE(Financial!C72:L72)</f>
        <v/>
      </c>
      <c r="E10" s="454">
        <f>MEDIAN(Financial!C72:L72)</f>
        <v/>
      </c>
      <c r="F10" s="455">
        <f>AVERAGE(Financial!J72:L72)</f>
        <v/>
      </c>
      <c r="G10" s="456">
        <f>Financial!M72</f>
        <v/>
      </c>
      <c r="H10" s="457">
        <f>Financial!N72</f>
        <v/>
      </c>
      <c r="I10" s="458">
        <f>Financial!O72</f>
        <v/>
      </c>
      <c r="J10" s="381">
        <f>I10</f>
        <v/>
      </c>
      <c r="K10" s="381">
        <f>+J10</f>
        <v/>
      </c>
      <c r="L10" s="381">
        <f>+K10</f>
        <v/>
      </c>
      <c r="M10" s="381">
        <f>+L10</f>
        <v/>
      </c>
      <c r="N10" s="381">
        <f>+M10</f>
        <v/>
      </c>
      <c r="O10" s="381">
        <f>+N10</f>
        <v/>
      </c>
      <c r="P10" s="381">
        <f>+O10</f>
        <v/>
      </c>
      <c r="Q10" s="381">
        <f>+P10</f>
        <v/>
      </c>
    </row>
    <row r="11">
      <c r="A11" s="58" t="inlineStr">
        <is>
          <t>Capex</t>
        </is>
      </c>
      <c r="B11" s="34">
        <f>MAX(Financial!C65:L65)</f>
        <v/>
      </c>
      <c r="C11" s="24">
        <f>MIN(Financial!C65:L65)</f>
        <v/>
      </c>
      <c r="D11" s="24">
        <f>AVERAGE(Financial!C65:L65)</f>
        <v/>
      </c>
      <c r="E11" s="40">
        <f>MEDIAN(Financial!C65:L65)</f>
        <v/>
      </c>
      <c r="F11" s="46">
        <f>AVERAGE(Financial!J65:L65)</f>
        <v/>
      </c>
      <c r="G11" s="51">
        <f>-Financial!M65</f>
        <v/>
      </c>
      <c r="H11" s="21">
        <f>-Financial!N65</f>
        <v/>
      </c>
      <c r="I11" s="21">
        <f>-Financial!O65</f>
        <v/>
      </c>
      <c r="J11" s="21">
        <f>-+(J4-I4)/J10</f>
        <v/>
      </c>
      <c r="K11" s="21">
        <f>-+(K4-J4)/K10</f>
        <v/>
      </c>
      <c r="L11" s="21">
        <f>-+(L4-K4)/L10</f>
        <v/>
      </c>
      <c r="M11" s="21">
        <f>-+(M4-L4)/M10</f>
        <v/>
      </c>
      <c r="N11" s="21">
        <f>-+(N4-M4)/N10</f>
        <v/>
      </c>
      <c r="O11" s="21">
        <f>-+(O4-N4)/O10</f>
        <v/>
      </c>
      <c r="P11" s="21">
        <f>-+(P4-O4)/P10</f>
        <v/>
      </c>
      <c r="Q11" s="21">
        <f>-+(Q4-P4)/Q10</f>
        <v/>
      </c>
    </row>
    <row r="12">
      <c r="A12" s="58" t="inlineStr">
        <is>
          <t>FCFF</t>
        </is>
      </c>
      <c r="B12" s="34">
        <f>MAX(Financial!C66:L66)</f>
        <v/>
      </c>
      <c r="C12" s="24">
        <f>MIN(Financial!C66:L66)</f>
        <v/>
      </c>
      <c r="D12" s="24">
        <f>AVERAGE(Financial!C66:L66)</f>
        <v/>
      </c>
      <c r="E12" s="40">
        <f>MEDIAN(Financial!C66:L66)</f>
        <v/>
      </c>
      <c r="F12" s="46">
        <f>AVERAGE(Financial!J66:L66)</f>
        <v/>
      </c>
      <c r="G12" s="51">
        <f>+G9+G11</f>
        <v/>
      </c>
      <c r="H12" s="21">
        <f>+H9+H11</f>
        <v/>
      </c>
      <c r="I12" s="21">
        <f>+I9+I11</f>
        <v/>
      </c>
      <c r="J12" s="21">
        <f>+J9+J11</f>
        <v/>
      </c>
      <c r="K12" s="21">
        <f>+K9+K11</f>
        <v/>
      </c>
      <c r="L12" s="21">
        <f>+L9+L11</f>
        <v/>
      </c>
      <c r="M12" s="21">
        <f>+M9+M11</f>
        <v/>
      </c>
      <c r="N12" s="21">
        <f>+N9+N11</f>
        <v/>
      </c>
      <c r="O12" s="21">
        <f>+O9+O11</f>
        <v/>
      </c>
      <c r="P12" s="21">
        <f>+P9+P11</f>
        <v/>
      </c>
      <c r="Q12" s="21">
        <f>+Q9+Q11</f>
        <v/>
      </c>
    </row>
    <row r="13" ht="15.75" customHeight="1" thickBot="1">
      <c r="A13" s="61" t="inlineStr">
        <is>
          <t>Discounting factor</t>
        </is>
      </c>
      <c r="B13" s="62" t="n"/>
      <c r="C13" s="63" t="n"/>
      <c r="D13" s="63" t="n"/>
      <c r="E13" s="64" t="n"/>
      <c r="F13" s="65" t="n"/>
      <c r="G13" s="66">
        <f>1/((1+$N$17)^G2)</f>
        <v/>
      </c>
      <c r="H13" s="67">
        <f>1/((1+$N$17)^H2)</f>
        <v/>
      </c>
      <c r="I13" s="67">
        <f>1/((1+$N$17)^I2)</f>
        <v/>
      </c>
      <c r="J13" s="67">
        <f>1/((1+$N$17)^J2)</f>
        <v/>
      </c>
      <c r="K13" s="67">
        <f>1/((1+$N$17)^K2)</f>
        <v/>
      </c>
      <c r="L13" s="67">
        <f>1/((1+$N$17)^L2)</f>
        <v/>
      </c>
      <c r="M13" s="67">
        <f>1/((1+$N$17)^M2)</f>
        <v/>
      </c>
      <c r="N13" s="67">
        <f>1/((1+$N$17)^N2)</f>
        <v/>
      </c>
      <c r="O13" s="67">
        <f>1/((1+$N$17)^O2)</f>
        <v/>
      </c>
      <c r="P13" s="67">
        <f>1/((1+$N$17)^P2)</f>
        <v/>
      </c>
      <c r="Q13" s="67">
        <f>1/((1+$N$17)^Q2)</f>
        <v/>
      </c>
    </row>
    <row r="14" ht="15.75" customHeight="1" thickBot="1">
      <c r="A14" s="68" t="inlineStr">
        <is>
          <t>Terminal value</t>
        </is>
      </c>
      <c r="B14" s="69" t="n"/>
      <c r="C14" s="70" t="n"/>
      <c r="D14" s="70" t="n"/>
      <c r="E14" s="71" t="n"/>
      <c r="F14" s="72" t="n"/>
      <c r="G14" s="69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94">
        <f>+Q12*(1+$N$18)/($N$17-$N$18)</f>
        <v/>
      </c>
    </row>
    <row r="15" ht="15.75" customHeight="1" thickBot="1"/>
    <row r="16" ht="15.75" customHeight="1" thickBot="1">
      <c r="A16" s="459" t="inlineStr">
        <is>
          <t>WACC calculations</t>
        </is>
      </c>
      <c r="B16" s="118" t="n"/>
      <c r="C16" s="118" t="n"/>
      <c r="D16" s="118" t="n"/>
      <c r="E16" s="118" t="n"/>
      <c r="F16" s="118" t="n"/>
      <c r="G16" s="449" t="n"/>
      <c r="H16" s="459" t="inlineStr">
        <is>
          <t>Cost of Equity</t>
        </is>
      </c>
      <c r="I16" s="118" t="n"/>
      <c r="J16" s="449" t="n"/>
      <c r="K16" s="459" t="inlineStr">
        <is>
          <t xml:space="preserve">DCF Valuations </t>
        </is>
      </c>
      <c r="L16" s="118" t="n"/>
      <c r="M16" s="118" t="n"/>
      <c r="N16" s="118" t="n"/>
      <c r="O16" s="449" t="n"/>
      <c r="P16" s="73" t="inlineStr">
        <is>
          <t>Mcap</t>
        </is>
      </c>
      <c r="Q16" s="121">
        <f>Financial!P6</f>
        <v/>
      </c>
      <c r="R16" s="14" t="n"/>
      <c r="S16" s="14" t="inlineStr">
        <is>
          <t>Debt</t>
        </is>
      </c>
      <c r="T16" s="111">
        <f>Financial!P42</f>
        <v/>
      </c>
    </row>
    <row r="17" ht="15.75" customHeight="1" thickBot="1">
      <c r="A17" s="13" t="n"/>
      <c r="B17" s="85">
        <f>B3</f>
        <v/>
      </c>
      <c r="C17" s="85">
        <f>C3</f>
        <v/>
      </c>
      <c r="D17" s="85">
        <f>D3</f>
        <v/>
      </c>
      <c r="E17" s="85">
        <f>E3</f>
        <v/>
      </c>
      <c r="F17" s="85">
        <f>F3</f>
        <v/>
      </c>
      <c r="G17" s="86" t="n"/>
      <c r="H17" s="73" t="inlineStr">
        <is>
          <t>Cost of Equity</t>
        </is>
      </c>
      <c r="I17" s="14" t="n"/>
      <c r="J17" s="77">
        <f>J18+J19*(J20-J18)</f>
        <v/>
      </c>
      <c r="K17" s="73" t="inlineStr">
        <is>
          <t>Discount rate (WACC Below)</t>
        </is>
      </c>
      <c r="L17" s="14" t="n"/>
      <c r="M17" s="14" t="n"/>
      <c r="N17" s="95">
        <f>G22</f>
        <v/>
      </c>
      <c r="O17" s="86" t="inlineStr">
        <is>
          <t>% of value</t>
        </is>
      </c>
      <c r="P17" s="76" t="inlineStr">
        <is>
          <t>CMP</t>
        </is>
      </c>
      <c r="Q17" s="460">
        <f>Financial!P4</f>
        <v/>
      </c>
      <c r="R17" s="18" t="n"/>
      <c r="S17" s="18" t="n"/>
      <c r="T17" s="100" t="n"/>
    </row>
    <row r="18" ht="15.75" customHeight="1" thickBot="1">
      <c r="A18" s="75" t="inlineStr">
        <is>
          <t>Debt:Equity</t>
        </is>
      </c>
      <c r="B18" s="80">
        <f>MAX(Financial!D76:L76)</f>
        <v/>
      </c>
      <c r="C18" s="80">
        <f>MIN(Financial!D76:L76)</f>
        <v/>
      </c>
      <c r="D18" s="80">
        <f>AVERAGE(Financial!D76:L76)</f>
        <v/>
      </c>
      <c r="E18" s="80">
        <f>MEDIAN(Financial!D76:L76)</f>
        <v/>
      </c>
      <c r="F18" s="80">
        <f>AVERAGE(Financial!J76:L76)</f>
        <v/>
      </c>
      <c r="G18" s="81">
        <f>MAX(Financial!L76)/(1+MAX(Financial!L76))</f>
        <v/>
      </c>
      <c r="H18" s="75" t="inlineStr">
        <is>
          <t>Risk-Free Return</t>
        </is>
      </c>
      <c r="J18" s="123" t="n">
        <v>0.07000000000000001</v>
      </c>
      <c r="K18" s="75" t="inlineStr">
        <is>
          <t>Terminal growth rate</t>
        </is>
      </c>
      <c r="N18" s="127" t="n">
        <v>0.03</v>
      </c>
      <c r="O18" s="79" t="n"/>
    </row>
    <row r="19" ht="15.75" customHeight="1" thickBot="1">
      <c r="A19" s="75" t="inlineStr">
        <is>
          <t>Cost of debt</t>
        </is>
      </c>
      <c r="B19" s="82">
        <f>MAX(Financial!D29:L29)</f>
        <v/>
      </c>
      <c r="C19" s="82">
        <f>MIN(Financial!D29:L29)</f>
        <v/>
      </c>
      <c r="D19" s="82">
        <f>AVERAGE(Financial!D29:L29)</f>
        <v/>
      </c>
      <c r="E19" s="82">
        <f>MEDIAN(Financial!D29:L29)</f>
        <v/>
      </c>
      <c r="F19" s="82">
        <f>AVERAGE(Financial!J29:L29)</f>
        <v/>
      </c>
      <c r="G19" s="83">
        <f>F19+J22</f>
        <v/>
      </c>
      <c r="H19" s="75" t="inlineStr">
        <is>
          <t xml:space="preserve">Beta </t>
        </is>
      </c>
      <c r="J19" s="124" t="n">
        <v>2</v>
      </c>
      <c r="K19" s="75" t="inlineStr">
        <is>
          <t xml:space="preserve">Discounted Terminal Value </t>
        </is>
      </c>
      <c r="N19" s="91">
        <f>Q14*Q13</f>
        <v/>
      </c>
      <c r="O19" s="83">
        <f>N19/$N$22</f>
        <v/>
      </c>
      <c r="P19" s="461" t="inlineStr">
        <is>
          <t>High range</t>
        </is>
      </c>
      <c r="Q19" s="118" t="n"/>
      <c r="R19" s="118" t="n"/>
      <c r="S19" s="449" t="n"/>
      <c r="T19" s="431" t="inlineStr">
        <is>
          <t>Low</t>
        </is>
      </c>
      <c r="U19" s="118" t="n"/>
      <c r="V19" s="118" t="n"/>
      <c r="W19" s="449" t="n"/>
    </row>
    <row r="20" ht="15.75" customHeight="1" thickBot="1">
      <c r="A20" s="75" t="inlineStr">
        <is>
          <t xml:space="preserve">Tax rate </t>
        </is>
      </c>
      <c r="B20" s="82" t="n"/>
      <c r="C20" s="82" t="n"/>
      <c r="D20" s="82" t="n"/>
      <c r="E20" s="82" t="n"/>
      <c r="F20" s="82" t="n"/>
      <c r="G20" s="83">
        <f>AVERAGE(Financial!J30:L30)</f>
        <v/>
      </c>
      <c r="H20" s="76" t="inlineStr">
        <is>
          <t>Market Return</t>
        </is>
      </c>
      <c r="I20" s="18" t="n"/>
      <c r="J20" s="125" t="n">
        <v>0.12</v>
      </c>
      <c r="K20" s="75" t="inlineStr">
        <is>
          <t>NPV of FCFF</t>
        </is>
      </c>
      <c r="N20" s="91">
        <f>SUMPRODUCT(G12:Q12,G13:Q13)</f>
        <v/>
      </c>
      <c r="O20" s="83">
        <f>N20/$N$22</f>
        <v/>
      </c>
      <c r="P20" s="78" t="inlineStr">
        <is>
          <t>PE 3Y</t>
        </is>
      </c>
      <c r="Q20" s="439">
        <f>MAX(Financial!J91:L91,Financial!P91)</f>
        <v/>
      </c>
      <c r="R20" s="97">
        <f>Financial!$O$22*Q20</f>
        <v/>
      </c>
      <c r="S20" s="81">
        <f>R20/Financial!$P$4-1</f>
        <v/>
      </c>
      <c r="T20" s="3" t="inlineStr">
        <is>
          <t>PE 5Y</t>
        </is>
      </c>
      <c r="U20" s="439">
        <f>MIN(Financial!I91:L91,Financial!P91)</f>
        <v/>
      </c>
      <c r="V20" s="97">
        <f>Financial!$O$22*U20</f>
        <v/>
      </c>
      <c r="W20" s="81">
        <f>V20/Financial!$P$4-1</f>
        <v/>
      </c>
    </row>
    <row r="21" ht="15.75" customHeight="1" thickBot="1">
      <c r="A21" s="75" t="inlineStr">
        <is>
          <t>Cost of equity</t>
        </is>
      </c>
      <c r="G21" s="83">
        <f>J17</f>
        <v/>
      </c>
      <c r="K21" s="75" t="inlineStr">
        <is>
          <t xml:space="preserve">Net (Debt)/Cash </t>
        </is>
      </c>
      <c r="N21" s="91">
        <f>-Financial!L42+Financial!L47</f>
        <v/>
      </c>
      <c r="O21" s="83">
        <f>N21/$N$22</f>
        <v/>
      </c>
      <c r="P21" s="78" t="inlineStr">
        <is>
          <t>EV/E 3Y</t>
        </is>
      </c>
      <c r="Q21" s="439">
        <f>MAX(Financial!J95:L95,Financial!P95)</f>
        <v/>
      </c>
      <c r="R21" s="97">
        <f>((Q21*Financial!$O$13)-Financial!$O$42)/Financial!$O$5</f>
        <v/>
      </c>
      <c r="S21" s="81">
        <f>R21/Financial!$P$4-1</f>
        <v/>
      </c>
      <c r="T21" s="3" t="inlineStr">
        <is>
          <t>EV/E 5Y</t>
        </is>
      </c>
      <c r="U21" s="439">
        <f>MIN(Financial!I95:L95,Financial!P95)</f>
        <v/>
      </c>
      <c r="V21" s="97">
        <f>((U21*Financial!$O$13)-Financial!$O$42)/Financial!$O$5</f>
        <v/>
      </c>
      <c r="W21" s="81">
        <f>V21/Financial!$P$4-1</f>
        <v/>
      </c>
    </row>
    <row r="22" ht="15.75" customHeight="1" thickBot="1">
      <c r="A22" s="76" t="inlineStr">
        <is>
          <t>WACC</t>
        </is>
      </c>
      <c r="B22" s="18" t="n"/>
      <c r="C22" s="18" t="n"/>
      <c r="D22" s="18" t="n"/>
      <c r="E22" s="18" t="n"/>
      <c r="F22" s="18" t="n"/>
      <c r="G22" s="84">
        <f>G21*(1-G18)+((G18*G19)*(1-G20))</f>
        <v/>
      </c>
      <c r="H22" s="117" t="inlineStr">
        <is>
          <t xml:space="preserve">Inc in Int Rate </t>
        </is>
      </c>
      <c r="I22" s="118" t="n"/>
      <c r="J22" s="126" t="n">
        <v>0.005</v>
      </c>
      <c r="K22" s="75" t="inlineStr">
        <is>
          <t>NPV</t>
        </is>
      </c>
      <c r="N22" s="92">
        <f>SUM(N19:N21)</f>
        <v/>
      </c>
      <c r="O22" s="109">
        <f>SUM(O19:O21)</f>
        <v/>
      </c>
      <c r="P22" s="15" t="inlineStr">
        <is>
          <t>P/S 3Y</t>
        </is>
      </c>
      <c r="Q22" s="462">
        <f>MAX(Financial!J96:L96,Financial!P96)</f>
        <v/>
      </c>
      <c r="R22" s="17">
        <f>((Q22*Financial!$O$9)-Financial!$O$42)/Financial!$O$5</f>
        <v/>
      </c>
      <c r="S22" s="107">
        <f>R22/Financial!$P$4-1</f>
        <v/>
      </c>
      <c r="T22" s="119" t="inlineStr">
        <is>
          <t>P/S 5Y</t>
        </is>
      </c>
      <c r="U22" s="462">
        <f>MIN(Financial!I96:L96,Financial!P96)</f>
        <v/>
      </c>
      <c r="V22" s="17">
        <f>((U22*Financial!$O$9)-Financial!$O$42)/Financial!$O$5</f>
        <v/>
      </c>
      <c r="W22" s="107">
        <f>V22/Financial!$P$4-1</f>
        <v/>
      </c>
    </row>
    <row r="23">
      <c r="K23" s="75" t="inlineStr">
        <is>
          <t>O/s Equity Shares</t>
        </is>
      </c>
      <c r="N23" s="92">
        <f>Financial!O5</f>
        <v/>
      </c>
      <c r="O23" s="79" t="n"/>
      <c r="P23" s="75" t="n"/>
      <c r="S23" s="79" t="n"/>
    </row>
    <row r="24" ht="15.75" customHeight="1" thickBot="1">
      <c r="K24" s="88" t="inlineStr">
        <is>
          <t xml:space="preserve">DCF Price </t>
        </is>
      </c>
      <c r="L24" s="89" t="n"/>
      <c r="M24" s="89" t="n"/>
      <c r="N24" s="93">
        <f>+N22/N23</f>
        <v/>
      </c>
      <c r="O24" s="116" t="n"/>
      <c r="P24" s="15" t="inlineStr">
        <is>
          <t>DCF</t>
        </is>
      </c>
      <c r="Q24" s="18" t="n"/>
      <c r="R24" s="90">
        <f>N24</f>
        <v/>
      </c>
      <c r="S24" s="84">
        <f>R24/Financial!$P$4-1</f>
        <v/>
      </c>
    </row>
  </sheetData>
  <mergeCells count="7">
    <mergeCell ref="H16:J16"/>
    <mergeCell ref="P19:S19"/>
    <mergeCell ref="K16:O16"/>
    <mergeCell ref="A16:G16"/>
    <mergeCell ref="B2:E2"/>
    <mergeCell ref="T19:W19"/>
    <mergeCell ref="A1:Q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E141"/>
  <sheetViews>
    <sheetView tabSelected="1" zoomScale="200" zoomScaleNormal="200" workbookViewId="0">
      <pane xSplit="1" ySplit="3" topLeftCell="Q115" activePane="bottomRight" state="frozen"/>
      <selection activeCell="C8" sqref="C8"/>
      <selection pane="topRight" activeCell="C8" sqref="C8"/>
      <selection pane="bottomLeft" activeCell="C8" sqref="C8"/>
      <selection pane="bottomRight" activeCell="X138" sqref="X138"/>
    </sheetView>
  </sheetViews>
  <sheetFormatPr baseColWidth="8" defaultColWidth="8.85546875" defaultRowHeight="12.75" outlineLevelRow="1"/>
  <cols>
    <col width="24.140625" customWidth="1" style="143" min="1" max="1"/>
    <col width="4.140625" customWidth="1" style="143" min="2" max="2"/>
    <col width="9" customWidth="1" style="143" min="3" max="9"/>
    <col width="10.140625" customWidth="1" style="143" min="10" max="12"/>
    <col width="9.5703125" customWidth="1" style="143" min="13" max="13"/>
    <col width="9.85546875" customWidth="1" style="143" min="14" max="14"/>
    <col width="9.28515625" customWidth="1" style="143" min="15" max="15"/>
    <col width="9.85546875" customWidth="1" style="143" min="16" max="16"/>
    <col width="9.140625" customWidth="1" style="143" min="17" max="17"/>
    <col width="7" customWidth="1" style="143" min="18" max="18"/>
    <col width="6.85546875" customWidth="1" style="143" min="19" max="19"/>
    <col width="7.7109375" customWidth="1" style="143" min="20" max="20"/>
    <col width="7" customWidth="1" style="143" min="21" max="23"/>
    <col width="8.85546875" customWidth="1" style="143" min="24" max="25"/>
    <col width="12.5703125" bestFit="1" customWidth="1" style="143" min="26" max="27"/>
    <col width="8.85546875" customWidth="1" style="143" min="28" max="16384"/>
  </cols>
  <sheetData>
    <row r="1" ht="13.5" customHeight="1" thickBot="1">
      <c r="A1" s="142" t="n"/>
      <c r="B1" s="463" t="inlineStr">
        <is>
          <t>Shree Ganeshaya Namah - TIKONA CAPITAL</t>
        </is>
      </c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  <c r="U1" s="118" t="n"/>
      <c r="V1" s="118" t="n"/>
      <c r="W1" s="449" t="n"/>
    </row>
    <row r="2" ht="13.5" customHeight="1" thickBot="1">
      <c r="A2" s="464">
        <f>CONCATENATE('Data Sheet'!$B$1,"           Mcap ",TEXT(ROUND($P$6,0),"0,000")," Cr        CMP ",TEXT($P$4,"##,##0.0"))</f>
        <v/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00" t="n"/>
      <c r="U2" s="417" t="inlineStr">
        <is>
          <t>Assumptions</t>
        </is>
      </c>
      <c r="V2" s="18" t="n"/>
      <c r="W2" s="100" t="n"/>
    </row>
    <row r="3" ht="26.25" customHeight="1" thickBot="1">
      <c r="A3" s="144" t="n"/>
      <c r="B3" s="145" t="n"/>
      <c r="C3" s="144">
        <f>'Data Sheet'!B16</f>
        <v/>
      </c>
      <c r="D3" s="145">
        <f>'Data Sheet'!C16</f>
        <v/>
      </c>
      <c r="E3" s="145">
        <f>'Data Sheet'!D16</f>
        <v/>
      </c>
      <c r="F3" s="145">
        <f>'Data Sheet'!E16</f>
        <v/>
      </c>
      <c r="G3" s="145">
        <f>'Data Sheet'!F16</f>
        <v/>
      </c>
      <c r="H3" s="145">
        <f>'Data Sheet'!G16</f>
        <v/>
      </c>
      <c r="I3" s="145">
        <f>'Data Sheet'!H16</f>
        <v/>
      </c>
      <c r="J3" s="145">
        <f>'Data Sheet'!I16</f>
        <v/>
      </c>
      <c r="K3" s="145">
        <f>'Data Sheet'!J16</f>
        <v/>
      </c>
      <c r="L3" s="146">
        <f>'Data Sheet'!K16</f>
        <v/>
      </c>
      <c r="M3" s="147">
        <f>L3+365</f>
        <v/>
      </c>
      <c r="N3" s="148">
        <f>M3+365</f>
        <v/>
      </c>
      <c r="O3" s="149">
        <f>N3+365</f>
        <v/>
      </c>
      <c r="P3" s="150" t="inlineStr">
        <is>
          <t>TTM</t>
        </is>
      </c>
      <c r="Q3" s="151" t="inlineStr">
        <is>
          <t>3 Yr  Proj
CAGR</t>
        </is>
      </c>
      <c r="R3" s="152" t="inlineStr">
        <is>
          <t>3 Yr 
CAGR</t>
        </is>
      </c>
      <c r="S3" s="152" t="inlineStr">
        <is>
          <t>5 Yr 
CAGR</t>
        </is>
      </c>
      <c r="T3" s="152" t="inlineStr">
        <is>
          <t>9Yr 
CAGR</t>
        </is>
      </c>
      <c r="U3" s="151">
        <f>M3</f>
        <v/>
      </c>
      <c r="V3" s="152">
        <f>N3</f>
        <v/>
      </c>
      <c r="W3" s="153">
        <f>O3</f>
        <v/>
      </c>
    </row>
    <row r="4">
      <c r="A4" s="154" t="inlineStr">
        <is>
          <t>Mkt Price</t>
        </is>
      </c>
      <c r="B4" s="143" t="inlineStr">
        <is>
          <t>INR</t>
        </is>
      </c>
      <c r="C4" s="155">
        <f>'Data Sheet'!B90</f>
        <v/>
      </c>
      <c r="D4" s="372">
        <f>'Data Sheet'!C90</f>
        <v/>
      </c>
      <c r="E4" s="372">
        <f>'Data Sheet'!D90</f>
        <v/>
      </c>
      <c r="F4" s="372">
        <f>'Data Sheet'!E90</f>
        <v/>
      </c>
      <c r="G4" s="372">
        <f>'Data Sheet'!F90</f>
        <v/>
      </c>
      <c r="H4" s="372">
        <f>'Data Sheet'!G90</f>
        <v/>
      </c>
      <c r="I4" s="372">
        <f>'Data Sheet'!H90</f>
        <v/>
      </c>
      <c r="J4" s="372">
        <f>'Data Sheet'!I90</f>
        <v/>
      </c>
      <c r="K4" s="372">
        <f>'Data Sheet'!J90</f>
        <v/>
      </c>
      <c r="L4" s="157">
        <f>'Data Sheet'!K90</f>
        <v/>
      </c>
      <c r="M4" s="158">
        <f>P4</f>
        <v/>
      </c>
      <c r="N4" s="159">
        <f>P4</f>
        <v/>
      </c>
      <c r="O4" s="160">
        <f>P4</f>
        <v/>
      </c>
      <c r="P4" s="161">
        <f>'Data Sheet'!B8</f>
        <v/>
      </c>
      <c r="Q4" s="155" t="n"/>
      <c r="R4" s="387">
        <f>((P4/I4)^(1/R8))-1</f>
        <v/>
      </c>
      <c r="S4" s="387">
        <f>((P4/G4)^(1/S8))-1</f>
        <v/>
      </c>
      <c r="T4" s="387">
        <f>IF(C4&gt;0,((P4/C4)^(1/T8))-1,"-")</f>
        <v/>
      </c>
      <c r="U4" s="154" t="n"/>
      <c r="W4" s="163" t="n"/>
    </row>
    <row r="5">
      <c r="A5" s="154" t="inlineStr">
        <is>
          <t>O/s Equity Shares</t>
        </is>
      </c>
      <c r="B5" s="143" t="inlineStr">
        <is>
          <t>Cr</t>
        </is>
      </c>
      <c r="C5" s="465">
        <f>'Data Sheet'!B93</f>
        <v/>
      </c>
      <c r="D5" s="466">
        <f>'Data Sheet'!C93</f>
        <v/>
      </c>
      <c r="E5" s="466">
        <f>'Data Sheet'!D93</f>
        <v/>
      </c>
      <c r="F5" s="466">
        <f>'Data Sheet'!E93</f>
        <v/>
      </c>
      <c r="G5" s="466">
        <f>'Data Sheet'!F93</f>
        <v/>
      </c>
      <c r="H5" s="466">
        <f>'Data Sheet'!G93</f>
        <v/>
      </c>
      <c r="I5" s="466">
        <f>'Data Sheet'!H93</f>
        <v/>
      </c>
      <c r="J5" s="466">
        <f>'Data Sheet'!I93</f>
        <v/>
      </c>
      <c r="K5" s="466">
        <f>'Data Sheet'!J93</f>
        <v/>
      </c>
      <c r="L5" s="467">
        <f>'Data Sheet'!K93</f>
        <v/>
      </c>
      <c r="M5" s="468">
        <f>L5</f>
        <v/>
      </c>
      <c r="N5" s="469">
        <f>M5</f>
        <v/>
      </c>
      <c r="O5" s="470">
        <f>N5</f>
        <v/>
      </c>
      <c r="P5" s="471">
        <f>O5</f>
        <v/>
      </c>
      <c r="Q5" s="465" t="n"/>
      <c r="R5" s="387">
        <f>((L5/I5)^(1/3))-1</f>
        <v/>
      </c>
      <c r="S5" s="387">
        <f>((L5/G5)^(1/5))-1</f>
        <v/>
      </c>
      <c r="T5" s="387">
        <f>IF(C5&gt;0,((L5/C5)^(1/9))-1,"-")</f>
        <v/>
      </c>
      <c r="U5" s="154" t="n"/>
      <c r="W5" s="163" t="n"/>
    </row>
    <row r="6">
      <c r="A6" s="154" t="inlineStr">
        <is>
          <t>Mcap</t>
        </is>
      </c>
      <c r="B6" s="143" t="inlineStr">
        <is>
          <t>Cr</t>
        </is>
      </c>
      <c r="C6" s="155">
        <f>C4*C5</f>
        <v/>
      </c>
      <c r="D6" s="372">
        <f>D4*D5</f>
        <v/>
      </c>
      <c r="E6" s="372">
        <f>E4*E5</f>
        <v/>
      </c>
      <c r="F6" s="372">
        <f>F4*F5</f>
        <v/>
      </c>
      <c r="G6" s="372">
        <f>G4*G5</f>
        <v/>
      </c>
      <c r="H6" s="372">
        <f>H4*H5</f>
        <v/>
      </c>
      <c r="I6" s="372">
        <f>I4*I5</f>
        <v/>
      </c>
      <c r="J6" s="372">
        <f>J4*J5</f>
        <v/>
      </c>
      <c r="K6" s="372">
        <f>K4*K5</f>
        <v/>
      </c>
      <c r="L6" s="157">
        <f>L4*L5</f>
        <v/>
      </c>
      <c r="M6" s="171">
        <f>P6</f>
        <v/>
      </c>
      <c r="N6" s="172">
        <f>P6</f>
        <v/>
      </c>
      <c r="O6" s="173">
        <f>P6</f>
        <v/>
      </c>
      <c r="P6" s="161">
        <f>P4*P5</f>
        <v/>
      </c>
      <c r="Q6" s="155" t="n"/>
      <c r="R6" s="387">
        <f>((L6/I6)^(1/3))-1</f>
        <v/>
      </c>
      <c r="S6" s="387">
        <f>((L6/G6)^(1/5))-1</f>
        <v/>
      </c>
      <c r="T6" s="387">
        <f>IF(C6&gt;0,((L6/C6)^(1/9))-1,"-")</f>
        <v/>
      </c>
      <c r="U6" s="154" t="n"/>
      <c r="W6" s="163" t="n"/>
    </row>
    <row r="7" ht="13.5" customHeight="1" thickBot="1">
      <c r="A7" s="174" t="inlineStr">
        <is>
          <t>Enterprise Value</t>
        </is>
      </c>
      <c r="B7" s="175" t="inlineStr">
        <is>
          <t>Cr</t>
        </is>
      </c>
      <c r="C7" s="176">
        <f>C6+C42</f>
        <v/>
      </c>
      <c r="D7" s="177">
        <f>D6+D42</f>
        <v/>
      </c>
      <c r="E7" s="177">
        <f>E6+E42</f>
        <v/>
      </c>
      <c r="F7" s="177">
        <f>F6+F42</f>
        <v/>
      </c>
      <c r="G7" s="177">
        <f>G6+G42</f>
        <v/>
      </c>
      <c r="H7" s="177">
        <f>H6+H42</f>
        <v/>
      </c>
      <c r="I7" s="177">
        <f>I6+I42</f>
        <v/>
      </c>
      <c r="J7" s="177">
        <f>J6+J42</f>
        <v/>
      </c>
      <c r="K7" s="177">
        <f>K6+K42</f>
        <v/>
      </c>
      <c r="L7" s="178">
        <f>L6+L42</f>
        <v/>
      </c>
      <c r="M7" s="179">
        <f>M6+M42</f>
        <v/>
      </c>
      <c r="N7" s="180">
        <f>N6+N42</f>
        <v/>
      </c>
      <c r="O7" s="181">
        <f>O6+O42</f>
        <v/>
      </c>
      <c r="P7" s="182">
        <f>P6+P42</f>
        <v/>
      </c>
      <c r="Q7" s="176" t="n"/>
      <c r="R7" s="183">
        <f>((L7/I7)^(1/3))-1</f>
        <v/>
      </c>
      <c r="S7" s="183">
        <f>((L7/G7)^(1/5))-1</f>
        <v/>
      </c>
      <c r="T7" s="183">
        <f>IF(C7&gt;0,((L7/C7)^(1/9))-1,"-")</f>
        <v/>
      </c>
      <c r="U7" s="154" t="n"/>
      <c r="W7" s="163" t="n"/>
    </row>
    <row r="8" ht="13.5" customHeight="1" thickBot="1">
      <c r="A8" s="154" t="n"/>
      <c r="C8" s="154" t="n"/>
      <c r="L8" s="163" t="n"/>
      <c r="M8" s="184" t="n"/>
      <c r="N8" s="185" t="n"/>
      <c r="O8" s="186" t="n"/>
      <c r="P8" s="187" t="n"/>
      <c r="Q8" s="154" t="n"/>
      <c r="R8" s="472">
        <f>(TODAY()-I3)/365</f>
        <v/>
      </c>
      <c r="S8" s="472">
        <f>(TODAY()-G3)/365</f>
        <v/>
      </c>
      <c r="T8" s="472">
        <f>(TODAY()-C3)/365</f>
        <v/>
      </c>
      <c r="U8" s="154" t="n"/>
      <c r="W8" s="163" t="n"/>
    </row>
    <row r="9">
      <c r="A9" s="189" t="inlineStr">
        <is>
          <t>Revenue</t>
        </is>
      </c>
      <c r="B9" s="190" t="inlineStr">
        <is>
          <t>Cr</t>
        </is>
      </c>
      <c r="C9" s="191">
        <f>'Data Sheet'!B17</f>
        <v/>
      </c>
      <c r="D9" s="192">
        <f>'Data Sheet'!C17</f>
        <v/>
      </c>
      <c r="E9" s="192">
        <f>'Data Sheet'!D17</f>
        <v/>
      </c>
      <c r="F9" s="192">
        <f>'Data Sheet'!E17</f>
        <v/>
      </c>
      <c r="G9" s="192">
        <f>'Data Sheet'!F17</f>
        <v/>
      </c>
      <c r="H9" s="192">
        <f>'Data Sheet'!G17</f>
        <v/>
      </c>
      <c r="I9" s="192">
        <f>'Data Sheet'!H17</f>
        <v/>
      </c>
      <c r="J9" s="192">
        <f>'Data Sheet'!I17</f>
        <v/>
      </c>
      <c r="K9" s="192">
        <f>'Data Sheet'!J17</f>
        <v/>
      </c>
      <c r="L9" s="192">
        <f>'Data Sheet'!K17</f>
        <v/>
      </c>
      <c r="M9" s="193">
        <f>L9*(1+$U9)</f>
        <v/>
      </c>
      <c r="N9" s="194">
        <f>M9*(1+$V9)</f>
        <v/>
      </c>
      <c r="O9" s="195">
        <f>N9*(1+$W9)</f>
        <v/>
      </c>
      <c r="P9" s="196">
        <f>SUM(I99:L99)</f>
        <v/>
      </c>
      <c r="Q9" s="197">
        <f>((O9/L9)^(1/3))-1</f>
        <v/>
      </c>
      <c r="R9" s="198">
        <f>((L9/I9)^(1/3))-1</f>
        <v/>
      </c>
      <c r="S9" s="198">
        <f>((L9/G9)^(1/5))-1</f>
        <v/>
      </c>
      <c r="T9" s="198">
        <f>IF(C9&gt;0,((L9/C9)^(1/9))-1,"-")</f>
        <v/>
      </c>
      <c r="U9" s="199">
        <f>R9</f>
        <v/>
      </c>
      <c r="V9" s="200">
        <f>U9</f>
        <v/>
      </c>
      <c r="W9" s="201">
        <f>V9</f>
        <v/>
      </c>
    </row>
    <row r="10">
      <c r="A10" s="154" t="inlineStr">
        <is>
          <t>Growth (YoY)</t>
        </is>
      </c>
      <c r="C10" s="155" t="n"/>
      <c r="D10" s="387">
        <f>D9/C9-1</f>
        <v/>
      </c>
      <c r="E10" s="387">
        <f>E9/D9-1</f>
        <v/>
      </c>
      <c r="F10" s="387">
        <f>F9/E9-1</f>
        <v/>
      </c>
      <c r="G10" s="387">
        <f>G9/F9-1</f>
        <v/>
      </c>
      <c r="H10" s="387">
        <f>H9/G9-1</f>
        <v/>
      </c>
      <c r="I10" s="387">
        <f>I9/H9-1</f>
        <v/>
      </c>
      <c r="J10" s="387">
        <f>J9/I9-1</f>
        <v/>
      </c>
      <c r="K10" s="387">
        <f>K9/J9-1</f>
        <v/>
      </c>
      <c r="L10" s="387">
        <f>L9/K9-1</f>
        <v/>
      </c>
      <c r="M10" s="202">
        <f>M9/L9-1</f>
        <v/>
      </c>
      <c r="N10" s="203">
        <f>N9/M9-1</f>
        <v/>
      </c>
      <c r="O10" s="204">
        <f>O9/N9-1</f>
        <v/>
      </c>
      <c r="P10" s="161" t="n"/>
      <c r="Q10" s="205" t="n"/>
      <c r="R10" s="387" t="n"/>
      <c r="S10" s="387" t="n"/>
      <c r="T10" s="387" t="n"/>
      <c r="U10" s="154" t="n"/>
      <c r="W10" s="163" t="n"/>
    </row>
    <row r="11">
      <c r="A11" s="154" t="inlineStr">
        <is>
          <t xml:space="preserve">Gross Profits </t>
        </is>
      </c>
      <c r="B11" s="143" t="inlineStr">
        <is>
          <t>Cr</t>
        </is>
      </c>
      <c r="C11" s="206">
        <f>C9-SUM('Data Sheet'!B18,-1*'Data Sheet'!B19)</f>
        <v/>
      </c>
      <c r="D11" s="372">
        <f>D9-SUM('Data Sheet'!C18,-1*'Data Sheet'!C19)</f>
        <v/>
      </c>
      <c r="E11" s="372">
        <f>E9-SUM('Data Sheet'!D18,-1*'Data Sheet'!D19)</f>
        <v/>
      </c>
      <c r="F11" s="372">
        <f>F9-SUM('Data Sheet'!E18,-1*'Data Sheet'!E19)</f>
        <v/>
      </c>
      <c r="G11" s="372">
        <f>G9-SUM('Data Sheet'!F18,-1*'Data Sheet'!F19)</f>
        <v/>
      </c>
      <c r="H11" s="372">
        <f>H9-SUM('Data Sheet'!G18,-1*'Data Sheet'!G19)</f>
        <v/>
      </c>
      <c r="I11" s="372">
        <f>I9-SUM('Data Sheet'!H18,-1*'Data Sheet'!H19)</f>
        <v/>
      </c>
      <c r="J11" s="372">
        <f>J9-SUM('Data Sheet'!I18,-1*'Data Sheet'!I19)</f>
        <v/>
      </c>
      <c r="K11" s="372">
        <f>K9-SUM('Data Sheet'!J18,-1*'Data Sheet'!J19)</f>
        <v/>
      </c>
      <c r="L11" s="372">
        <f>L9-SUM('Data Sheet'!K18,-1*'Data Sheet'!K19)</f>
        <v/>
      </c>
      <c r="M11" s="184" t="n"/>
      <c r="N11" s="185" t="n"/>
      <c r="O11" s="186" t="n"/>
      <c r="P11" s="161" t="n"/>
      <c r="Q11" s="155" t="n"/>
      <c r="R11" s="376" t="n"/>
      <c r="S11" s="376" t="n"/>
      <c r="T11" s="376" t="n"/>
      <c r="U11" s="154" t="n"/>
      <c r="W11" s="163" t="n"/>
    </row>
    <row r="12">
      <c r="A12" s="154" t="inlineStr">
        <is>
          <t>Growth (YoY)</t>
        </is>
      </c>
      <c r="C12" s="206" t="n"/>
      <c r="D12" s="387">
        <f>D11/C11-1</f>
        <v/>
      </c>
      <c r="E12" s="387">
        <f>E11/D11-1</f>
        <v/>
      </c>
      <c r="F12" s="387">
        <f>F11/E11-1</f>
        <v/>
      </c>
      <c r="H12" s="387">
        <f>H11/G11-1</f>
        <v/>
      </c>
      <c r="I12" s="387">
        <f>I11/H11-1</f>
        <v/>
      </c>
      <c r="J12" s="387">
        <f>J11/I11-1</f>
        <v/>
      </c>
      <c r="K12" s="387">
        <f>K11/J11-1</f>
        <v/>
      </c>
      <c r="L12" s="387">
        <f>L11/K11-1</f>
        <v/>
      </c>
      <c r="M12" s="202" t="n"/>
      <c r="N12" s="203" t="n"/>
      <c r="O12" s="204" t="n"/>
      <c r="P12" s="161" t="n"/>
      <c r="Q12" s="155" t="n"/>
      <c r="R12" s="376" t="n"/>
      <c r="S12" s="376" t="n"/>
      <c r="T12" s="376" t="n"/>
      <c r="U12" s="154" t="n"/>
      <c r="W12" s="163" t="n"/>
    </row>
    <row r="13">
      <c r="A13" s="154" t="inlineStr">
        <is>
          <t>EBITDA</t>
        </is>
      </c>
      <c r="B13" s="143" t="inlineStr">
        <is>
          <t>Cr</t>
        </is>
      </c>
      <c r="C13" s="206">
        <f>C9-SUM('Data Sheet'!B18,'Data Sheet'!B20:B24,-1*'Data Sheet'!B19)</f>
        <v/>
      </c>
      <c r="D13" s="372">
        <f>D9-SUM('Data Sheet'!C18,'Data Sheet'!C20:C24,-1*'Data Sheet'!C19)</f>
        <v/>
      </c>
      <c r="E13" s="372">
        <f>E9-SUM('Data Sheet'!D18,'Data Sheet'!D20:D24,-1*'Data Sheet'!D19)</f>
        <v/>
      </c>
      <c r="F13" s="372">
        <f>F9-SUM('Data Sheet'!E18,'Data Sheet'!E20:E24,-1*'Data Sheet'!E19)</f>
        <v/>
      </c>
      <c r="G13" s="372">
        <f>G9-SUM('Data Sheet'!F18,'Data Sheet'!F20:F24,-1*'Data Sheet'!F19)</f>
        <v/>
      </c>
      <c r="H13" s="372">
        <f>H9-SUM('Data Sheet'!G18,'Data Sheet'!G20:G24,-1*'Data Sheet'!G19)</f>
        <v/>
      </c>
      <c r="I13" s="372">
        <f>I9-SUM('Data Sheet'!H18,'Data Sheet'!H20:H24,-1*'Data Sheet'!H19)</f>
        <v/>
      </c>
      <c r="J13" s="372">
        <f>J9-SUM('Data Sheet'!I18,'Data Sheet'!I20:I24,-1*'Data Sheet'!I19)</f>
        <v/>
      </c>
      <c r="K13" s="372">
        <f>K9-SUM('Data Sheet'!J18,'Data Sheet'!J20:J24,-1*'Data Sheet'!J19)</f>
        <v/>
      </c>
      <c r="L13" s="372">
        <f>L9-SUM('Data Sheet'!K18,'Data Sheet'!K20:K24,-1*'Data Sheet'!K19)</f>
        <v/>
      </c>
      <c r="M13" s="158">
        <f>M9*$U27</f>
        <v/>
      </c>
      <c r="N13" s="159">
        <f>N9*$V27</f>
        <v/>
      </c>
      <c r="O13" s="160">
        <f>O9*$W27</f>
        <v/>
      </c>
      <c r="P13" s="208">
        <f>SUM(I101:L101)</f>
        <v/>
      </c>
      <c r="Q13" s="205">
        <f>((O13/L13)^(1/3))-1</f>
        <v/>
      </c>
      <c r="R13" s="387">
        <f>((L13/I13)^(1/3))-1</f>
        <v/>
      </c>
      <c r="S13" s="387">
        <f>((L13/G13)^(1/5))-1</f>
        <v/>
      </c>
      <c r="T13" s="387">
        <f>IF(C13&gt;0,((L13/C13)^(1/9))-1,"-")</f>
        <v/>
      </c>
      <c r="U13" s="154" t="n"/>
      <c r="W13" s="163" t="n"/>
    </row>
    <row r="14">
      <c r="A14" s="154" t="inlineStr">
        <is>
          <t>Growth (YoY)</t>
        </is>
      </c>
      <c r="C14" s="206" t="n"/>
      <c r="D14" s="387">
        <f>D13/C13-1</f>
        <v/>
      </c>
      <c r="E14" s="387">
        <f>E13/D13-1</f>
        <v/>
      </c>
      <c r="F14" s="387">
        <f>F13/E13-1</f>
        <v/>
      </c>
      <c r="G14" s="387">
        <f>G13/F13-1</f>
        <v/>
      </c>
      <c r="H14" s="387">
        <f>H13/G13-1</f>
        <v/>
      </c>
      <c r="I14" s="387">
        <f>I13/H13-1</f>
        <v/>
      </c>
      <c r="J14" s="387">
        <f>J13/I13-1</f>
        <v/>
      </c>
      <c r="K14" s="387">
        <f>K13/J13-1</f>
        <v/>
      </c>
      <c r="L14" s="387">
        <f>L13/K13-1</f>
        <v/>
      </c>
      <c r="M14" s="202">
        <f>M13/L13-1</f>
        <v/>
      </c>
      <c r="N14" s="203">
        <f>N13/M13-1</f>
        <v/>
      </c>
      <c r="O14" s="204">
        <f>O13/N13-1</f>
        <v/>
      </c>
      <c r="P14" s="208" t="n"/>
      <c r="Q14" s="205" t="n"/>
      <c r="R14" s="387" t="n"/>
      <c r="S14" s="387" t="n"/>
      <c r="T14" s="387" t="n"/>
      <c r="U14" s="154" t="n"/>
      <c r="W14" s="163" t="n"/>
    </row>
    <row r="15" outlineLevel="1">
      <c r="A15" s="473" t="inlineStr">
        <is>
          <t>Other Income</t>
        </is>
      </c>
      <c r="B15" s="143" t="inlineStr">
        <is>
          <t>Cr</t>
        </is>
      </c>
      <c r="C15" s="206">
        <f>'Data Sheet'!B25</f>
        <v/>
      </c>
      <c r="D15" s="210">
        <f>'Data Sheet'!C25</f>
        <v/>
      </c>
      <c r="E15" s="210">
        <f>'Data Sheet'!D25</f>
        <v/>
      </c>
      <c r="F15" s="210">
        <f>'Data Sheet'!E25</f>
        <v/>
      </c>
      <c r="G15" s="210">
        <f>'Data Sheet'!F25</f>
        <v/>
      </c>
      <c r="H15" s="210">
        <f>'Data Sheet'!G25</f>
        <v/>
      </c>
      <c r="I15" s="210">
        <f>'Data Sheet'!H25</f>
        <v/>
      </c>
      <c r="J15" s="210">
        <f>'Data Sheet'!I25</f>
        <v/>
      </c>
      <c r="K15" s="210">
        <f>'Data Sheet'!J25</f>
        <v/>
      </c>
      <c r="L15" s="210">
        <f>'Data Sheet'!K25</f>
        <v/>
      </c>
      <c r="M15" s="171">
        <f>AVERAGE(J15:L15)</f>
        <v/>
      </c>
      <c r="N15" s="172">
        <f>AVERAGE(K15:M15)</f>
        <v/>
      </c>
      <c r="O15" s="173">
        <f>AVERAGE(L15:N15)</f>
        <v/>
      </c>
      <c r="P15" s="208">
        <f>SUM(I114:L114)</f>
        <v/>
      </c>
      <c r="Q15" s="206" t="n"/>
      <c r="R15" s="376" t="n"/>
      <c r="S15" s="376" t="n"/>
      <c r="U15" s="211" t="n"/>
      <c r="W15" s="163" t="n"/>
    </row>
    <row r="16" outlineLevel="1">
      <c r="A16" s="473" t="inlineStr">
        <is>
          <t>Depreciation</t>
        </is>
      </c>
      <c r="B16" s="143" t="inlineStr">
        <is>
          <t>Cr</t>
        </is>
      </c>
      <c r="C16" s="206">
        <f>'Data Sheet'!B26</f>
        <v/>
      </c>
      <c r="D16" s="210">
        <f>'Data Sheet'!C26</f>
        <v/>
      </c>
      <c r="E16" s="210">
        <f>'Data Sheet'!D26</f>
        <v/>
      </c>
      <c r="F16" s="210">
        <f>'Data Sheet'!E26</f>
        <v/>
      </c>
      <c r="G16" s="210">
        <f>'Data Sheet'!F26</f>
        <v/>
      </c>
      <c r="H16" s="210">
        <f>'Data Sheet'!G26</f>
        <v/>
      </c>
      <c r="I16" s="210">
        <f>'Data Sheet'!H26</f>
        <v/>
      </c>
      <c r="J16" s="210">
        <f>'Data Sheet'!I26</f>
        <v/>
      </c>
      <c r="K16" s="210">
        <f>'Data Sheet'!J26</f>
        <v/>
      </c>
      <c r="L16" s="210">
        <f>'Data Sheet'!K26</f>
        <v/>
      </c>
      <c r="M16" s="171">
        <f>L16*(1+$U16)</f>
        <v/>
      </c>
      <c r="N16" s="172">
        <f>M16*(1+$V16)</f>
        <v/>
      </c>
      <c r="O16" s="173">
        <f>N16*(1+$W16)</f>
        <v/>
      </c>
      <c r="P16" s="208">
        <f>SUM(I115:L115)</f>
        <v/>
      </c>
      <c r="Q16" s="206" t="n"/>
      <c r="R16" s="387" t="n"/>
      <c r="S16" s="387" t="n"/>
      <c r="T16" s="387" t="n"/>
      <c r="U16" s="199">
        <f>R45</f>
        <v/>
      </c>
      <c r="V16" s="200">
        <f>U16</f>
        <v/>
      </c>
      <c r="W16" s="201">
        <f>V16</f>
        <v/>
      </c>
    </row>
    <row r="17" outlineLevel="1">
      <c r="A17" s="473" t="inlineStr">
        <is>
          <t>Interest</t>
        </is>
      </c>
      <c r="B17" s="143" t="inlineStr">
        <is>
          <t>Cr</t>
        </is>
      </c>
      <c r="C17" s="206">
        <f>'Data Sheet'!B27</f>
        <v/>
      </c>
      <c r="D17" s="210">
        <f>'Data Sheet'!C27</f>
        <v/>
      </c>
      <c r="E17" s="210">
        <f>'Data Sheet'!D27</f>
        <v/>
      </c>
      <c r="F17" s="210">
        <f>'Data Sheet'!E27</f>
        <v/>
      </c>
      <c r="G17" s="210">
        <f>'Data Sheet'!F27</f>
        <v/>
      </c>
      <c r="H17" s="210">
        <f>'Data Sheet'!G27</f>
        <v/>
      </c>
      <c r="I17" s="210">
        <f>'Data Sheet'!H27</f>
        <v/>
      </c>
      <c r="J17" s="210">
        <f>'Data Sheet'!I27</f>
        <v/>
      </c>
      <c r="K17" s="210">
        <f>'Data Sheet'!J27</f>
        <v/>
      </c>
      <c r="L17" s="210">
        <f>'Data Sheet'!K27</f>
        <v/>
      </c>
      <c r="M17" s="171">
        <f>L17*(1+$U17)</f>
        <v/>
      </c>
      <c r="N17" s="172">
        <f>M17*(1+$V17)</f>
        <v/>
      </c>
      <c r="O17" s="173">
        <f>N17*(1+$W17)</f>
        <v/>
      </c>
      <c r="P17" s="208">
        <f>SUM(I116:L116)</f>
        <v/>
      </c>
      <c r="Q17" s="206" t="n"/>
      <c r="R17" s="376" t="n"/>
      <c r="S17" s="376" t="n"/>
      <c r="U17" s="199" t="n">
        <v>0.1</v>
      </c>
      <c r="V17" s="200">
        <f>U17</f>
        <v/>
      </c>
      <c r="W17" s="201">
        <f>V17</f>
        <v/>
      </c>
    </row>
    <row r="18" outlineLevel="1">
      <c r="A18" s="473" t="inlineStr">
        <is>
          <t>PBT</t>
        </is>
      </c>
      <c r="B18" s="143" t="inlineStr">
        <is>
          <t>Cr</t>
        </is>
      </c>
      <c r="C18" s="206">
        <f>'Data Sheet'!B28</f>
        <v/>
      </c>
      <c r="D18" s="210">
        <f>'Data Sheet'!C28</f>
        <v/>
      </c>
      <c r="E18" s="210">
        <f>'Data Sheet'!D28</f>
        <v/>
      </c>
      <c r="F18" s="210">
        <f>'Data Sheet'!E28</f>
        <v/>
      </c>
      <c r="G18" s="210">
        <f>'Data Sheet'!F28</f>
        <v/>
      </c>
      <c r="H18" s="210">
        <f>'Data Sheet'!G28</f>
        <v/>
      </c>
      <c r="I18" s="210">
        <f>'Data Sheet'!H28</f>
        <v/>
      </c>
      <c r="J18" s="210">
        <f>'Data Sheet'!I28</f>
        <v/>
      </c>
      <c r="K18" s="210">
        <f>'Data Sheet'!J28</f>
        <v/>
      </c>
      <c r="L18" s="210">
        <f>'Data Sheet'!K28</f>
        <v/>
      </c>
      <c r="M18" s="158">
        <f>M13+M15-M16-M17</f>
        <v/>
      </c>
      <c r="N18" s="159">
        <f>N13+N15-N16-N17</f>
        <v/>
      </c>
      <c r="O18" s="160">
        <f>O13+O15-O16-O17</f>
        <v/>
      </c>
      <c r="P18" s="208">
        <f>P13+P15-P16-P17</f>
        <v/>
      </c>
      <c r="Q18" s="206" t="n"/>
      <c r="R18" s="376" t="n"/>
      <c r="S18" s="376" t="n"/>
      <c r="U18" s="154" t="n"/>
      <c r="W18" s="163" t="n"/>
    </row>
    <row r="19" outlineLevel="1">
      <c r="A19" s="473" t="inlineStr">
        <is>
          <t>Tax</t>
        </is>
      </c>
      <c r="B19" s="143" t="inlineStr">
        <is>
          <t>Cr</t>
        </is>
      </c>
      <c r="C19" s="206">
        <f>'Data Sheet'!B29</f>
        <v/>
      </c>
      <c r="D19" s="210">
        <f>'Data Sheet'!C29</f>
        <v/>
      </c>
      <c r="E19" s="210">
        <f>'Data Sheet'!D29</f>
        <v/>
      </c>
      <c r="F19" s="210">
        <f>'Data Sheet'!E29</f>
        <v/>
      </c>
      <c r="G19" s="210">
        <f>'Data Sheet'!F29</f>
        <v/>
      </c>
      <c r="H19" s="210">
        <f>'Data Sheet'!G29</f>
        <v/>
      </c>
      <c r="I19" s="210">
        <f>'Data Sheet'!H29</f>
        <v/>
      </c>
      <c r="J19" s="210">
        <f>'Data Sheet'!I29</f>
        <v/>
      </c>
      <c r="K19" s="210">
        <f>'Data Sheet'!J29</f>
        <v/>
      </c>
      <c r="L19" s="210">
        <f>'Data Sheet'!K29</f>
        <v/>
      </c>
      <c r="M19" s="158">
        <f>M18*$U30</f>
        <v/>
      </c>
      <c r="N19" s="159">
        <f>N18*$V30</f>
        <v/>
      </c>
      <c r="O19" s="160">
        <f>O18*$W30</f>
        <v/>
      </c>
      <c r="P19" s="208">
        <f>P18-P20</f>
        <v/>
      </c>
      <c r="Q19" s="206" t="n"/>
      <c r="R19" s="376" t="n"/>
      <c r="S19" s="376" t="n"/>
      <c r="U19" s="154" t="n"/>
      <c r="W19" s="163" t="n"/>
    </row>
    <row r="20">
      <c r="A20" s="473" t="inlineStr">
        <is>
          <t>PAT</t>
        </is>
      </c>
      <c r="B20" s="143" t="inlineStr">
        <is>
          <t>Cr</t>
        </is>
      </c>
      <c r="C20" s="206">
        <f>'Data Sheet'!B30</f>
        <v/>
      </c>
      <c r="D20" s="372">
        <f>'Data Sheet'!C30</f>
        <v/>
      </c>
      <c r="E20" s="372">
        <f>'Data Sheet'!D30</f>
        <v/>
      </c>
      <c r="F20" s="372">
        <f>'Data Sheet'!E30</f>
        <v/>
      </c>
      <c r="G20" s="372">
        <f>'Data Sheet'!F30</f>
        <v/>
      </c>
      <c r="H20" s="372">
        <f>'Data Sheet'!G30</f>
        <v/>
      </c>
      <c r="I20" s="372">
        <f>'Data Sheet'!H30</f>
        <v/>
      </c>
      <c r="J20" s="372">
        <f>'Data Sheet'!I30</f>
        <v/>
      </c>
      <c r="K20" s="372">
        <f>'Data Sheet'!J30</f>
        <v/>
      </c>
      <c r="L20" s="372">
        <f>'Data Sheet'!K30</f>
        <v/>
      </c>
      <c r="M20" s="158">
        <f>M18-M19</f>
        <v/>
      </c>
      <c r="N20" s="159">
        <f>N18-N19</f>
        <v/>
      </c>
      <c r="O20" s="160">
        <f>O18-O19</f>
        <v/>
      </c>
      <c r="P20" s="208">
        <f>SUM(I105:L105)</f>
        <v/>
      </c>
      <c r="Q20" s="205">
        <f>((O20/L20)^(1/3))-1</f>
        <v/>
      </c>
      <c r="R20" s="387">
        <f>((L20/I20)^(1/3))-1</f>
        <v/>
      </c>
      <c r="S20" s="387">
        <f>((L20/G20)^(1/5))-1</f>
        <v/>
      </c>
      <c r="T20" s="387">
        <f>IF(C20&gt;0,((L20/C20)^(1/9))-1,"-")</f>
        <v/>
      </c>
      <c r="U20" s="154" t="n"/>
      <c r="W20" s="163" t="n"/>
    </row>
    <row r="21">
      <c r="A21" s="473" t="inlineStr">
        <is>
          <t>Growth (YoY)</t>
        </is>
      </c>
      <c r="C21" s="206" t="n"/>
      <c r="D21" s="387">
        <f>D20/C20-1</f>
        <v/>
      </c>
      <c r="E21" s="387">
        <f>E20/D20-1</f>
        <v/>
      </c>
      <c r="F21" s="387">
        <f>F20/E20-1</f>
        <v/>
      </c>
      <c r="G21" s="387">
        <f>G20/F20-1</f>
        <v/>
      </c>
      <c r="H21" s="387">
        <f>H20/G20-1</f>
        <v/>
      </c>
      <c r="I21" s="387">
        <f>I20/H20-1</f>
        <v/>
      </c>
      <c r="J21" s="387">
        <f>J20/I20-1</f>
        <v/>
      </c>
      <c r="K21" s="387">
        <f>K20/J20-1</f>
        <v/>
      </c>
      <c r="L21" s="387">
        <f>L20/K20-1</f>
        <v/>
      </c>
      <c r="M21" s="202">
        <f>M20/L20-1</f>
        <v/>
      </c>
      <c r="N21" s="203">
        <f>N20/M20-1</f>
        <v/>
      </c>
      <c r="O21" s="204">
        <f>O20/N20-1</f>
        <v/>
      </c>
      <c r="P21" s="208" t="n"/>
      <c r="Q21" s="205" t="n"/>
      <c r="R21" s="387" t="n"/>
      <c r="S21" s="387" t="n"/>
      <c r="T21" s="387" t="n"/>
      <c r="U21" s="154" t="n"/>
      <c r="W21" s="163" t="n"/>
    </row>
    <row r="22">
      <c r="A22" s="473" t="inlineStr">
        <is>
          <t>EPS</t>
        </is>
      </c>
      <c r="B22" s="143" t="inlineStr">
        <is>
          <t>INR</t>
        </is>
      </c>
      <c r="C22" s="474">
        <f>C20/C5</f>
        <v/>
      </c>
      <c r="D22" s="475">
        <f>D20/D5</f>
        <v/>
      </c>
      <c r="E22" s="475">
        <f>E20/E5</f>
        <v/>
      </c>
      <c r="F22" s="475">
        <f>F20/F5</f>
        <v/>
      </c>
      <c r="G22" s="475">
        <f>G20/G5</f>
        <v/>
      </c>
      <c r="H22" s="475">
        <f>H20/H5</f>
        <v/>
      </c>
      <c r="I22" s="475">
        <f>I20/I5</f>
        <v/>
      </c>
      <c r="J22" s="475">
        <f>J20/J5</f>
        <v/>
      </c>
      <c r="K22" s="475">
        <f>K20/K5</f>
        <v/>
      </c>
      <c r="L22" s="475">
        <f>L20/L5</f>
        <v/>
      </c>
      <c r="M22" s="476">
        <f>M20/M5</f>
        <v/>
      </c>
      <c r="N22" s="477">
        <f>N20/N5</f>
        <v/>
      </c>
      <c r="O22" s="478">
        <f>O20/O5</f>
        <v/>
      </c>
      <c r="P22" s="479">
        <f>P20/P5</f>
        <v/>
      </c>
      <c r="Q22" s="474" t="n"/>
      <c r="R22" s="387">
        <f>((L22/I22)^(1/3))-1</f>
        <v/>
      </c>
      <c r="S22" s="387">
        <f>((L22/G22)^(1/5))-1</f>
        <v/>
      </c>
      <c r="T22" s="387">
        <f>IF(C22&gt;0,((L22/C22)^(1/9))-1,"-")</f>
        <v/>
      </c>
      <c r="U22" s="154" t="n"/>
      <c r="W22" s="163" t="n"/>
    </row>
    <row r="23" ht="13.5" customHeight="1" thickBot="1">
      <c r="A23" s="480" t="inlineStr">
        <is>
          <t>DPS</t>
        </is>
      </c>
      <c r="B23" s="175" t="inlineStr">
        <is>
          <t>INR</t>
        </is>
      </c>
      <c r="C23" s="481">
        <f>'Data Sheet'!B31/C5</f>
        <v/>
      </c>
      <c r="D23" s="482">
        <f>'Data Sheet'!C31/D5</f>
        <v/>
      </c>
      <c r="E23" s="482">
        <f>'Data Sheet'!D31/E5</f>
        <v/>
      </c>
      <c r="F23" s="482">
        <f>'Data Sheet'!E31/F5</f>
        <v/>
      </c>
      <c r="G23" s="482">
        <f>'Data Sheet'!F31/G5</f>
        <v/>
      </c>
      <c r="H23" s="482">
        <f>'Data Sheet'!G31/H5</f>
        <v/>
      </c>
      <c r="I23" s="482">
        <f>'Data Sheet'!H31/I5</f>
        <v/>
      </c>
      <c r="J23" s="482">
        <f>'Data Sheet'!I31/J5</f>
        <v/>
      </c>
      <c r="K23" s="482">
        <f>'Data Sheet'!J31/K5</f>
        <v/>
      </c>
      <c r="L23" s="482">
        <f>'Data Sheet'!K31/L5</f>
        <v/>
      </c>
      <c r="M23" s="483">
        <f>M22*$U32</f>
        <v/>
      </c>
      <c r="N23" s="484">
        <f>N22*$V32</f>
        <v/>
      </c>
      <c r="O23" s="485">
        <f>O22*$W32</f>
        <v/>
      </c>
      <c r="P23" s="486" t="n"/>
      <c r="Q23" s="481" t="n"/>
      <c r="R23" s="183">
        <f>((L23/I23)^(1/3))-1</f>
        <v/>
      </c>
      <c r="S23" s="183">
        <f>((L23/G23)^(1/5))-1</f>
        <v/>
      </c>
      <c r="T23" s="183">
        <f>IF(C23&gt;0,((L23/C23)^(1/9))-1,"-")</f>
        <v/>
      </c>
      <c r="U23" s="154" t="n"/>
      <c r="W23" s="163" t="n"/>
    </row>
    <row r="24" ht="13.5" customHeight="1" thickBot="1">
      <c r="A24" s="473" t="n"/>
      <c r="C24" s="154" t="n"/>
      <c r="G24" s="487" t="n"/>
      <c r="H24" s="487" t="n"/>
      <c r="I24" s="487" t="n"/>
      <c r="J24" s="487" t="n"/>
      <c r="K24" s="487" t="n"/>
      <c r="L24" s="488" t="n"/>
      <c r="M24" s="476" t="n"/>
      <c r="N24" s="477" t="n"/>
      <c r="O24" s="478" t="n"/>
      <c r="P24" s="479" t="n"/>
      <c r="Q24" s="474" t="n"/>
      <c r="R24" s="376" t="n"/>
      <c r="S24" s="376" t="n"/>
      <c r="U24" s="154" t="n"/>
      <c r="W24" s="163" t="n"/>
    </row>
    <row r="25">
      <c r="A25" s="489" t="inlineStr">
        <is>
          <t>RATIOS</t>
        </is>
      </c>
      <c r="B25" s="190" t="n"/>
      <c r="C25" s="189" t="n"/>
      <c r="D25" s="190" t="n"/>
      <c r="E25" s="190" t="n"/>
      <c r="F25" s="190" t="n"/>
      <c r="G25" s="490" t="n"/>
      <c r="H25" s="490" t="n"/>
      <c r="I25" s="490" t="n"/>
      <c r="J25" s="490" t="n"/>
      <c r="K25" s="490" t="n"/>
      <c r="L25" s="491" t="n"/>
      <c r="M25" s="492" t="n"/>
      <c r="N25" s="493" t="n"/>
      <c r="O25" s="494" t="n"/>
      <c r="P25" s="495" t="n"/>
      <c r="Q25" s="496" t="n"/>
      <c r="R25" s="235" t="n"/>
      <c r="S25" s="235" t="n"/>
      <c r="T25" s="190" t="n"/>
      <c r="U25" s="154" t="n"/>
      <c r="W25" s="163" t="n"/>
    </row>
    <row r="26">
      <c r="A26" s="473" t="inlineStr">
        <is>
          <t>GPM</t>
        </is>
      </c>
      <c r="B26" s="143" t="inlineStr">
        <is>
          <t>%</t>
        </is>
      </c>
      <c r="C26" s="205">
        <f>C11/C$9</f>
        <v/>
      </c>
      <c r="D26" s="376">
        <f>D11/D$9</f>
        <v/>
      </c>
      <c r="E26" s="376">
        <f>E11/E$9</f>
        <v/>
      </c>
      <c r="F26" s="376">
        <f>F11/F$9</f>
        <v/>
      </c>
      <c r="G26" s="376">
        <f>G11/G$9</f>
        <v/>
      </c>
      <c r="H26" s="376">
        <f>H11/H$9</f>
        <v/>
      </c>
      <c r="I26" s="376">
        <f>I11/I$9</f>
        <v/>
      </c>
      <c r="J26" s="376">
        <f>J11/J$9</f>
        <v/>
      </c>
      <c r="K26" s="376">
        <f>K11/K$9</f>
        <v/>
      </c>
      <c r="L26" s="376">
        <f>L11/L$9</f>
        <v/>
      </c>
      <c r="M26" s="476" t="n"/>
      <c r="N26" s="477" t="n"/>
      <c r="O26" s="478" t="n"/>
      <c r="P26" s="236" t="n"/>
      <c r="Q26" s="205" t="n"/>
      <c r="R26" s="237">
        <f>AVERAGE(J26:L26)</f>
        <v/>
      </c>
      <c r="S26" s="237">
        <f>AVERAGE(H26:L26)</f>
        <v/>
      </c>
      <c r="T26" s="237">
        <f>AVERAGE(C26:L26)</f>
        <v/>
      </c>
      <c r="U26" s="154" t="n"/>
      <c r="W26" s="163" t="n"/>
    </row>
    <row r="27">
      <c r="A27" s="473" t="inlineStr">
        <is>
          <t>EBITDAM</t>
        </is>
      </c>
      <c r="B27" s="143" t="inlineStr">
        <is>
          <t>%</t>
        </is>
      </c>
      <c r="C27" s="205">
        <f>C13/C$9</f>
        <v/>
      </c>
      <c r="D27" s="376">
        <f>D13/D$9</f>
        <v/>
      </c>
      <c r="E27" s="376">
        <f>E13/E$9</f>
        <v/>
      </c>
      <c r="F27" s="376">
        <f>F13/F$9</f>
        <v/>
      </c>
      <c r="G27" s="376">
        <f>G13/G$9</f>
        <v/>
      </c>
      <c r="H27" s="376">
        <f>H13/H$9</f>
        <v/>
      </c>
      <c r="I27" s="376">
        <f>I13/I$9</f>
        <v/>
      </c>
      <c r="J27" s="376">
        <f>J13/J$9</f>
        <v/>
      </c>
      <c r="K27" s="376">
        <f>K13/K$9</f>
        <v/>
      </c>
      <c r="L27" s="376">
        <f>L13/L$9</f>
        <v/>
      </c>
      <c r="M27" s="238">
        <f>M13/M$9</f>
        <v/>
      </c>
      <c r="N27" s="239">
        <f>N13/N$9</f>
        <v/>
      </c>
      <c r="O27" s="240">
        <f>O13/O$9</f>
        <v/>
      </c>
      <c r="P27" s="236">
        <f>P13/P$9</f>
        <v/>
      </c>
      <c r="Q27" s="205" t="n"/>
      <c r="R27" s="237">
        <f>AVERAGE(J27:L27)</f>
        <v/>
      </c>
      <c r="S27" s="237">
        <f>AVERAGE(H27:L27)</f>
        <v/>
      </c>
      <c r="T27" s="237">
        <f>AVERAGE(C27:L27)</f>
        <v/>
      </c>
      <c r="U27" s="241">
        <f>R27</f>
        <v/>
      </c>
      <c r="V27" s="242">
        <f>U27</f>
        <v/>
      </c>
      <c r="W27" s="243">
        <f>V27</f>
        <v/>
      </c>
    </row>
    <row r="28" outlineLevel="1">
      <c r="A28" s="473" t="inlineStr">
        <is>
          <t>Depn / Net Assets</t>
        </is>
      </c>
      <c r="B28" s="143" t="inlineStr">
        <is>
          <t>%</t>
        </is>
      </c>
      <c r="C28" s="205">
        <f>C16/(C45+C46)</f>
        <v/>
      </c>
      <c r="D28" s="376">
        <f>D16/(D45+D46)</f>
        <v/>
      </c>
      <c r="E28" s="376">
        <f>E16/(E45+E46)</f>
        <v/>
      </c>
      <c r="F28" s="376">
        <f>F16/(F45+F46)</f>
        <v/>
      </c>
      <c r="G28" s="376">
        <f>G16/(G45+G46)</f>
        <v/>
      </c>
      <c r="H28" s="376">
        <f>H16/(H45+H46)</f>
        <v/>
      </c>
      <c r="I28" s="376">
        <f>I16/(I45+I46)</f>
        <v/>
      </c>
      <c r="J28" s="376">
        <f>J16/(J45+J46)</f>
        <v/>
      </c>
      <c r="K28" s="376">
        <f>K16/(K45+K46)</f>
        <v/>
      </c>
      <c r="L28" s="376">
        <f>L16/(L45+L46)</f>
        <v/>
      </c>
      <c r="M28" s="238">
        <f>M16/(M45+M46)</f>
        <v/>
      </c>
      <c r="N28" s="239">
        <f>N16/(N45+N46)</f>
        <v/>
      </c>
      <c r="O28" s="240">
        <f>O16/(O45+O46)</f>
        <v/>
      </c>
      <c r="P28" s="236" t="n"/>
      <c r="Q28" s="244">
        <f>AVERAGE(M28:O28)</f>
        <v/>
      </c>
      <c r="R28" s="245">
        <f>AVERAGE(J28:L28)</f>
        <v/>
      </c>
      <c r="S28" s="245">
        <f>AVERAGE(H28:L28)</f>
        <v/>
      </c>
      <c r="T28" s="245">
        <f>AVERAGE(C28:L28)</f>
        <v/>
      </c>
      <c r="U28" s="211" t="n"/>
      <c r="W28" s="163" t="n"/>
    </row>
    <row r="29" outlineLevel="1">
      <c r="A29" s="473" t="inlineStr">
        <is>
          <t xml:space="preserve">Interest /Total Debt </t>
        </is>
      </c>
      <c r="B29" s="143" t="inlineStr">
        <is>
          <t>%</t>
        </is>
      </c>
      <c r="C29" s="205">
        <f>C17/C42</f>
        <v/>
      </c>
      <c r="D29" s="376">
        <f>D17/D42</f>
        <v/>
      </c>
      <c r="E29" s="376">
        <f>E17/E42</f>
        <v/>
      </c>
      <c r="F29" s="376">
        <f>F17/F42</f>
        <v/>
      </c>
      <c r="G29" s="376">
        <f>G17/G42</f>
        <v/>
      </c>
      <c r="H29" s="376">
        <f>H17/H42</f>
        <v/>
      </c>
      <c r="I29" s="376">
        <f>I17/I42</f>
        <v/>
      </c>
      <c r="J29" s="376">
        <f>J17/J42</f>
        <v/>
      </c>
      <c r="K29" s="376">
        <f>K17/K42</f>
        <v/>
      </c>
      <c r="L29" s="376">
        <f>L17/L42</f>
        <v/>
      </c>
      <c r="M29" s="238">
        <f>M17/M42</f>
        <v/>
      </c>
      <c r="N29" s="239">
        <f>N17/N42</f>
        <v/>
      </c>
      <c r="O29" s="240">
        <f>O17/O42</f>
        <v/>
      </c>
      <c r="P29" s="187" t="n"/>
      <c r="Q29" s="244">
        <f>AVERAGE(M29:O29)</f>
        <v/>
      </c>
      <c r="R29" s="245">
        <f>AVERAGE(J29:L29)</f>
        <v/>
      </c>
      <c r="S29" s="245">
        <f>AVERAGE(H29:L29)</f>
        <v/>
      </c>
      <c r="T29" s="245">
        <f>AVERAGE(C29:L29)</f>
        <v/>
      </c>
      <c r="U29" s="154" t="n"/>
      <c r="W29" s="163" t="n"/>
    </row>
    <row r="30" outlineLevel="1">
      <c r="A30" s="473" t="inlineStr">
        <is>
          <t xml:space="preserve">Tax Rate </t>
        </is>
      </c>
      <c r="B30" s="143" t="inlineStr">
        <is>
          <t>%</t>
        </is>
      </c>
      <c r="C30" s="205">
        <f>C19/C18</f>
        <v/>
      </c>
      <c r="D30" s="376">
        <f>D19/D18</f>
        <v/>
      </c>
      <c r="E30" s="376">
        <f>E19/E18</f>
        <v/>
      </c>
      <c r="F30" s="376">
        <f>F19/F18</f>
        <v/>
      </c>
      <c r="G30" s="376">
        <f>G19/G18</f>
        <v/>
      </c>
      <c r="H30" s="376">
        <f>H19/H18</f>
        <v/>
      </c>
      <c r="I30" s="376">
        <f>I19/I18</f>
        <v/>
      </c>
      <c r="J30" s="376">
        <f>J19/J18</f>
        <v/>
      </c>
      <c r="K30" s="376">
        <f>K19/K18</f>
        <v/>
      </c>
      <c r="L30" s="376">
        <f>L19/L18</f>
        <v/>
      </c>
      <c r="M30" s="238">
        <f>M19/M18</f>
        <v/>
      </c>
      <c r="N30" s="239">
        <f>N19/N18</f>
        <v/>
      </c>
      <c r="O30" s="240">
        <f>O19/O18</f>
        <v/>
      </c>
      <c r="P30" s="236">
        <f>P19/P18</f>
        <v/>
      </c>
      <c r="Q30" s="244">
        <f>AVERAGE(M30:O30)</f>
        <v/>
      </c>
      <c r="R30" s="237">
        <f>AVERAGE(J30:L30)</f>
        <v/>
      </c>
      <c r="S30" s="237">
        <f>AVERAGE(H30:L30)</f>
        <v/>
      </c>
      <c r="T30" s="237">
        <f>AVERAGE(C30:L30)</f>
        <v/>
      </c>
      <c r="U30" s="199">
        <f>R30</f>
        <v/>
      </c>
      <c r="V30" s="242">
        <f>U30</f>
        <v/>
      </c>
      <c r="W30" s="243">
        <f>V30</f>
        <v/>
      </c>
    </row>
    <row r="31">
      <c r="A31" s="473" t="inlineStr">
        <is>
          <t xml:space="preserve">PAT Margins </t>
        </is>
      </c>
      <c r="B31" s="143" t="inlineStr">
        <is>
          <t>%</t>
        </is>
      </c>
      <c r="C31" s="205">
        <f>C20/C$9</f>
        <v/>
      </c>
      <c r="D31" s="376">
        <f>D20/D$9</f>
        <v/>
      </c>
      <c r="E31" s="376">
        <f>E20/E$9</f>
        <v/>
      </c>
      <c r="F31" s="376">
        <f>F20/F$9</f>
        <v/>
      </c>
      <c r="G31" s="376">
        <f>G20/G$9</f>
        <v/>
      </c>
      <c r="H31" s="376">
        <f>H20/H$9</f>
        <v/>
      </c>
      <c r="I31" s="376">
        <f>I20/I$9</f>
        <v/>
      </c>
      <c r="J31" s="376">
        <f>J20/J$9</f>
        <v/>
      </c>
      <c r="K31" s="376">
        <f>K20/K$9</f>
        <v/>
      </c>
      <c r="L31" s="376">
        <f>L20/L$9</f>
        <v/>
      </c>
      <c r="M31" s="238">
        <f>M20/M$9</f>
        <v/>
      </c>
      <c r="N31" s="239">
        <f>N20/N$9</f>
        <v/>
      </c>
      <c r="O31" s="240">
        <f>O20/O$9</f>
        <v/>
      </c>
      <c r="P31" s="236">
        <f>P20/P$9</f>
        <v/>
      </c>
      <c r="Q31" s="205" t="n"/>
      <c r="R31" s="237">
        <f>AVERAGE(J31:L31)</f>
        <v/>
      </c>
      <c r="S31" s="237">
        <f>AVERAGE(H31:L31)</f>
        <v/>
      </c>
      <c r="T31" s="237">
        <f>AVERAGE(C31:L31)</f>
        <v/>
      </c>
      <c r="U31" s="154" t="n"/>
      <c r="W31" s="163" t="n"/>
    </row>
    <row r="32" ht="13.5" customHeight="1" thickBot="1">
      <c r="A32" s="480" t="inlineStr">
        <is>
          <t>Payout Ratio</t>
        </is>
      </c>
      <c r="B32" s="175" t="inlineStr">
        <is>
          <t>%</t>
        </is>
      </c>
      <c r="C32" s="246">
        <f>C23/C22</f>
        <v/>
      </c>
      <c r="D32" s="247">
        <f>D23/D22</f>
        <v/>
      </c>
      <c r="E32" s="247">
        <f>E23/E22</f>
        <v/>
      </c>
      <c r="F32" s="247">
        <f>F23/F22</f>
        <v/>
      </c>
      <c r="G32" s="247">
        <f>G23/G22</f>
        <v/>
      </c>
      <c r="H32" s="247">
        <f>H23/H22</f>
        <v/>
      </c>
      <c r="I32" s="247">
        <f>I23/I22</f>
        <v/>
      </c>
      <c r="J32" s="247">
        <f>J23/J22</f>
        <v/>
      </c>
      <c r="K32" s="247">
        <f>K23/K22</f>
        <v/>
      </c>
      <c r="L32" s="247">
        <f>L23/L22</f>
        <v/>
      </c>
      <c r="M32" s="248">
        <f>M23/M22</f>
        <v/>
      </c>
      <c r="N32" s="249">
        <f>N23/N22</f>
        <v/>
      </c>
      <c r="O32" s="250">
        <f>O23/O22</f>
        <v/>
      </c>
      <c r="P32" s="251" t="n"/>
      <c r="Q32" s="246" t="n"/>
      <c r="R32" s="252">
        <f>AVERAGE(J32:L32)</f>
        <v/>
      </c>
      <c r="S32" s="252">
        <f>AVERAGE(H32:L32)</f>
        <v/>
      </c>
      <c r="T32" s="252">
        <f>AVERAGE(C32:L32)</f>
        <v/>
      </c>
      <c r="U32" s="199">
        <f>R32</f>
        <v/>
      </c>
      <c r="V32" s="242">
        <f>U32</f>
        <v/>
      </c>
      <c r="W32" s="243">
        <f>V32</f>
        <v/>
      </c>
    </row>
    <row r="33" ht="13.5" customHeight="1" thickBot="1">
      <c r="A33" s="473" t="n"/>
      <c r="C33" s="154" t="n"/>
      <c r="H33" s="376" t="n"/>
      <c r="I33" s="376" t="n"/>
      <c r="J33" s="376" t="n"/>
      <c r="K33" s="376" t="n"/>
      <c r="L33" s="253" t="n"/>
      <c r="M33" s="238" t="n"/>
      <c r="N33" s="239" t="n"/>
      <c r="O33" s="240" t="n"/>
      <c r="P33" s="236" t="n"/>
      <c r="Q33" s="205" t="n"/>
      <c r="U33" s="154" t="n"/>
      <c r="W33" s="163" t="n"/>
    </row>
    <row r="34">
      <c r="A34" s="489" t="inlineStr">
        <is>
          <t>Growth - YoY</t>
        </is>
      </c>
      <c r="B34" s="190" t="n"/>
      <c r="C34" s="189" t="n"/>
      <c r="D34" s="190" t="n"/>
      <c r="E34" s="190" t="n"/>
      <c r="F34" s="190" t="n"/>
      <c r="G34" s="190" t="n"/>
      <c r="H34" s="235" t="n"/>
      <c r="I34" s="235" t="n"/>
      <c r="J34" s="235" t="n"/>
      <c r="K34" s="235" t="n"/>
      <c r="L34" s="254" t="n"/>
      <c r="M34" s="255" t="n"/>
      <c r="N34" s="256" t="n"/>
      <c r="O34" s="257" t="n"/>
      <c r="P34" s="258" t="n"/>
      <c r="Q34" s="197" t="n"/>
      <c r="R34" s="190" t="n"/>
      <c r="S34" s="190" t="n"/>
      <c r="T34" s="190" t="n"/>
      <c r="U34" s="154" t="n"/>
      <c r="W34" s="163" t="n"/>
    </row>
    <row r="35">
      <c r="A35" s="473">
        <f>A9</f>
        <v/>
      </c>
      <c r="B35" s="143" t="inlineStr">
        <is>
          <t>%</t>
        </is>
      </c>
      <c r="C35" s="205" t="n"/>
      <c r="D35" s="376">
        <f>D9/C9-1</f>
        <v/>
      </c>
      <c r="E35" s="376">
        <f>E9/D9-1</f>
        <v/>
      </c>
      <c r="F35" s="376">
        <f>F9/E9-1</f>
        <v/>
      </c>
      <c r="G35" s="376">
        <f>G9/F9-1</f>
        <v/>
      </c>
      <c r="H35" s="376">
        <f>H9/G9-1</f>
        <v/>
      </c>
      <c r="I35" s="376">
        <f>I9/H9-1</f>
        <v/>
      </c>
      <c r="J35" s="376">
        <f>J9/I9-1</f>
        <v/>
      </c>
      <c r="K35" s="376">
        <f>K9/J9-1</f>
        <v/>
      </c>
      <c r="L35" s="376">
        <f>L9/K9-1</f>
        <v/>
      </c>
      <c r="M35" s="238">
        <f>M9/L9-1</f>
        <v/>
      </c>
      <c r="N35" s="239">
        <f>N9/M9-1</f>
        <v/>
      </c>
      <c r="O35" s="240">
        <f>O9/N9-1</f>
        <v/>
      </c>
      <c r="P35" s="236">
        <f>P9/L9-1</f>
        <v/>
      </c>
      <c r="Q35" s="205" t="n"/>
      <c r="U35" s="154" t="n"/>
      <c r="W35" s="163" t="n"/>
    </row>
    <row r="36">
      <c r="A36" s="473" t="inlineStr">
        <is>
          <t xml:space="preserve">GP growth </t>
        </is>
      </c>
      <c r="B36" s="143" t="inlineStr">
        <is>
          <t>%</t>
        </is>
      </c>
      <c r="C36" s="154" t="n"/>
      <c r="D36" s="376">
        <f>D11/C11-1</f>
        <v/>
      </c>
      <c r="E36" s="376">
        <f>E11/D11-1</f>
        <v/>
      </c>
      <c r="F36" s="376">
        <f>F11/E11-1</f>
        <v/>
      </c>
      <c r="G36" s="376">
        <f>G11/F11-1</f>
        <v/>
      </c>
      <c r="H36" s="376">
        <f>H11/G11-1</f>
        <v/>
      </c>
      <c r="I36" s="376">
        <f>I11/H11-1</f>
        <v/>
      </c>
      <c r="J36" s="376">
        <f>J11/I11-1</f>
        <v/>
      </c>
      <c r="K36" s="376">
        <f>K11/J11-1</f>
        <v/>
      </c>
      <c r="L36" s="376">
        <f>L11/K11-1</f>
        <v/>
      </c>
      <c r="M36" s="238" t="n"/>
      <c r="N36" s="239" t="n"/>
      <c r="O36" s="240" t="n"/>
      <c r="P36" s="236" t="n"/>
      <c r="Q36" s="205" t="n"/>
      <c r="U36" s="154" t="n"/>
      <c r="W36" s="163" t="n"/>
    </row>
    <row r="37">
      <c r="A37" s="473" t="inlineStr">
        <is>
          <t>EBITDA</t>
        </is>
      </c>
      <c r="B37" s="143" t="inlineStr">
        <is>
          <t>%</t>
        </is>
      </c>
      <c r="C37" s="154" t="n"/>
      <c r="D37" s="376">
        <f>D13/C13-1</f>
        <v/>
      </c>
      <c r="E37" s="376">
        <f>E13/D13-1</f>
        <v/>
      </c>
      <c r="F37" s="376">
        <f>F13/E13-1</f>
        <v/>
      </c>
      <c r="G37" s="376">
        <f>G13/F13-1</f>
        <v/>
      </c>
      <c r="H37" s="376">
        <f>H13/G13-1</f>
        <v/>
      </c>
      <c r="I37" s="376">
        <f>I13/H13-1</f>
        <v/>
      </c>
      <c r="J37" s="376">
        <f>J13/I13-1</f>
        <v/>
      </c>
      <c r="K37" s="376">
        <f>K13/J13-1</f>
        <v/>
      </c>
      <c r="L37" s="376">
        <f>L13/K13-1</f>
        <v/>
      </c>
      <c r="M37" s="238">
        <f>M13/L13-1</f>
        <v/>
      </c>
      <c r="N37" s="239">
        <f>N13/M13-1</f>
        <v/>
      </c>
      <c r="O37" s="240">
        <f>O13/N13-1</f>
        <v/>
      </c>
      <c r="P37" s="236">
        <f>P13/L13-1</f>
        <v/>
      </c>
      <c r="Q37" s="205" t="n"/>
      <c r="U37" s="154" t="n"/>
      <c r="W37" s="163" t="n"/>
    </row>
    <row r="38" ht="13.5" customHeight="1" thickBot="1">
      <c r="A38" s="480" t="inlineStr">
        <is>
          <t xml:space="preserve">PAT </t>
        </is>
      </c>
      <c r="B38" s="175" t="inlineStr">
        <is>
          <t>%</t>
        </is>
      </c>
      <c r="C38" s="174" t="n"/>
      <c r="D38" s="247">
        <f>D20/C20-1</f>
        <v/>
      </c>
      <c r="E38" s="247">
        <f>E20/D20-1</f>
        <v/>
      </c>
      <c r="F38" s="247">
        <f>F20/E20-1</f>
        <v/>
      </c>
      <c r="G38" s="247">
        <f>G20/F20-1</f>
        <v/>
      </c>
      <c r="H38" s="247">
        <f>H20/G20-1</f>
        <v/>
      </c>
      <c r="I38" s="247">
        <f>I20/H20-1</f>
        <v/>
      </c>
      <c r="J38" s="247">
        <f>J20/I20-1</f>
        <v/>
      </c>
      <c r="K38" s="247">
        <f>K20/J20-1</f>
        <v/>
      </c>
      <c r="L38" s="247">
        <f>L20/K20-1</f>
        <v/>
      </c>
      <c r="M38" s="248">
        <f>M20/L20-1</f>
        <v/>
      </c>
      <c r="N38" s="249">
        <f>N20/M20-1</f>
        <v/>
      </c>
      <c r="O38" s="250">
        <f>O20/N20-1</f>
        <v/>
      </c>
      <c r="P38" s="251">
        <f>P20/L20-1</f>
        <v/>
      </c>
      <c r="Q38" s="246" t="n"/>
      <c r="R38" s="175" t="n"/>
      <c r="S38" s="175" t="n"/>
      <c r="T38" s="175" t="n"/>
      <c r="U38" s="154" t="n"/>
      <c r="W38" s="163" t="n"/>
    </row>
    <row r="39" ht="13.5" customHeight="1" thickBot="1">
      <c r="A39" s="473" t="n"/>
      <c r="C39" s="154" t="n"/>
      <c r="D39" s="376" t="n"/>
      <c r="E39" s="376" t="n"/>
      <c r="F39" s="376" t="n"/>
      <c r="G39" s="376" t="n"/>
      <c r="H39" s="376" t="n"/>
      <c r="I39" s="376" t="n"/>
      <c r="J39" s="376" t="n"/>
      <c r="K39" s="376" t="n"/>
      <c r="L39" s="253" t="n"/>
      <c r="M39" s="238" t="n"/>
      <c r="N39" s="239" t="n"/>
      <c r="O39" s="240" t="n"/>
      <c r="P39" s="236" t="n"/>
      <c r="Q39" s="205" t="n"/>
      <c r="U39" s="154" t="n"/>
      <c r="W39" s="163" t="n"/>
    </row>
    <row r="40">
      <c r="A40" s="489" t="inlineStr">
        <is>
          <t>BALANCE SHEET</t>
        </is>
      </c>
      <c r="B40" s="190" t="n"/>
      <c r="C40" s="189" t="n"/>
      <c r="D40" s="235" t="n"/>
      <c r="E40" s="235" t="n"/>
      <c r="F40" s="235" t="n"/>
      <c r="G40" s="235" t="n"/>
      <c r="H40" s="235" t="n"/>
      <c r="I40" s="235" t="n"/>
      <c r="J40" s="235" t="n"/>
      <c r="K40" s="235" t="n"/>
      <c r="L40" s="254" t="n"/>
      <c r="M40" s="255" t="n"/>
      <c r="N40" s="256" t="n"/>
      <c r="O40" s="257" t="n"/>
      <c r="P40" s="258" t="n"/>
      <c r="Q40" s="197" t="n"/>
      <c r="R40" s="190" t="n"/>
      <c r="S40" s="190" t="n"/>
      <c r="T40" s="190" t="n"/>
      <c r="U40" s="154" t="n"/>
      <c r="W40" s="163" t="n"/>
    </row>
    <row r="41">
      <c r="A41" s="473" t="inlineStr">
        <is>
          <t>Networth</t>
        </is>
      </c>
      <c r="B41" s="143" t="inlineStr">
        <is>
          <t>Cr</t>
        </is>
      </c>
      <c r="C41" s="206">
        <f>'Data Sheet'!B57+'Data Sheet'!B58</f>
        <v/>
      </c>
      <c r="D41" s="210">
        <f>'Data Sheet'!C57+'Data Sheet'!C58</f>
        <v/>
      </c>
      <c r="E41" s="210">
        <f>'Data Sheet'!D57+'Data Sheet'!D58</f>
        <v/>
      </c>
      <c r="F41" s="210">
        <f>'Data Sheet'!E57+'Data Sheet'!E58</f>
        <v/>
      </c>
      <c r="G41" s="210">
        <f>'Data Sheet'!F57+'Data Sheet'!F58</f>
        <v/>
      </c>
      <c r="H41" s="210">
        <f>'Data Sheet'!G57+'Data Sheet'!G58</f>
        <v/>
      </c>
      <c r="I41" s="210">
        <f>'Data Sheet'!H57+'Data Sheet'!H58</f>
        <v/>
      </c>
      <c r="J41" s="210">
        <f>'Data Sheet'!I57+'Data Sheet'!I58</f>
        <v/>
      </c>
      <c r="K41" s="210">
        <f>'Data Sheet'!J57+'Data Sheet'!J58</f>
        <v/>
      </c>
      <c r="L41" s="259">
        <f>'Data Sheet'!K57+'Data Sheet'!K58</f>
        <v/>
      </c>
      <c r="M41" s="158">
        <f>L41+M20-M5*M23</f>
        <v/>
      </c>
      <c r="N41" s="159">
        <f>M41+N20-N5*N23</f>
        <v/>
      </c>
      <c r="O41" s="160">
        <f>N41+O20-O5*O23</f>
        <v/>
      </c>
      <c r="P41" s="187" t="n"/>
      <c r="Q41" s="205">
        <f>((O41/L41)^(1/3))-1</f>
        <v/>
      </c>
      <c r="R41" s="387">
        <f>((L41/I41)^(1/3))-1</f>
        <v/>
      </c>
      <c r="S41" s="387">
        <f>((L41/G41)^(1/5))-1</f>
        <v/>
      </c>
      <c r="T41" s="387">
        <f>IF(C41&gt;0,((L41/C41)^(1/9))-1,"-")</f>
        <v/>
      </c>
      <c r="U41" s="154" t="n"/>
      <c r="W41" s="163" t="n"/>
    </row>
    <row r="42">
      <c r="A42" s="473" t="inlineStr">
        <is>
          <t>Total Debt</t>
        </is>
      </c>
      <c r="B42" s="143" t="inlineStr">
        <is>
          <t>Cr</t>
        </is>
      </c>
      <c r="C42" s="206">
        <f>'Data Sheet'!B59</f>
        <v/>
      </c>
      <c r="D42" s="210">
        <f>'Data Sheet'!C59</f>
        <v/>
      </c>
      <c r="E42" s="210">
        <f>'Data Sheet'!D59</f>
        <v/>
      </c>
      <c r="F42" s="210">
        <f>'Data Sheet'!E59</f>
        <v/>
      </c>
      <c r="G42" s="210">
        <f>'Data Sheet'!F59</f>
        <v/>
      </c>
      <c r="H42" s="210">
        <f>'Data Sheet'!G59</f>
        <v/>
      </c>
      <c r="I42" s="210">
        <f>'Data Sheet'!H59</f>
        <v/>
      </c>
      <c r="J42" s="210">
        <f>'Data Sheet'!I59</f>
        <v/>
      </c>
      <c r="K42" s="210">
        <f>'Data Sheet'!J59</f>
        <v/>
      </c>
      <c r="L42" s="259">
        <f>'Data Sheet'!K59</f>
        <v/>
      </c>
      <c r="M42" s="158">
        <f>(M45+M46+M47+M50)-M41</f>
        <v/>
      </c>
      <c r="N42" s="159">
        <f>(N45+N46+N47+N50)-N41</f>
        <v/>
      </c>
      <c r="O42" s="160">
        <f>(O45+O46+O47+O50)-O41</f>
        <v/>
      </c>
      <c r="P42" s="208">
        <f>L42</f>
        <v/>
      </c>
      <c r="Q42" s="205">
        <f>((O42/L42)^(1/3))-1</f>
        <v/>
      </c>
      <c r="R42" s="387">
        <f>((L42/I42)^(1/3))-1</f>
        <v/>
      </c>
      <c r="S42" s="387">
        <f>((L42/G42)^(1/5))-1</f>
        <v/>
      </c>
      <c r="T42" s="387">
        <f>IF(C42&gt;0,((L42/C42)^(1/9))-1,"-")</f>
        <v/>
      </c>
      <c r="U42" s="154" t="n"/>
      <c r="W42" s="163" t="n"/>
    </row>
    <row r="43">
      <c r="A43" s="497" t="inlineStr">
        <is>
          <t xml:space="preserve">CAPITAL EMPLOYED </t>
        </is>
      </c>
      <c r="B43" s="261" t="inlineStr">
        <is>
          <t>Cr</t>
        </is>
      </c>
      <c r="C43" s="262">
        <f>SUM(C41:C42)</f>
        <v/>
      </c>
      <c r="D43" s="263">
        <f>SUM(D41:D42)</f>
        <v/>
      </c>
      <c r="E43" s="263">
        <f>SUM(E41:E42)</f>
        <v/>
      </c>
      <c r="F43" s="263">
        <f>SUM(F41:F42)</f>
        <v/>
      </c>
      <c r="G43" s="263">
        <f>SUM(G41:G42)</f>
        <v/>
      </c>
      <c r="H43" s="263">
        <f>SUM(H41:H42)</f>
        <v/>
      </c>
      <c r="I43" s="263">
        <f>SUM(I41:I42)</f>
        <v/>
      </c>
      <c r="J43" s="263">
        <f>SUM(J41:J42)</f>
        <v/>
      </c>
      <c r="K43" s="263">
        <f>SUM(K41:K42)</f>
        <v/>
      </c>
      <c r="L43" s="264">
        <f>SUM(L41:L42)</f>
        <v/>
      </c>
      <c r="M43" s="265">
        <f>SUM(M41:M42)</f>
        <v/>
      </c>
      <c r="N43" s="266">
        <f>SUM(N41:N42)</f>
        <v/>
      </c>
      <c r="O43" s="267">
        <f>SUM(O41:O42)</f>
        <v/>
      </c>
      <c r="P43" s="268" t="n"/>
      <c r="Q43" s="205">
        <f>((O43/L43)^(1/3))-1</f>
        <v/>
      </c>
      <c r="R43" s="387">
        <f>((L43/I43)^(1/3))-1</f>
        <v/>
      </c>
      <c r="S43" s="387">
        <f>((L43/G43)^(1/5))-1</f>
        <v/>
      </c>
      <c r="T43" s="387">
        <f>IF(C43&gt;0,((L43/C43)^(1/9))-1,"-")</f>
        <v/>
      </c>
      <c r="U43" s="154" t="n"/>
      <c r="W43" s="163" t="n"/>
    </row>
    <row r="44">
      <c r="A44" s="473" t="inlineStr">
        <is>
          <t xml:space="preserve">DEPLOYED AS </t>
        </is>
      </c>
      <c r="C44" s="206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59" t="n"/>
      <c r="M44" s="158" t="n"/>
      <c r="N44" s="159" t="n"/>
      <c r="O44" s="160" t="n"/>
      <c r="P44" s="187" t="n"/>
      <c r="Q44" s="154" t="n"/>
      <c r="R44" s="376" t="n"/>
      <c r="S44" s="376" t="n"/>
      <c r="U44" s="154" t="n"/>
      <c r="W44" s="163" t="n"/>
    </row>
    <row r="45">
      <c r="A45" s="473" t="inlineStr">
        <is>
          <t>Net Block</t>
        </is>
      </c>
      <c r="B45" s="143" t="inlineStr">
        <is>
          <t>Cr</t>
        </is>
      </c>
      <c r="C45" s="206">
        <f>'Data Sheet'!B62</f>
        <v/>
      </c>
      <c r="D45" s="210">
        <f>'Data Sheet'!C62</f>
        <v/>
      </c>
      <c r="E45" s="210">
        <f>'Data Sheet'!D62</f>
        <v/>
      </c>
      <c r="F45" s="210">
        <f>'Data Sheet'!E62</f>
        <v/>
      </c>
      <c r="G45" s="210">
        <f>'Data Sheet'!F62</f>
        <v/>
      </c>
      <c r="H45" s="210">
        <f>'Data Sheet'!G62</f>
        <v/>
      </c>
      <c r="I45" s="210">
        <f>'Data Sheet'!H62</f>
        <v/>
      </c>
      <c r="J45" s="210">
        <f>'Data Sheet'!I62</f>
        <v/>
      </c>
      <c r="K45" s="210">
        <f>'Data Sheet'!J62</f>
        <v/>
      </c>
      <c r="L45" s="259">
        <f>'Data Sheet'!K62</f>
        <v/>
      </c>
      <c r="M45" s="158">
        <f>L45+M65-M16</f>
        <v/>
      </c>
      <c r="N45" s="159">
        <f>M45+N65-N16</f>
        <v/>
      </c>
      <c r="O45" s="160">
        <f>N45+O65-O16</f>
        <v/>
      </c>
      <c r="P45" s="187" t="n"/>
      <c r="Q45" s="205">
        <f>((O45/L45)^(1/3))-1</f>
        <v/>
      </c>
      <c r="R45" s="387">
        <f>((L45/I45)^(1/3))-1</f>
        <v/>
      </c>
      <c r="S45" s="387">
        <f>((L45/G45)^(1/5))-1</f>
        <v/>
      </c>
      <c r="T45" s="387">
        <f>IF(C45&gt;0,((L45/C45)^(1/9))-1,"-")</f>
        <v/>
      </c>
      <c r="U45" s="154" t="n"/>
      <c r="W45" s="163" t="n"/>
    </row>
    <row r="46">
      <c r="A46" s="473" t="inlineStr">
        <is>
          <t>Capital WIP</t>
        </is>
      </c>
      <c r="B46" s="143" t="inlineStr">
        <is>
          <t>Cr</t>
        </is>
      </c>
      <c r="C46" s="206">
        <f>'Data Sheet'!B63</f>
        <v/>
      </c>
      <c r="D46" s="210">
        <f>'Data Sheet'!C63</f>
        <v/>
      </c>
      <c r="E46" s="210">
        <f>'Data Sheet'!D63</f>
        <v/>
      </c>
      <c r="F46" s="210">
        <f>'Data Sheet'!E63</f>
        <v/>
      </c>
      <c r="G46" s="210">
        <f>'Data Sheet'!F63</f>
        <v/>
      </c>
      <c r="H46" s="210">
        <f>'Data Sheet'!G63</f>
        <v/>
      </c>
      <c r="I46" s="210">
        <f>'Data Sheet'!H63</f>
        <v/>
      </c>
      <c r="J46" s="210">
        <f>'Data Sheet'!I63</f>
        <v/>
      </c>
      <c r="K46" s="210">
        <f>'Data Sheet'!J63</f>
        <v/>
      </c>
      <c r="L46" s="259">
        <f>'Data Sheet'!K63</f>
        <v/>
      </c>
      <c r="M46" s="158">
        <f>L46</f>
        <v/>
      </c>
      <c r="N46" s="159">
        <f>M46</f>
        <v/>
      </c>
      <c r="O46" s="160">
        <f>N46</f>
        <v/>
      </c>
      <c r="P46" s="187" t="n"/>
      <c r="Q46" s="205">
        <f>((O46/L46)^(1/3))-1</f>
        <v/>
      </c>
      <c r="R46" s="387">
        <f>((L46/I46)^(1/3))-1</f>
        <v/>
      </c>
      <c r="S46" s="387">
        <f>((L46/G46)^(1/5))-1</f>
        <v/>
      </c>
      <c r="T46" s="387">
        <f>IF(C46&gt;0,((L46/C46)^(1/9))-1,"-")</f>
        <v/>
      </c>
      <c r="U46" s="154" t="n"/>
      <c r="W46" s="163" t="n"/>
    </row>
    <row r="47">
      <c r="A47" s="473" t="inlineStr">
        <is>
          <t>Investments</t>
        </is>
      </c>
      <c r="B47" s="143" t="inlineStr">
        <is>
          <t>Cr</t>
        </is>
      </c>
      <c r="C47" s="206">
        <f>'Data Sheet'!B64</f>
        <v/>
      </c>
      <c r="D47" s="210">
        <f>'Data Sheet'!C64</f>
        <v/>
      </c>
      <c r="E47" s="210">
        <f>'Data Sheet'!D64</f>
        <v/>
      </c>
      <c r="F47" s="210">
        <f>'Data Sheet'!E64</f>
        <v/>
      </c>
      <c r="G47" s="210">
        <f>'Data Sheet'!F64</f>
        <v/>
      </c>
      <c r="H47" s="210">
        <f>'Data Sheet'!G64</f>
        <v/>
      </c>
      <c r="I47" s="210">
        <f>'Data Sheet'!H64</f>
        <v/>
      </c>
      <c r="J47" s="210">
        <f>'Data Sheet'!I64</f>
        <v/>
      </c>
      <c r="K47" s="210">
        <f>'Data Sheet'!J64</f>
        <v/>
      </c>
      <c r="L47" s="259">
        <f>'Data Sheet'!K64</f>
        <v/>
      </c>
      <c r="M47" s="158">
        <f>L47</f>
        <v/>
      </c>
      <c r="N47" s="159">
        <f>M47</f>
        <v/>
      </c>
      <c r="O47" s="160">
        <f>N47</f>
        <v/>
      </c>
      <c r="P47" s="187" t="n"/>
      <c r="Q47" s="154" t="n"/>
      <c r="R47" s="376" t="n"/>
      <c r="S47" s="376" t="n"/>
      <c r="U47" s="154" t="n"/>
      <c r="W47" s="163" t="n"/>
    </row>
    <row r="48">
      <c r="A48" s="473" t="inlineStr">
        <is>
          <t xml:space="preserve">  Other Assets</t>
        </is>
      </c>
      <c r="B48" s="143" t="inlineStr">
        <is>
          <t>Cr</t>
        </is>
      </c>
      <c r="C48" s="206">
        <f>'Data Sheet'!B65</f>
        <v/>
      </c>
      <c r="D48" s="210">
        <f>'Data Sheet'!C65</f>
        <v/>
      </c>
      <c r="E48" s="210">
        <f>'Data Sheet'!D65</f>
        <v/>
      </c>
      <c r="F48" s="210">
        <f>'Data Sheet'!E65</f>
        <v/>
      </c>
      <c r="G48" s="210">
        <f>'Data Sheet'!F65</f>
        <v/>
      </c>
      <c r="H48" s="210">
        <f>'Data Sheet'!G65</f>
        <v/>
      </c>
      <c r="I48" s="210">
        <f>'Data Sheet'!H65</f>
        <v/>
      </c>
      <c r="J48" s="210">
        <f>'Data Sheet'!I65</f>
        <v/>
      </c>
      <c r="K48" s="210">
        <f>'Data Sheet'!J65</f>
        <v/>
      </c>
      <c r="L48" s="259">
        <f>'Data Sheet'!K65</f>
        <v/>
      </c>
      <c r="M48" s="158" t="n"/>
      <c r="N48" s="159" t="n"/>
      <c r="O48" s="160" t="n"/>
      <c r="P48" s="187" t="n"/>
      <c r="Q48" s="154" t="n"/>
      <c r="R48" s="387">
        <f>((L48/I48)^(1/3))-1</f>
        <v/>
      </c>
      <c r="S48" s="387">
        <f>((L48/G48)^(1/5))-1</f>
        <v/>
      </c>
      <c r="T48" s="387">
        <f>IF(C48&gt;0,((L48/C48)^(1/9))-1,"-")</f>
        <v/>
      </c>
      <c r="U48" s="154" t="n"/>
      <c r="W48" s="163" t="n"/>
    </row>
    <row r="49">
      <c r="A49" s="473" t="inlineStr">
        <is>
          <t xml:space="preserve">  Other Liabilities</t>
        </is>
      </c>
      <c r="B49" s="143" t="inlineStr">
        <is>
          <t>Cr</t>
        </is>
      </c>
      <c r="C49" s="206">
        <f>'Data Sheet'!B60</f>
        <v/>
      </c>
      <c r="D49" s="210">
        <f>'Data Sheet'!C60</f>
        <v/>
      </c>
      <c r="E49" s="210">
        <f>'Data Sheet'!D60</f>
        <v/>
      </c>
      <c r="F49" s="210">
        <f>'Data Sheet'!E60</f>
        <v/>
      </c>
      <c r="G49" s="210">
        <f>'Data Sheet'!F60</f>
        <v/>
      </c>
      <c r="H49" s="210">
        <f>'Data Sheet'!G60</f>
        <v/>
      </c>
      <c r="I49" s="210">
        <f>'Data Sheet'!H60</f>
        <v/>
      </c>
      <c r="J49" s="210">
        <f>'Data Sheet'!I60</f>
        <v/>
      </c>
      <c r="K49" s="210">
        <f>'Data Sheet'!J60</f>
        <v/>
      </c>
      <c r="L49" s="259">
        <f>'Data Sheet'!K60</f>
        <v/>
      </c>
      <c r="M49" s="158" t="n"/>
      <c r="N49" s="159" t="n"/>
      <c r="O49" s="160" t="n"/>
      <c r="P49" s="187" t="n"/>
      <c r="Q49" s="154" t="n"/>
      <c r="R49" s="387">
        <f>((L49/I49)^(1/3))-1</f>
        <v/>
      </c>
      <c r="S49" s="387">
        <f>((L49/G49)^(1/5))-1</f>
        <v/>
      </c>
      <c r="T49" s="387">
        <f>IF(C49&gt;0,((L49/C49)^(1/9))-1,"-")</f>
        <v/>
      </c>
      <c r="U49" s="154" t="n"/>
      <c r="W49" s="163" t="n"/>
    </row>
    <row r="50">
      <c r="A50" s="497" t="inlineStr">
        <is>
          <t xml:space="preserve">Working Capital </t>
        </is>
      </c>
      <c r="B50" s="261" t="inlineStr">
        <is>
          <t>Cr</t>
        </is>
      </c>
      <c r="C50" s="262">
        <f>C48-C49</f>
        <v/>
      </c>
      <c r="D50" s="263">
        <f>D48-D49</f>
        <v/>
      </c>
      <c r="E50" s="263">
        <f>E48-E49</f>
        <v/>
      </c>
      <c r="F50" s="263">
        <f>F48-F49</f>
        <v/>
      </c>
      <c r="G50" s="263">
        <f>G48-G49</f>
        <v/>
      </c>
      <c r="H50" s="263">
        <f>H48-H49</f>
        <v/>
      </c>
      <c r="I50" s="263">
        <f>I48-I49</f>
        <v/>
      </c>
      <c r="J50" s="263">
        <f>J48-J49</f>
        <v/>
      </c>
      <c r="K50" s="263">
        <f>K48-K49</f>
        <v/>
      </c>
      <c r="L50" s="264">
        <f>L48-L49</f>
        <v/>
      </c>
      <c r="M50" s="265">
        <f>M9*$U71</f>
        <v/>
      </c>
      <c r="N50" s="266">
        <f>N9*$V71</f>
        <v/>
      </c>
      <c r="O50" s="267">
        <f>O9*$W71</f>
        <v/>
      </c>
      <c r="P50" s="498" t="n"/>
      <c r="Q50" s="499" t="n"/>
      <c r="R50" s="387">
        <f>((L50/I50)^(1/3))-1</f>
        <v/>
      </c>
      <c r="S50" s="387">
        <f>((L50/G50)^(1/5))-1</f>
        <v/>
      </c>
      <c r="T50" s="387">
        <f>IF(C50&gt;0,((L50/C50)^(1/9))-1,"-")</f>
        <v/>
      </c>
      <c r="U50" s="154" t="n"/>
      <c r="W50" s="163" t="n"/>
    </row>
    <row r="51" ht="13.5" customHeight="1" thickBot="1">
      <c r="A51" s="174" t="inlineStr">
        <is>
          <t>CHECK</t>
        </is>
      </c>
      <c r="B51" s="271" t="n"/>
      <c r="C51" s="272">
        <f>C45+C46+C47+C50-C43</f>
        <v/>
      </c>
      <c r="D51" s="271">
        <f>D45+D46+D47+D50-D43</f>
        <v/>
      </c>
      <c r="E51" s="271">
        <f>E45+E46+E47+E50-E43</f>
        <v/>
      </c>
      <c r="F51" s="271">
        <f>F45+F46+F47+F50-F43</f>
        <v/>
      </c>
      <c r="G51" s="271">
        <f>G45+G46+G47+G50-G43</f>
        <v/>
      </c>
      <c r="H51" s="271">
        <f>H45+H46+H47+H50-H43</f>
        <v/>
      </c>
      <c r="I51" s="271">
        <f>I45+I46+I47+I50-I43</f>
        <v/>
      </c>
      <c r="J51" s="271">
        <f>J45+J46+J47+J50-J43</f>
        <v/>
      </c>
      <c r="K51" s="271">
        <f>K45+K46+K47+K50-K43</f>
        <v/>
      </c>
      <c r="L51" s="273">
        <f>L45+L46+L47+L50-L43</f>
        <v/>
      </c>
      <c r="M51" s="274">
        <f>M45+M46+M47+M50-M43</f>
        <v/>
      </c>
      <c r="N51" s="275">
        <f>N45+N46+N47+N50-N43</f>
        <v/>
      </c>
      <c r="O51" s="276">
        <f>O45+O46+O47+O50-O43</f>
        <v/>
      </c>
      <c r="P51" s="277" t="n"/>
      <c r="Q51" s="174" t="n"/>
      <c r="R51" s="247" t="n"/>
      <c r="S51" s="247" t="n"/>
      <c r="T51" s="175" t="n"/>
      <c r="U51" s="154" t="n"/>
      <c r="W51" s="163" t="n"/>
    </row>
    <row r="52" ht="13.5" customHeight="1" thickBot="1">
      <c r="A52" s="154" t="n"/>
      <c r="B52" s="210" t="n"/>
      <c r="C52" s="206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59" t="n"/>
      <c r="M52" s="158" t="n"/>
      <c r="N52" s="159" t="n"/>
      <c r="O52" s="160" t="n"/>
      <c r="P52" s="187" t="n"/>
      <c r="Q52" s="154" t="n"/>
      <c r="R52" s="376" t="n"/>
      <c r="S52" s="376" t="n"/>
      <c r="U52" s="154" t="n"/>
      <c r="W52" s="163" t="n"/>
    </row>
    <row r="53">
      <c r="A53" s="278">
        <f>'Data Sheet'!A67</f>
        <v/>
      </c>
      <c r="B53" s="190" t="inlineStr">
        <is>
          <t>Cr</t>
        </is>
      </c>
      <c r="C53" s="278">
        <f>'Data Sheet'!B67</f>
        <v/>
      </c>
      <c r="D53" s="279">
        <f>'Data Sheet'!C67</f>
        <v/>
      </c>
      <c r="E53" s="279">
        <f>'Data Sheet'!D67</f>
        <v/>
      </c>
      <c r="F53" s="279">
        <f>'Data Sheet'!E67</f>
        <v/>
      </c>
      <c r="G53" s="279">
        <f>'Data Sheet'!F67</f>
        <v/>
      </c>
      <c r="H53" s="279">
        <f>'Data Sheet'!G67</f>
        <v/>
      </c>
      <c r="I53" s="279">
        <f>'Data Sheet'!H67</f>
        <v/>
      </c>
      <c r="J53" s="279">
        <f>'Data Sheet'!I67</f>
        <v/>
      </c>
      <c r="K53" s="279">
        <f>'Data Sheet'!J67</f>
        <v/>
      </c>
      <c r="L53" s="280">
        <f>'Data Sheet'!K67</f>
        <v/>
      </c>
      <c r="M53" s="281" t="n"/>
      <c r="N53" s="282" t="n"/>
      <c r="O53" s="283" t="n"/>
      <c r="P53" s="284" t="n"/>
      <c r="Q53" s="189" t="n"/>
      <c r="R53" s="198">
        <f>((L53/I53)^(1/3))-1</f>
        <v/>
      </c>
      <c r="S53" s="198">
        <f>((L53/G53)^(1/5))-1</f>
        <v/>
      </c>
      <c r="T53" s="198">
        <f>IF(C53&gt;0,((L53/C53)^(1/9))-1,"-")</f>
        <v/>
      </c>
      <c r="U53" s="154" t="n"/>
      <c r="W53" s="163" t="n"/>
    </row>
    <row r="54">
      <c r="A54" s="206">
        <f>'Data Sheet'!A68</f>
        <v/>
      </c>
      <c r="B54" s="143" t="inlineStr">
        <is>
          <t>Cr</t>
        </is>
      </c>
      <c r="C54" s="206">
        <f>'Data Sheet'!B68</f>
        <v/>
      </c>
      <c r="D54" s="210">
        <f>'Data Sheet'!C68</f>
        <v/>
      </c>
      <c r="E54" s="210">
        <f>'Data Sheet'!D68</f>
        <v/>
      </c>
      <c r="F54" s="210">
        <f>'Data Sheet'!E68</f>
        <v/>
      </c>
      <c r="G54" s="210">
        <f>'Data Sheet'!F68</f>
        <v/>
      </c>
      <c r="H54" s="210">
        <f>'Data Sheet'!G68</f>
        <v/>
      </c>
      <c r="I54" s="210">
        <f>'Data Sheet'!H68</f>
        <v/>
      </c>
      <c r="J54" s="210">
        <f>'Data Sheet'!I68</f>
        <v/>
      </c>
      <c r="K54" s="210">
        <f>'Data Sheet'!J68</f>
        <v/>
      </c>
      <c r="L54" s="259">
        <f>'Data Sheet'!K68</f>
        <v/>
      </c>
      <c r="M54" s="158" t="n"/>
      <c r="N54" s="159" t="n"/>
      <c r="O54" s="160" t="n"/>
      <c r="P54" s="187" t="n"/>
      <c r="Q54" s="154" t="n"/>
      <c r="R54" s="387">
        <f>((L54/I54)^(1/3))-1</f>
        <v/>
      </c>
      <c r="S54" s="387">
        <f>((L54/G54)^(1/5))-1</f>
        <v/>
      </c>
      <c r="T54" s="387">
        <f>IF(C54&gt;0,((L54/C54)^(1/9))-1,"-")</f>
        <v/>
      </c>
      <c r="U54" s="154" t="n"/>
      <c r="W54" s="163" t="n"/>
    </row>
    <row r="55" ht="13.5" customHeight="1" thickBot="1">
      <c r="A55" s="272">
        <f>'Data Sheet'!A69</f>
        <v/>
      </c>
      <c r="B55" s="175" t="inlineStr">
        <is>
          <t>Cr</t>
        </is>
      </c>
      <c r="C55" s="272">
        <f>'Data Sheet'!B69</f>
        <v/>
      </c>
      <c r="D55" s="271">
        <f>'Data Sheet'!C69</f>
        <v/>
      </c>
      <c r="E55" s="271">
        <f>'Data Sheet'!D69</f>
        <v/>
      </c>
      <c r="F55" s="271">
        <f>'Data Sheet'!E69</f>
        <v/>
      </c>
      <c r="G55" s="271">
        <f>'Data Sheet'!F69</f>
        <v/>
      </c>
      <c r="H55" s="271">
        <f>'Data Sheet'!G69</f>
        <v/>
      </c>
      <c r="I55" s="271">
        <f>'Data Sheet'!H69</f>
        <v/>
      </c>
      <c r="J55" s="271">
        <f>'Data Sheet'!I69</f>
        <v/>
      </c>
      <c r="K55" s="271">
        <f>'Data Sheet'!J69</f>
        <v/>
      </c>
      <c r="L55" s="273">
        <f>'Data Sheet'!K69</f>
        <v/>
      </c>
      <c r="M55" s="274" t="n"/>
      <c r="N55" s="275" t="n"/>
      <c r="O55" s="276" t="n"/>
      <c r="P55" s="277" t="n"/>
      <c r="Q55" s="174" t="n"/>
      <c r="R55" s="183">
        <f>((L55/I55)^(1/3))-1</f>
        <v/>
      </c>
      <c r="S55" s="183">
        <f>((L55/G55)^(1/5))-1</f>
        <v/>
      </c>
      <c r="T55" s="183">
        <f>IF(C55&gt;0,((L55/C55)^(1/9))-1,"-")</f>
        <v/>
      </c>
      <c r="U55" s="154" t="n"/>
      <c r="W55" s="163" t="n"/>
    </row>
    <row r="56" ht="13.5" customHeight="1" thickBot="1">
      <c r="A56" s="154" t="n"/>
      <c r="C56" s="154" t="n"/>
      <c r="L56" s="163" t="n"/>
      <c r="M56" s="184" t="n"/>
      <c r="N56" s="185" t="n"/>
      <c r="O56" s="186" t="n"/>
      <c r="P56" s="187" t="n"/>
      <c r="Q56" s="154" t="n"/>
      <c r="U56" s="154" t="n"/>
      <c r="W56" s="163" t="n"/>
    </row>
    <row r="57">
      <c r="A57" s="285" t="inlineStr">
        <is>
          <t>Growth - YoY</t>
        </is>
      </c>
      <c r="B57" s="190" t="n"/>
      <c r="C57" s="189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286" t="n"/>
      <c r="M57" s="287" t="n"/>
      <c r="N57" s="288" t="n"/>
      <c r="O57" s="289" t="n"/>
      <c r="P57" s="284" t="n"/>
      <c r="Q57" s="189" t="n"/>
      <c r="R57" s="190" t="n"/>
      <c r="S57" s="190" t="n"/>
      <c r="T57" s="286" t="n"/>
      <c r="U57" s="154" t="n"/>
      <c r="W57" s="163" t="n"/>
    </row>
    <row r="58">
      <c r="A58" s="154" t="inlineStr">
        <is>
          <t>Networth</t>
        </is>
      </c>
      <c r="B58" s="143" t="inlineStr">
        <is>
          <t>%</t>
        </is>
      </c>
      <c r="C58" s="205" t="n"/>
      <c r="D58" s="387">
        <f>D41/C41-1</f>
        <v/>
      </c>
      <c r="E58" s="376">
        <f>E41/D41-1</f>
        <v/>
      </c>
      <c r="F58" s="376">
        <f>F41/E41-1</f>
        <v/>
      </c>
      <c r="G58" s="376">
        <f>G41/F41-1</f>
        <v/>
      </c>
      <c r="H58" s="376">
        <f>H41/G41-1</f>
        <v/>
      </c>
      <c r="I58" s="376">
        <f>I41/H41-1</f>
        <v/>
      </c>
      <c r="J58" s="376">
        <f>J41/I41-1</f>
        <v/>
      </c>
      <c r="K58" s="376">
        <f>K41/J41-1</f>
        <v/>
      </c>
      <c r="L58" s="376">
        <f>L41/K41-1</f>
        <v/>
      </c>
      <c r="M58" s="184" t="n"/>
      <c r="N58" s="185" t="n"/>
      <c r="O58" s="186" t="n"/>
      <c r="P58" s="187" t="n"/>
      <c r="Q58" s="154" t="n"/>
      <c r="T58" s="163" t="n"/>
      <c r="U58" s="154" t="n"/>
      <c r="W58" s="163" t="n"/>
    </row>
    <row r="59">
      <c r="A59" s="154" t="inlineStr">
        <is>
          <t>Total Debt</t>
        </is>
      </c>
      <c r="B59" s="143" t="inlineStr">
        <is>
          <t>%</t>
        </is>
      </c>
      <c r="C59" s="205" t="n"/>
      <c r="D59" s="387">
        <f>D42/C42-1</f>
        <v/>
      </c>
      <c r="E59" s="376">
        <f>E42/D42-1</f>
        <v/>
      </c>
      <c r="F59" s="376">
        <f>F42/E42-1</f>
        <v/>
      </c>
      <c r="G59" s="376">
        <f>G42/F42-1</f>
        <v/>
      </c>
      <c r="H59" s="376">
        <f>H42/G42-1</f>
        <v/>
      </c>
      <c r="I59" s="376">
        <f>I42/H42-1</f>
        <v/>
      </c>
      <c r="J59" s="376">
        <f>J42/I42-1</f>
        <v/>
      </c>
      <c r="K59" s="376">
        <f>K42/J42-1</f>
        <v/>
      </c>
      <c r="L59" s="376">
        <f>L42/K42-1</f>
        <v/>
      </c>
      <c r="M59" s="184" t="n"/>
      <c r="N59" s="185" t="n"/>
      <c r="O59" s="186" t="n"/>
      <c r="P59" s="187" t="n"/>
      <c r="Q59" s="154" t="n"/>
      <c r="T59" s="163" t="n"/>
      <c r="U59" s="154" t="n"/>
      <c r="W59" s="163" t="n"/>
    </row>
    <row r="60">
      <c r="A60" s="290" t="inlineStr">
        <is>
          <t xml:space="preserve">Capital Employed </t>
        </is>
      </c>
      <c r="B60" s="143" t="inlineStr">
        <is>
          <t>%</t>
        </is>
      </c>
      <c r="C60" s="205" t="n"/>
      <c r="D60" s="387">
        <f>D43/C43-1</f>
        <v/>
      </c>
      <c r="E60" s="376">
        <f>E43/D43-1</f>
        <v/>
      </c>
      <c r="F60" s="376">
        <f>F43/E43-1</f>
        <v/>
      </c>
      <c r="G60" s="376">
        <f>G43/F43-1</f>
        <v/>
      </c>
      <c r="H60" s="376">
        <f>H43/G43-1</f>
        <v/>
      </c>
      <c r="I60" s="376">
        <f>I43/H43-1</f>
        <v/>
      </c>
      <c r="J60" s="376">
        <f>J43/I43-1</f>
        <v/>
      </c>
      <c r="K60" s="376">
        <f>K43/J43-1</f>
        <v/>
      </c>
      <c r="L60" s="376">
        <f>L43/K43-1</f>
        <v/>
      </c>
      <c r="M60" s="184" t="n"/>
      <c r="N60" s="185" t="n"/>
      <c r="O60" s="186" t="n"/>
      <c r="P60" s="187" t="n"/>
      <c r="Q60" s="154" t="n"/>
      <c r="T60" s="163" t="n"/>
      <c r="U60" s="154" t="n"/>
      <c r="W60" s="163" t="n"/>
    </row>
    <row r="61" ht="13.5" customHeight="1" thickBot="1">
      <c r="A61" s="174" t="inlineStr">
        <is>
          <t xml:space="preserve">Working Capital </t>
        </is>
      </c>
      <c r="B61" s="175" t="inlineStr">
        <is>
          <t>%</t>
        </is>
      </c>
      <c r="C61" s="246" t="n"/>
      <c r="D61" s="183">
        <f>D50/C50-1</f>
        <v/>
      </c>
      <c r="E61" s="247">
        <f>E50/D50-1</f>
        <v/>
      </c>
      <c r="F61" s="247">
        <f>F50/E50-1</f>
        <v/>
      </c>
      <c r="G61" s="247">
        <f>G50/F50-1</f>
        <v/>
      </c>
      <c r="H61" s="247">
        <f>H50/G50-1</f>
        <v/>
      </c>
      <c r="I61" s="247">
        <f>I50/H50-1</f>
        <v/>
      </c>
      <c r="J61" s="247">
        <f>J50/I50-1</f>
        <v/>
      </c>
      <c r="K61" s="247">
        <f>K50/J50-1</f>
        <v/>
      </c>
      <c r="L61" s="247">
        <f>L50/K50-1</f>
        <v/>
      </c>
      <c r="M61" s="291" t="n"/>
      <c r="N61" s="292" t="n"/>
      <c r="O61" s="293" t="n"/>
      <c r="P61" s="277" t="n"/>
      <c r="Q61" s="174" t="n"/>
      <c r="R61" s="175" t="n"/>
      <c r="S61" s="175" t="n"/>
      <c r="T61" s="294" t="n"/>
      <c r="U61" s="154" t="n"/>
      <c r="W61" s="163" t="n"/>
    </row>
    <row r="62" ht="13.5" customHeight="1" thickBot="1">
      <c r="A62" s="154" t="n"/>
      <c r="C62" s="154" t="n"/>
      <c r="G62" s="487" t="n"/>
      <c r="L62" s="163" t="n"/>
      <c r="M62" s="171" t="n"/>
      <c r="N62" s="172" t="n"/>
      <c r="O62" s="173" t="n"/>
      <c r="P62" s="236" t="n"/>
      <c r="Q62" s="205" t="n"/>
      <c r="R62" s="376" t="n"/>
      <c r="S62" s="376" t="n"/>
      <c r="U62" s="154" t="n"/>
      <c r="W62" s="163" t="n"/>
    </row>
    <row r="63">
      <c r="A63" s="285" t="inlineStr">
        <is>
          <t xml:space="preserve">CASH FLOWS </t>
        </is>
      </c>
      <c r="B63" s="190" t="n"/>
      <c r="C63" s="189" t="n"/>
      <c r="D63" s="190" t="n"/>
      <c r="E63" s="190" t="n"/>
      <c r="F63" s="190" t="n"/>
      <c r="G63" s="490" t="n"/>
      <c r="H63" s="190" t="n"/>
      <c r="I63" s="190" t="n"/>
      <c r="J63" s="190" t="n"/>
      <c r="K63" s="190" t="n"/>
      <c r="L63" s="286" t="n"/>
      <c r="M63" s="193" t="n"/>
      <c r="N63" s="194" t="n"/>
      <c r="O63" s="195" t="n"/>
      <c r="P63" s="258" t="n"/>
      <c r="Q63" s="197" t="n"/>
      <c r="R63" s="235" t="n"/>
      <c r="S63" s="235" t="n"/>
      <c r="T63" s="190" t="n"/>
      <c r="U63" s="154" t="n"/>
      <c r="W63" s="163" t="n"/>
    </row>
    <row r="64">
      <c r="A64" s="154" t="inlineStr">
        <is>
          <t>CFO</t>
        </is>
      </c>
      <c r="B64" s="143" t="inlineStr">
        <is>
          <t>Cr</t>
        </is>
      </c>
      <c r="C64" s="206">
        <f>'Data Sheet'!B82</f>
        <v/>
      </c>
      <c r="D64" s="372">
        <f>'Data Sheet'!C82</f>
        <v/>
      </c>
      <c r="E64" s="372">
        <f>'Data Sheet'!D82</f>
        <v/>
      </c>
      <c r="F64" s="372">
        <f>'Data Sheet'!E82</f>
        <v/>
      </c>
      <c r="G64" s="372">
        <f>'Data Sheet'!F82</f>
        <v/>
      </c>
      <c r="H64" s="372">
        <f>'Data Sheet'!G82</f>
        <v/>
      </c>
      <c r="I64" s="372">
        <f>'Data Sheet'!H82</f>
        <v/>
      </c>
      <c r="J64" s="372">
        <f>'Data Sheet'!I82</f>
        <v/>
      </c>
      <c r="K64" s="372">
        <f>'Data Sheet'!J82</f>
        <v/>
      </c>
      <c r="L64" s="372">
        <f>'Data Sheet'!K82</f>
        <v/>
      </c>
      <c r="M64" s="158">
        <f>M13-M19-M50+L50</f>
        <v/>
      </c>
      <c r="N64" s="159">
        <f>N13-N19-N50+M50</f>
        <v/>
      </c>
      <c r="O64" s="160">
        <f>O13-O19-O50+N50</f>
        <v/>
      </c>
      <c r="P64" s="479" t="n"/>
      <c r="Q64" s="205">
        <f>((O64/L64)^(1/3))-1</f>
        <v/>
      </c>
      <c r="R64" s="387">
        <f>((L64/I64)^(1/3))-1</f>
        <v/>
      </c>
      <c r="S64" s="387">
        <f>((L64/G64)^(1/5))-1</f>
        <v/>
      </c>
      <c r="T64" s="387">
        <f>IF(C64&gt;0,((L64/C64)^(1/9))-1,"-")</f>
        <v/>
      </c>
      <c r="U64" s="154" t="n"/>
      <c r="W64" s="163" t="n"/>
    </row>
    <row r="65">
      <c r="A65" s="154" t="inlineStr">
        <is>
          <t>Capital Exp</t>
        </is>
      </c>
      <c r="B65" s="143" t="inlineStr">
        <is>
          <t>Cr</t>
        </is>
      </c>
      <c r="C65" s="206">
        <f>C16</f>
        <v/>
      </c>
      <c r="D65" s="372">
        <f>(D45+D46+D16)-(C45+C46)</f>
        <v/>
      </c>
      <c r="E65" s="372">
        <f>(E45+E46+E16)-(D45+D46)</f>
        <v/>
      </c>
      <c r="F65" s="372">
        <f>(F45+F46+F16)-(E45+E46)</f>
        <v/>
      </c>
      <c r="G65" s="372">
        <f>(G45+G46+G16)-(F45+F46)</f>
        <v/>
      </c>
      <c r="H65" s="372">
        <f>(H45+H46+H16)-(G45+G46)</f>
        <v/>
      </c>
      <c r="I65" s="372">
        <f>(I45+I46+I16)-(H45+H46)</f>
        <v/>
      </c>
      <c r="J65" s="372">
        <f>(J45+J46+J16)-(I45+I46)</f>
        <v/>
      </c>
      <c r="K65" s="372">
        <f>(K45+K46+K16)-(J45+J46)</f>
        <v/>
      </c>
      <c r="L65" s="372">
        <f>(L45+L46+L16)-(K45+K46)</f>
        <v/>
      </c>
      <c r="M65" s="158">
        <f>AVERAGE(J65:L65)</f>
        <v/>
      </c>
      <c r="N65" s="159">
        <f>AVERAGE(K65:M65)</f>
        <v/>
      </c>
      <c r="O65" s="160">
        <f>AVERAGE(L65:N65)</f>
        <v/>
      </c>
      <c r="P65" s="479" t="n"/>
      <c r="Q65" s="205">
        <f>((O65/L65)^(1/3))-1</f>
        <v/>
      </c>
      <c r="R65" s="387">
        <f>((L65/I65)^(1/3))-1</f>
        <v/>
      </c>
      <c r="S65" s="387">
        <f>((L65/G65)^(1/5))-1</f>
        <v/>
      </c>
      <c r="T65" s="387">
        <f>IF(C65&gt;0,((L65/C65)^(1/9))-1,"-")</f>
        <v/>
      </c>
      <c r="U65" s="154" t="n"/>
      <c r="W65" s="163" t="n"/>
    </row>
    <row r="66" ht="13.5" customHeight="1" thickBot="1">
      <c r="A66" s="174" t="inlineStr">
        <is>
          <t>FCF to Equity</t>
        </is>
      </c>
      <c r="B66" s="175" t="inlineStr">
        <is>
          <t>Cr</t>
        </is>
      </c>
      <c r="C66" s="176">
        <f>C64-C65</f>
        <v/>
      </c>
      <c r="D66" s="177">
        <f>D64-D65</f>
        <v/>
      </c>
      <c r="E66" s="177">
        <f>E64-E65</f>
        <v/>
      </c>
      <c r="F66" s="177">
        <f>F64-F65</f>
        <v/>
      </c>
      <c r="G66" s="177">
        <f>G64-G65</f>
        <v/>
      </c>
      <c r="H66" s="177">
        <f>H64-H65</f>
        <v/>
      </c>
      <c r="I66" s="177">
        <f>I64-I65</f>
        <v/>
      </c>
      <c r="J66" s="177">
        <f>J64-J65</f>
        <v/>
      </c>
      <c r="K66" s="177">
        <f>K64-K65</f>
        <v/>
      </c>
      <c r="L66" s="178">
        <f>L64-L65</f>
        <v/>
      </c>
      <c r="M66" s="179">
        <f>M64-M65</f>
        <v/>
      </c>
      <c r="N66" s="180">
        <f>N64-N65</f>
        <v/>
      </c>
      <c r="O66" s="181">
        <f>O64-O65</f>
        <v/>
      </c>
      <c r="P66" s="277" t="n"/>
      <c r="Q66" s="246">
        <f>((O66/L66)^(1/3))-1</f>
        <v/>
      </c>
      <c r="R66" s="183">
        <f>((L66/I66)^(1/3))-1</f>
        <v/>
      </c>
      <c r="S66" s="183">
        <f>((L66/G66)^(1/5))-1</f>
        <v/>
      </c>
      <c r="T66" s="183">
        <f>IF(C66&gt;0,((L66/C66)^(1/9))-1,"-")</f>
        <v/>
      </c>
      <c r="U66" s="154" t="n"/>
      <c r="W66" s="163" t="n"/>
    </row>
    <row r="67" ht="13.5" customHeight="1" thickBot="1">
      <c r="A67" s="154" t="n"/>
      <c r="C67" s="155" t="n"/>
      <c r="D67" s="372" t="n"/>
      <c r="E67" s="372" t="n"/>
      <c r="F67" s="372" t="n"/>
      <c r="G67" s="372" t="n"/>
      <c r="H67" s="372" t="n"/>
      <c r="I67" s="372" t="n"/>
      <c r="J67" s="372" t="n"/>
      <c r="K67" s="372" t="n"/>
      <c r="L67" s="157" t="n"/>
      <c r="M67" s="171" t="n"/>
      <c r="N67" s="172" t="n"/>
      <c r="O67" s="173" t="n"/>
      <c r="P67" s="187" t="n"/>
      <c r="Q67" s="154" t="n"/>
      <c r="R67" s="387" t="n"/>
      <c r="S67" s="387" t="n"/>
      <c r="U67" s="154" t="n"/>
      <c r="W67" s="163" t="n"/>
    </row>
    <row r="68">
      <c r="A68" s="189" t="inlineStr">
        <is>
          <t>Receivable Days</t>
        </is>
      </c>
      <c r="B68" s="295" t="inlineStr">
        <is>
          <t>No</t>
        </is>
      </c>
      <c r="C68" s="296">
        <f>C53/C$9*365</f>
        <v/>
      </c>
      <c r="D68" s="192">
        <f>D53/D$9*365</f>
        <v/>
      </c>
      <c r="E68" s="192">
        <f>E53/E$9*365</f>
        <v/>
      </c>
      <c r="F68" s="192">
        <f>F53/F$9*365</f>
        <v/>
      </c>
      <c r="G68" s="192">
        <f>G53/G$9*365</f>
        <v/>
      </c>
      <c r="H68" s="192">
        <f>H53/H$9*365</f>
        <v/>
      </c>
      <c r="I68" s="192">
        <f>I53/I$9*365</f>
        <v/>
      </c>
      <c r="J68" s="192">
        <f>J53/J$9*365</f>
        <v/>
      </c>
      <c r="K68" s="192">
        <f>K53/K$9*365</f>
        <v/>
      </c>
      <c r="L68" s="192">
        <f>L53/L$9*365</f>
        <v/>
      </c>
      <c r="M68" s="287" t="n"/>
      <c r="N68" s="288" t="n"/>
      <c r="O68" s="289" t="n"/>
      <c r="P68" s="284" t="n"/>
      <c r="Q68" s="189" t="n"/>
      <c r="R68" s="279">
        <f>AVERAGE(J68:L68)</f>
        <v/>
      </c>
      <c r="S68" s="279">
        <f>AVERAGE(H68:L68)</f>
        <v/>
      </c>
      <c r="T68" s="295">
        <f>AVERAGE(C68:L68)</f>
        <v/>
      </c>
      <c r="U68" s="154" t="n"/>
      <c r="W68" s="163" t="n"/>
    </row>
    <row r="69">
      <c r="A69" s="154" t="inlineStr">
        <is>
          <t xml:space="preserve">Inventory Days </t>
        </is>
      </c>
      <c r="B69" s="297" t="inlineStr">
        <is>
          <t>No</t>
        </is>
      </c>
      <c r="C69" s="298">
        <f>C54/C$9*365</f>
        <v/>
      </c>
      <c r="D69" s="372">
        <f>D54/D$9*365</f>
        <v/>
      </c>
      <c r="E69" s="372">
        <f>E54/E$9*365</f>
        <v/>
      </c>
      <c r="F69" s="372">
        <f>F54/F$9*365</f>
        <v/>
      </c>
      <c r="G69" s="372">
        <f>G54/G$9*365</f>
        <v/>
      </c>
      <c r="H69" s="372">
        <f>H54/H$9*365</f>
        <v/>
      </c>
      <c r="I69" s="372">
        <f>I54/I$9*365</f>
        <v/>
      </c>
      <c r="J69" s="372">
        <f>J54/J$9*365</f>
        <v/>
      </c>
      <c r="K69" s="372">
        <f>K54/K$9*365</f>
        <v/>
      </c>
      <c r="L69" s="157">
        <f>L54/L$9*365</f>
        <v/>
      </c>
      <c r="M69" s="185" t="n"/>
      <c r="N69" s="185" t="n"/>
      <c r="O69" s="186" t="n"/>
      <c r="P69" s="187" t="n"/>
      <c r="Q69" s="154" t="n"/>
      <c r="R69" s="210">
        <f>AVERAGE(J69:L69)</f>
        <v/>
      </c>
      <c r="S69" s="210">
        <f>AVERAGE(H69:L69)</f>
        <v/>
      </c>
      <c r="T69" s="297">
        <f>AVERAGE(C69:L69)</f>
        <v/>
      </c>
      <c r="U69" s="154" t="n"/>
      <c r="W69" s="163" t="n"/>
    </row>
    <row r="70">
      <c r="A70" s="154" t="inlineStr">
        <is>
          <t xml:space="preserve">Working Cap Days </t>
        </is>
      </c>
      <c r="B70" s="297" t="inlineStr">
        <is>
          <t>No</t>
        </is>
      </c>
      <c r="C70" s="298">
        <f>C50/C$9*365</f>
        <v/>
      </c>
      <c r="D70" s="372">
        <f>D50/D$9*365</f>
        <v/>
      </c>
      <c r="E70" s="372">
        <f>E50/E$9*365</f>
        <v/>
      </c>
      <c r="F70" s="372">
        <f>F50/F$9*365</f>
        <v/>
      </c>
      <c r="G70" s="372">
        <f>G50/G$9*365</f>
        <v/>
      </c>
      <c r="H70" s="372">
        <f>H50/H$9*365</f>
        <v/>
      </c>
      <c r="I70" s="372">
        <f>I50/I$9*365</f>
        <v/>
      </c>
      <c r="J70" s="372">
        <f>J50/J$9*365</f>
        <v/>
      </c>
      <c r="K70" s="372">
        <f>K50/K$9*365</f>
        <v/>
      </c>
      <c r="L70" s="157">
        <f>L50/L$9*365</f>
        <v/>
      </c>
      <c r="M70" s="185" t="n"/>
      <c r="N70" s="185" t="n"/>
      <c r="O70" s="186" t="n"/>
      <c r="P70" s="187" t="n"/>
      <c r="Q70" s="154" t="n"/>
      <c r="R70" s="210">
        <f>AVERAGE(J70:L70)</f>
        <v/>
      </c>
      <c r="S70" s="210">
        <f>AVERAGE(H70:L70)</f>
        <v/>
      </c>
      <c r="T70" s="297">
        <f>AVERAGE(C70:L70)</f>
        <v/>
      </c>
      <c r="U70" s="154" t="n"/>
      <c r="W70" s="163" t="n"/>
    </row>
    <row r="71">
      <c r="A71" s="290" t="inlineStr">
        <is>
          <t>Working Cap/Sales</t>
        </is>
      </c>
      <c r="B71" s="143" t="inlineStr">
        <is>
          <t>%</t>
        </is>
      </c>
      <c r="C71" s="299">
        <f>C50/C9</f>
        <v/>
      </c>
      <c r="D71" s="387">
        <f>D50/D9</f>
        <v/>
      </c>
      <c r="E71" s="387">
        <f>E50/E9</f>
        <v/>
      </c>
      <c r="F71" s="387">
        <f>F50/F9</f>
        <v/>
      </c>
      <c r="G71" s="387">
        <f>G50/G9</f>
        <v/>
      </c>
      <c r="H71" s="387">
        <f>H50/H9</f>
        <v/>
      </c>
      <c r="I71" s="387">
        <f>I50/I9</f>
        <v/>
      </c>
      <c r="J71" s="387">
        <f>J50/J9</f>
        <v/>
      </c>
      <c r="K71" s="387">
        <f>K50/K9</f>
        <v/>
      </c>
      <c r="L71" s="387">
        <f>L50/L9</f>
        <v/>
      </c>
      <c r="M71" s="300">
        <f>M50/M9</f>
        <v/>
      </c>
      <c r="N71" s="301">
        <f>N50/N9</f>
        <v/>
      </c>
      <c r="O71" s="302">
        <f>O50/O9</f>
        <v/>
      </c>
      <c r="P71" s="187" t="n"/>
      <c r="Q71" s="154" t="n"/>
      <c r="R71" s="387">
        <f>AVERAGE(J71:L71)</f>
        <v/>
      </c>
      <c r="S71" s="387">
        <f>AVERAGE(H71:L71)</f>
        <v/>
      </c>
      <c r="T71" s="387">
        <f>AVERAGE(C71:L71)</f>
        <v/>
      </c>
      <c r="U71" s="199">
        <f>R71</f>
        <v/>
      </c>
      <c r="V71" s="200">
        <f>U71</f>
        <v/>
      </c>
      <c r="W71" s="201">
        <f>V71</f>
        <v/>
      </c>
    </row>
    <row r="72">
      <c r="A72" s="154" t="inlineStr">
        <is>
          <t xml:space="preserve">Asset Turnover </t>
        </is>
      </c>
      <c r="B72" s="297" t="inlineStr">
        <is>
          <t>x</t>
        </is>
      </c>
      <c r="C72" s="465">
        <f>C9/SUM(C45:C46)</f>
        <v/>
      </c>
      <c r="D72" s="475">
        <f>D9/SUM(D45:D46)</f>
        <v/>
      </c>
      <c r="E72" s="475">
        <f>E9/SUM(E45:E46)</f>
        <v/>
      </c>
      <c r="F72" s="475">
        <f>F9/SUM(F45:F46)</f>
        <v/>
      </c>
      <c r="G72" s="475">
        <f>G9/SUM(G45:G46)</f>
        <v/>
      </c>
      <c r="H72" s="475">
        <f>H9/SUM(H45:H46)</f>
        <v/>
      </c>
      <c r="I72" s="475">
        <f>I9/SUM(I45:I46)</f>
        <v/>
      </c>
      <c r="J72" s="475">
        <f>J9/SUM(J45:J46)</f>
        <v/>
      </c>
      <c r="K72" s="475">
        <f>K9/SUM(K45:K46)</f>
        <v/>
      </c>
      <c r="L72" s="475">
        <f>L9/SUM(L45:L46)</f>
        <v/>
      </c>
      <c r="M72" s="468">
        <f>M9/SUM(M45:M46)</f>
        <v/>
      </c>
      <c r="N72" s="469">
        <f>N9/SUM(N45:N46)</f>
        <v/>
      </c>
      <c r="O72" s="470">
        <f>O9/SUM(O45:O46)</f>
        <v/>
      </c>
      <c r="P72" s="187" t="n"/>
      <c r="Q72" s="154" t="n"/>
      <c r="R72" s="210" t="n"/>
      <c r="S72" s="210" t="n"/>
      <c r="U72" s="154" t="n"/>
      <c r="W72" s="163" t="n"/>
    </row>
    <row r="73">
      <c r="A73" s="290" t="inlineStr">
        <is>
          <t>OCF/EBITDA</t>
        </is>
      </c>
      <c r="B73" s="297" t="inlineStr">
        <is>
          <t>%</t>
        </is>
      </c>
      <c r="C73" s="299">
        <f>C64/C13</f>
        <v/>
      </c>
      <c r="D73" s="387">
        <f>D64/D13</f>
        <v/>
      </c>
      <c r="E73" s="387">
        <f>E64/E13</f>
        <v/>
      </c>
      <c r="F73" s="387">
        <f>F64/F13</f>
        <v/>
      </c>
      <c r="G73" s="387">
        <f>G64/G13</f>
        <v/>
      </c>
      <c r="H73" s="387">
        <f>H64/H13</f>
        <v/>
      </c>
      <c r="I73" s="387">
        <f>I64/I13</f>
        <v/>
      </c>
      <c r="J73" s="387">
        <f>J64/J13</f>
        <v/>
      </c>
      <c r="K73" s="387">
        <f>K64/K13</f>
        <v/>
      </c>
      <c r="L73" s="387">
        <f>L64/L13</f>
        <v/>
      </c>
      <c r="M73" s="300">
        <f>M64/M13</f>
        <v/>
      </c>
      <c r="N73" s="301">
        <f>N64/N13</f>
        <v/>
      </c>
      <c r="O73" s="302">
        <f>O64/O13</f>
        <v/>
      </c>
      <c r="P73" s="187" t="n"/>
      <c r="Q73" s="154" t="n"/>
      <c r="R73" s="387">
        <f>AVERAGE(J73:L73)</f>
        <v/>
      </c>
      <c r="S73" s="387">
        <f>AVERAGE(H73:L73)</f>
        <v/>
      </c>
      <c r="T73" s="387">
        <f>AVERAGE(C73:L73)</f>
        <v/>
      </c>
      <c r="U73" s="199">
        <f>R73</f>
        <v/>
      </c>
      <c r="V73" s="200">
        <f>U73</f>
        <v/>
      </c>
      <c r="W73" s="201">
        <f>V73</f>
        <v/>
      </c>
    </row>
    <row r="74" ht="13.5" customHeight="1" thickBot="1">
      <c r="A74" s="303" t="inlineStr">
        <is>
          <t>FCF/PAT</t>
        </is>
      </c>
      <c r="B74" s="304" t="inlineStr">
        <is>
          <t>%</t>
        </is>
      </c>
      <c r="C74" s="305" t="n"/>
      <c r="D74" s="183">
        <f>D66/D20</f>
        <v/>
      </c>
      <c r="E74" s="183">
        <f>E66/E20</f>
        <v/>
      </c>
      <c r="F74" s="183">
        <f>F66/F20</f>
        <v/>
      </c>
      <c r="G74" s="183">
        <f>G66/G20</f>
        <v/>
      </c>
      <c r="H74" s="183">
        <f>H66/H20</f>
        <v/>
      </c>
      <c r="I74" s="183">
        <f>I66/I20</f>
        <v/>
      </c>
      <c r="J74" s="183">
        <f>J66/J20</f>
        <v/>
      </c>
      <c r="K74" s="183">
        <f>K66/K20</f>
        <v/>
      </c>
      <c r="L74" s="183">
        <f>L66/L20</f>
        <v/>
      </c>
      <c r="M74" s="306">
        <f>M66/M20</f>
        <v/>
      </c>
      <c r="N74" s="307">
        <f>N66/N20</f>
        <v/>
      </c>
      <c r="O74" s="308">
        <f>O66/O20</f>
        <v/>
      </c>
      <c r="P74" s="277" t="n"/>
      <c r="Q74" s="174" t="n"/>
      <c r="R74" s="183">
        <f>AVERAGE(J74:L74)</f>
        <v/>
      </c>
      <c r="S74" s="183">
        <f>AVERAGE(H74:L74)</f>
        <v/>
      </c>
      <c r="T74" s="183">
        <f>AVERAGE(C74:L74)</f>
        <v/>
      </c>
      <c r="U74" s="154" t="n"/>
      <c r="W74" s="163" t="n"/>
    </row>
    <row r="75" ht="13.5" customHeight="1" thickBot="1">
      <c r="A75" s="154" t="n"/>
      <c r="C75" s="154" t="n"/>
      <c r="G75" s="210" t="n"/>
      <c r="H75" s="210" t="n"/>
      <c r="I75" s="210" t="n"/>
      <c r="J75" s="210" t="n"/>
      <c r="K75" s="210" t="n"/>
      <c r="L75" s="259" t="n"/>
      <c r="M75" s="158" t="n"/>
      <c r="N75" s="159" t="n"/>
      <c r="O75" s="160" t="n"/>
      <c r="P75" s="187" t="n"/>
      <c r="Q75" s="154" t="n"/>
      <c r="U75" s="154" t="n"/>
      <c r="W75" s="163" t="n"/>
    </row>
    <row r="76">
      <c r="A76" s="189" t="inlineStr">
        <is>
          <t xml:space="preserve">Debt Equity </t>
        </is>
      </c>
      <c r="B76" s="295" t="inlineStr">
        <is>
          <t>x</t>
        </is>
      </c>
      <c r="C76" s="500">
        <f>C42/C41</f>
        <v/>
      </c>
      <c r="D76" s="501">
        <f>D42/D41</f>
        <v/>
      </c>
      <c r="E76" s="501">
        <f>E42/E41</f>
        <v/>
      </c>
      <c r="F76" s="501">
        <f>F42/F41</f>
        <v/>
      </c>
      <c r="G76" s="501">
        <f>G42/G41</f>
        <v/>
      </c>
      <c r="H76" s="501">
        <f>H42/H41</f>
        <v/>
      </c>
      <c r="I76" s="501">
        <f>I42/I41</f>
        <v/>
      </c>
      <c r="J76" s="501">
        <f>J42/J41</f>
        <v/>
      </c>
      <c r="K76" s="501">
        <f>K42/K41</f>
        <v/>
      </c>
      <c r="L76" s="501">
        <f>L42/L41</f>
        <v/>
      </c>
      <c r="M76" s="502">
        <f>M42/M41</f>
        <v/>
      </c>
      <c r="N76" s="503">
        <f>N42/N41</f>
        <v/>
      </c>
      <c r="O76" s="504">
        <f>O42/O41</f>
        <v/>
      </c>
      <c r="P76" s="284" t="n"/>
      <c r="Q76" s="189" t="n"/>
      <c r="R76" s="505">
        <f>AVERAGE(J76:L76)</f>
        <v/>
      </c>
      <c r="S76" s="505">
        <f>AVERAGE(H76:L76)</f>
        <v/>
      </c>
      <c r="T76" s="501">
        <f>AVERAGE(C76:L76)</f>
        <v/>
      </c>
      <c r="U76" s="154" t="n"/>
      <c r="W76" s="163" t="n"/>
    </row>
    <row r="77">
      <c r="A77" s="154" t="inlineStr">
        <is>
          <t>Interest Coverage</t>
        </is>
      </c>
      <c r="B77" s="297" t="inlineStr">
        <is>
          <t>x</t>
        </is>
      </c>
      <c r="C77" s="474">
        <f>(C18+C17)/C17</f>
        <v/>
      </c>
      <c r="D77" s="487">
        <f>(D18+D17)/D17</f>
        <v/>
      </c>
      <c r="E77" s="487">
        <f>(E18+E17)/E17</f>
        <v/>
      </c>
      <c r="F77" s="487">
        <f>(F18+F17)/F17</f>
        <v/>
      </c>
      <c r="G77" s="487">
        <f>(G18+G17)/G17</f>
        <v/>
      </c>
      <c r="H77" s="487">
        <f>(H18+H17)/H17</f>
        <v/>
      </c>
      <c r="I77" s="487">
        <f>(I18+I17)/I17</f>
        <v/>
      </c>
      <c r="J77" s="487">
        <f>(J18+J17)/J17</f>
        <v/>
      </c>
      <c r="K77" s="487">
        <f>(K18+K17)/K17</f>
        <v/>
      </c>
      <c r="L77" s="488">
        <f>(L18+L17)/L17</f>
        <v/>
      </c>
      <c r="M77" s="476">
        <f>(M18+M17)/M17</f>
        <v/>
      </c>
      <c r="N77" s="477">
        <f>(N18+N17)/N17</f>
        <v/>
      </c>
      <c r="O77" s="478">
        <f>(O18+O17)/O17</f>
        <v/>
      </c>
      <c r="P77" s="187" t="n"/>
      <c r="Q77" s="154" t="n"/>
      <c r="R77" s="487">
        <f>AVERAGE(J77:L77)</f>
        <v/>
      </c>
      <c r="S77" s="487">
        <f>AVERAGE(H77:L77)</f>
        <v/>
      </c>
      <c r="T77" s="506">
        <f>AVERAGE(C77:L77)</f>
        <v/>
      </c>
      <c r="U77" s="154" t="n"/>
      <c r="W77" s="163" t="n"/>
    </row>
    <row r="78">
      <c r="A78" s="290" t="inlineStr">
        <is>
          <t>Performance Ratios</t>
        </is>
      </c>
      <c r="C78" s="154" t="n"/>
      <c r="L78" s="163" t="n"/>
      <c r="M78" s="184" t="n"/>
      <c r="N78" s="185" t="n"/>
      <c r="O78" s="186" t="n"/>
      <c r="P78" s="187" t="n"/>
      <c r="Q78" s="154" t="n"/>
      <c r="U78" s="154" t="n"/>
      <c r="W78" s="163" t="n"/>
    </row>
    <row r="79">
      <c r="A79" s="154" t="inlineStr">
        <is>
          <t>ROE</t>
        </is>
      </c>
      <c r="B79" s="143" t="inlineStr">
        <is>
          <t>%</t>
        </is>
      </c>
      <c r="C79" s="299">
        <f>C20/C41</f>
        <v/>
      </c>
      <c r="D79" s="387">
        <f>D20/D41</f>
        <v/>
      </c>
      <c r="E79" s="387">
        <f>E20/E41</f>
        <v/>
      </c>
      <c r="F79" s="387">
        <f>F20/F41</f>
        <v/>
      </c>
      <c r="G79" s="387">
        <f>G20/G41</f>
        <v/>
      </c>
      <c r="H79" s="387">
        <f>H20/H41</f>
        <v/>
      </c>
      <c r="I79" s="387">
        <f>I20/I41</f>
        <v/>
      </c>
      <c r="J79" s="387">
        <f>J20/J41</f>
        <v/>
      </c>
      <c r="K79" s="387">
        <f>K20/K41</f>
        <v/>
      </c>
      <c r="L79" s="316">
        <f>L20/L41</f>
        <v/>
      </c>
      <c r="M79" s="300">
        <f>M20/M41</f>
        <v/>
      </c>
      <c r="N79" s="301">
        <f>N20/N41</f>
        <v/>
      </c>
      <c r="O79" s="302">
        <f>O20/O41</f>
        <v/>
      </c>
      <c r="P79" s="187" t="n"/>
      <c r="Q79" s="154" t="n"/>
      <c r="R79" s="387">
        <f>AVERAGE(J79:L79)</f>
        <v/>
      </c>
      <c r="S79" s="387">
        <f>AVERAGE(H79:L79)</f>
        <v/>
      </c>
      <c r="T79" s="387">
        <f>AVERAGE(C79:L79)</f>
        <v/>
      </c>
      <c r="U79" s="154" t="n"/>
      <c r="W79" s="163" t="n"/>
    </row>
    <row r="80">
      <c r="A80" s="154" t="inlineStr">
        <is>
          <t>ROCE</t>
        </is>
      </c>
      <c r="B80" s="143" t="inlineStr">
        <is>
          <t>%</t>
        </is>
      </c>
      <c r="C80" s="299" t="n"/>
      <c r="D80" s="387">
        <f>(D18+D17)/AVERAGE(C43:D43)</f>
        <v/>
      </c>
      <c r="E80" s="387">
        <f>(E18+E17)/AVERAGE(D43:E43)</f>
        <v/>
      </c>
      <c r="F80" s="387">
        <f>(F18+F17)/AVERAGE(E43:F43)</f>
        <v/>
      </c>
      <c r="G80" s="387">
        <f>(G18+G17)/AVERAGE(F43:G43)</f>
        <v/>
      </c>
      <c r="H80" s="387">
        <f>(H18+H17)/AVERAGE(G43:H43)</f>
        <v/>
      </c>
      <c r="I80" s="387">
        <f>(I18+I17)/AVERAGE(H43:I43)</f>
        <v/>
      </c>
      <c r="J80" s="387">
        <f>(J18+J17)/AVERAGE(I43:J43)</f>
        <v/>
      </c>
      <c r="K80" s="387">
        <f>(K18+K17)/AVERAGE(J43:K43)</f>
        <v/>
      </c>
      <c r="L80" s="316">
        <f>(L18+L17)/AVERAGE(K43:L43)</f>
        <v/>
      </c>
      <c r="M80" s="300">
        <f>(M18+M17)/AVERAGE(L43:M43)</f>
        <v/>
      </c>
      <c r="N80" s="301">
        <f>(N18+N17)/AVERAGE(M43:N43)</f>
        <v/>
      </c>
      <c r="O80" s="302">
        <f>(O18+O17)/AVERAGE(N43:O43)</f>
        <v/>
      </c>
      <c r="P80" s="187" t="n"/>
      <c r="Q80" s="154" t="n"/>
      <c r="R80" s="387">
        <f>AVERAGE(J80:L80)</f>
        <v/>
      </c>
      <c r="S80" s="387">
        <f>AVERAGE(H80:L80)</f>
        <v/>
      </c>
      <c r="T80" s="387">
        <f>AVERAGE(C80:L80)</f>
        <v/>
      </c>
      <c r="U80" s="154" t="n"/>
      <c r="W80" s="163" t="n"/>
    </row>
    <row r="81">
      <c r="A81" s="154" t="inlineStr">
        <is>
          <t>ROIC</t>
        </is>
      </c>
      <c r="C81" s="299" t="n"/>
      <c r="D81" s="387">
        <f>(D18+D17)/(AVERAGE((C43-C47-C55),(D43-D47-D55)))</f>
        <v/>
      </c>
      <c r="E81" s="387">
        <f>(E18+E17)/(AVERAGE((D43-D47-D55),(E43-E47-E55)))</f>
        <v/>
      </c>
      <c r="F81" s="387">
        <f>(F18+F17)/(AVERAGE((E43-E47-E55),(F43-F47-F55)))</f>
        <v/>
      </c>
      <c r="G81" s="387">
        <f>(G18+G17)/(AVERAGE((F43-F47-F55),(G43-G47-G55)))</f>
        <v/>
      </c>
      <c r="H81" s="387">
        <f>(H18+H17)/(AVERAGE((G43-G47-G55),(H43-H47-H55)))</f>
        <v/>
      </c>
      <c r="I81" s="387">
        <f>(I18+I17)/(AVERAGE((H43-H47-H55),(I43-I47-I55)))</f>
        <v/>
      </c>
      <c r="J81" s="387">
        <f>(J18+J17)/(AVERAGE((I43-I47-I55),(J43-J47-J55)))</f>
        <v/>
      </c>
      <c r="K81" s="387">
        <f>(K18+K17)/(AVERAGE((J43-J47-J55),(K43-K47-K55)))</f>
        <v/>
      </c>
      <c r="L81" s="316">
        <f>(L18+L17)/(AVERAGE((K43-K47-K55),(L43-L47-L55)))</f>
        <v/>
      </c>
      <c r="M81" s="300">
        <f>(M18+M17)/(AVERAGE((L43-L47-L55),(M43-M47-M55)))</f>
        <v/>
      </c>
      <c r="N81" s="301">
        <f>(N18+N17)/(AVERAGE((M43-M47-M55),(N43-N47-N55)))</f>
        <v/>
      </c>
      <c r="O81" s="302">
        <f>(O18+O17)/(AVERAGE((N43-N47-N55),(O43-O47-O55)))</f>
        <v/>
      </c>
      <c r="P81" s="187" t="n"/>
      <c r="Q81" s="154" t="n"/>
      <c r="R81" s="387">
        <f>AVERAGE(J81:L81)</f>
        <v/>
      </c>
      <c r="S81" s="387">
        <f>AVERAGE(H81:L81)</f>
        <v/>
      </c>
      <c r="T81" s="387">
        <f>AVERAGE(C81:L81)</f>
        <v/>
      </c>
      <c r="U81" s="154" t="n"/>
      <c r="W81" s="163" t="n"/>
    </row>
    <row r="82" ht="13.5" customHeight="1" thickBot="1">
      <c r="A82" s="174" t="inlineStr">
        <is>
          <t>OCF/Cap Emp</t>
        </is>
      </c>
      <c r="B82" s="175" t="inlineStr">
        <is>
          <t>%</t>
        </is>
      </c>
      <c r="C82" s="305">
        <f>C64/C43</f>
        <v/>
      </c>
      <c r="D82" s="183">
        <f>D64/D43</f>
        <v/>
      </c>
      <c r="E82" s="183">
        <f>E64/E43</f>
        <v/>
      </c>
      <c r="F82" s="183">
        <f>F64/F43</f>
        <v/>
      </c>
      <c r="G82" s="183">
        <f>G64/G43</f>
        <v/>
      </c>
      <c r="H82" s="183">
        <f>H64/H43</f>
        <v/>
      </c>
      <c r="I82" s="183">
        <f>I64/I43</f>
        <v/>
      </c>
      <c r="J82" s="183">
        <f>J64/J43</f>
        <v/>
      </c>
      <c r="K82" s="183">
        <f>K64/K43</f>
        <v/>
      </c>
      <c r="L82" s="317">
        <f>L64/L43</f>
        <v/>
      </c>
      <c r="M82" s="306">
        <f>M64/M43</f>
        <v/>
      </c>
      <c r="N82" s="307">
        <f>N64/N43</f>
        <v/>
      </c>
      <c r="O82" s="308">
        <f>O64/O43</f>
        <v/>
      </c>
      <c r="P82" s="277" t="n"/>
      <c r="Q82" s="174" t="n"/>
      <c r="R82" s="183" t="n"/>
      <c r="S82" s="183" t="n"/>
      <c r="T82" s="183" t="n"/>
      <c r="U82" s="154" t="n"/>
      <c r="W82" s="163" t="n"/>
    </row>
    <row r="83" ht="13.5" customHeight="1" thickBot="1">
      <c r="A83" s="290" t="n"/>
      <c r="C83" s="154" t="n"/>
      <c r="L83" s="163" t="n"/>
      <c r="M83" s="184" t="n"/>
      <c r="N83" s="185" t="n"/>
      <c r="O83" s="186" t="n"/>
      <c r="P83" s="187" t="n"/>
      <c r="Q83" s="154" t="n"/>
      <c r="U83" s="154" t="n"/>
      <c r="W83" s="163" t="n"/>
    </row>
    <row r="84">
      <c r="A84" s="189" t="inlineStr">
        <is>
          <t>Earnings/share</t>
        </is>
      </c>
      <c r="B84" s="190" t="inlineStr">
        <is>
          <t>INR</t>
        </is>
      </c>
      <c r="C84" s="496">
        <f>C22</f>
        <v/>
      </c>
      <c r="D84" s="490">
        <f>D22</f>
        <v/>
      </c>
      <c r="E84" s="490">
        <f>E22</f>
        <v/>
      </c>
      <c r="F84" s="490">
        <f>F22</f>
        <v/>
      </c>
      <c r="G84" s="490">
        <f>G22</f>
        <v/>
      </c>
      <c r="H84" s="490">
        <f>H22</f>
        <v/>
      </c>
      <c r="I84" s="490">
        <f>I22</f>
        <v/>
      </c>
      <c r="J84" s="490">
        <f>J22</f>
        <v/>
      </c>
      <c r="K84" s="490">
        <f>K22</f>
        <v/>
      </c>
      <c r="L84" s="491">
        <f>L22</f>
        <v/>
      </c>
      <c r="M84" s="492">
        <f>M22</f>
        <v/>
      </c>
      <c r="N84" s="493">
        <f>N22</f>
        <v/>
      </c>
      <c r="O84" s="494">
        <f>O22</f>
        <v/>
      </c>
      <c r="P84" s="318" t="n"/>
      <c r="Q84" s="278" t="n"/>
      <c r="R84" s="198">
        <f>((L84/I84)^(1/3))-1</f>
        <v/>
      </c>
      <c r="S84" s="198">
        <f>((L84/G84)^(1/5))-1</f>
        <v/>
      </c>
      <c r="T84" s="198">
        <f>IF(C84&gt;0,((L84/C84)^(1/9))-1,"-")</f>
        <v/>
      </c>
      <c r="U84" s="154" t="n"/>
      <c r="W84" s="163" t="n"/>
    </row>
    <row r="85">
      <c r="A85" s="154" t="inlineStr">
        <is>
          <t>Dividend/share</t>
        </is>
      </c>
      <c r="B85" s="143" t="inlineStr">
        <is>
          <t>INR</t>
        </is>
      </c>
      <c r="C85" s="474">
        <f>C23</f>
        <v/>
      </c>
      <c r="D85" s="487">
        <f>D23</f>
        <v/>
      </c>
      <c r="E85" s="487">
        <f>E23</f>
        <v/>
      </c>
      <c r="F85" s="487">
        <f>F23</f>
        <v/>
      </c>
      <c r="G85" s="487">
        <f>G23</f>
        <v/>
      </c>
      <c r="H85" s="487">
        <f>H23</f>
        <v/>
      </c>
      <c r="I85" s="487">
        <f>I23</f>
        <v/>
      </c>
      <c r="J85" s="487">
        <f>J23</f>
        <v/>
      </c>
      <c r="K85" s="487">
        <f>K23</f>
        <v/>
      </c>
      <c r="L85" s="488">
        <f>L23</f>
        <v/>
      </c>
      <c r="M85" s="476">
        <f>M23</f>
        <v/>
      </c>
      <c r="N85" s="477">
        <f>N23</f>
        <v/>
      </c>
      <c r="O85" s="478">
        <f>O23</f>
        <v/>
      </c>
      <c r="P85" s="187" t="n"/>
      <c r="Q85" s="154" t="n"/>
      <c r="R85" s="387">
        <f>((L85/I85)^(1/3))-1</f>
        <v/>
      </c>
      <c r="S85" s="387">
        <f>((L85/G85)^(1/5))-1</f>
        <v/>
      </c>
      <c r="T85" s="387">
        <f>IF(C85&gt;0,((L85/C85)^(1/9))-1,"-")</f>
        <v/>
      </c>
      <c r="U85" s="154" t="n"/>
      <c r="W85" s="163" t="n"/>
    </row>
    <row r="86">
      <c r="A86" s="154" t="inlineStr">
        <is>
          <t>Book Value/share</t>
        </is>
      </c>
      <c r="B86" s="143" t="inlineStr">
        <is>
          <t>INR</t>
        </is>
      </c>
      <c r="C86" s="206">
        <f>C41/C5</f>
        <v/>
      </c>
      <c r="D86" s="210">
        <f>D41/D5</f>
        <v/>
      </c>
      <c r="E86" s="210">
        <f>E41/E5</f>
        <v/>
      </c>
      <c r="F86" s="210">
        <f>F41/F5</f>
        <v/>
      </c>
      <c r="G86" s="210">
        <f>G41/G5</f>
        <v/>
      </c>
      <c r="H86" s="210">
        <f>H41/H5</f>
        <v/>
      </c>
      <c r="I86" s="210">
        <f>I41/I5</f>
        <v/>
      </c>
      <c r="J86" s="210">
        <f>J41/J5</f>
        <v/>
      </c>
      <c r="K86" s="210">
        <f>K41/K5</f>
        <v/>
      </c>
      <c r="L86" s="259">
        <f>L41/L5</f>
        <v/>
      </c>
      <c r="M86" s="158">
        <f>M41/M5</f>
        <v/>
      </c>
      <c r="N86" s="159">
        <f>N41/N5</f>
        <v/>
      </c>
      <c r="O86" s="160">
        <f>O41/O5</f>
        <v/>
      </c>
      <c r="P86" s="187" t="n"/>
      <c r="Q86" s="154" t="n"/>
      <c r="R86" s="387">
        <f>((L86/I86)^(1/3))-1</f>
        <v/>
      </c>
      <c r="S86" s="387">
        <f>((L86/G86)^(1/5))-1</f>
        <v/>
      </c>
      <c r="T86" s="387">
        <f>IF(C86&gt;0,((L86/C86)^(1/9))-1,"-")</f>
        <v/>
      </c>
      <c r="U86" s="154" t="n"/>
      <c r="W86" s="163" t="n"/>
    </row>
    <row r="87">
      <c r="A87" s="154" t="inlineStr">
        <is>
          <t xml:space="preserve">Sales/share </t>
        </is>
      </c>
      <c r="B87" s="143" t="inlineStr">
        <is>
          <t>INR</t>
        </is>
      </c>
      <c r="C87" s="206">
        <f>C9/C5</f>
        <v/>
      </c>
      <c r="D87" s="210">
        <f>D9/D5</f>
        <v/>
      </c>
      <c r="E87" s="210">
        <f>E9/E5</f>
        <v/>
      </c>
      <c r="F87" s="210">
        <f>F9/F5</f>
        <v/>
      </c>
      <c r="G87" s="210">
        <f>G9/G5</f>
        <v/>
      </c>
      <c r="H87" s="210">
        <f>H9/H5</f>
        <v/>
      </c>
      <c r="I87" s="210">
        <f>I9/I5</f>
        <v/>
      </c>
      <c r="J87" s="210">
        <f>J9/J5</f>
        <v/>
      </c>
      <c r="K87" s="210">
        <f>K9/K5</f>
        <v/>
      </c>
      <c r="L87" s="259">
        <f>L9/L5</f>
        <v/>
      </c>
      <c r="M87" s="158">
        <f>M9/M5</f>
        <v/>
      </c>
      <c r="N87" s="159">
        <f>N9/N5</f>
        <v/>
      </c>
      <c r="O87" s="160">
        <f>O9/O5</f>
        <v/>
      </c>
      <c r="P87" s="187" t="n"/>
      <c r="Q87" s="154" t="n"/>
      <c r="R87" s="387">
        <f>((L87/I87)^(1/3))-1</f>
        <v/>
      </c>
      <c r="S87" s="387">
        <f>((L87/G87)^(1/5))-1</f>
        <v/>
      </c>
      <c r="T87" s="387">
        <f>IF(C87&gt;0,((L87/C87)^(1/9))-1,"-")</f>
        <v/>
      </c>
      <c r="U87" s="154" t="n"/>
      <c r="W87" s="163" t="n"/>
    </row>
    <row r="88" ht="13.5" customHeight="1" thickBot="1">
      <c r="A88" s="174" t="inlineStr">
        <is>
          <t>Cash/share</t>
        </is>
      </c>
      <c r="B88" s="175" t="inlineStr">
        <is>
          <t>INR</t>
        </is>
      </c>
      <c r="C88" s="272">
        <f>(C55-C42)/C5</f>
        <v/>
      </c>
      <c r="D88" s="271">
        <f>(D55-D42)/D5</f>
        <v/>
      </c>
      <c r="E88" s="271">
        <f>(E55-E42)/E5</f>
        <v/>
      </c>
      <c r="F88" s="271">
        <f>(F55-F42)/F5</f>
        <v/>
      </c>
      <c r="G88" s="271">
        <f>(G55-G42)/G5</f>
        <v/>
      </c>
      <c r="H88" s="271">
        <f>(H55-H42)/H5</f>
        <v/>
      </c>
      <c r="I88" s="271">
        <f>(I55-I42)/I5</f>
        <v/>
      </c>
      <c r="J88" s="271">
        <f>(J55-J42)/J5</f>
        <v/>
      </c>
      <c r="K88" s="271">
        <f>(K55-K42)/K5</f>
        <v/>
      </c>
      <c r="L88" s="273">
        <f>(L55-L42)/L5</f>
        <v/>
      </c>
      <c r="M88" s="274">
        <f>(M55-M42)/M5</f>
        <v/>
      </c>
      <c r="N88" s="275">
        <f>(N55-N42)/N5</f>
        <v/>
      </c>
      <c r="O88" s="276">
        <f>(O55-O42)/O5</f>
        <v/>
      </c>
      <c r="P88" s="277" t="n"/>
      <c r="Q88" s="174" t="n"/>
      <c r="R88" s="183" t="n"/>
      <c r="S88" s="183" t="n"/>
      <c r="T88" s="183" t="n"/>
      <c r="U88" s="154" t="n"/>
      <c r="W88" s="163" t="n"/>
    </row>
    <row r="89" ht="13.5" customHeight="1" thickBot="1">
      <c r="A89" s="290" t="n"/>
      <c r="C89" s="154" t="n"/>
      <c r="L89" s="163" t="n"/>
      <c r="M89" s="184" t="n"/>
      <c r="N89" s="185" t="n"/>
      <c r="O89" s="186" t="n"/>
      <c r="P89" s="187" t="n"/>
      <c r="Q89" s="154" t="n"/>
      <c r="U89" s="154" t="n"/>
      <c r="W89" s="163" t="n"/>
    </row>
    <row r="90">
      <c r="A90" s="285" t="inlineStr">
        <is>
          <t xml:space="preserve">Valuations </t>
        </is>
      </c>
      <c r="B90" s="190" t="n"/>
      <c r="C90" s="189" t="n"/>
      <c r="D90" s="190" t="n"/>
      <c r="E90" s="190" t="n"/>
      <c r="F90" s="190" t="n"/>
      <c r="G90" s="190" t="n"/>
      <c r="H90" s="190" t="n"/>
      <c r="I90" s="190" t="n"/>
      <c r="J90" s="190" t="n"/>
      <c r="K90" s="190" t="n"/>
      <c r="L90" s="286" t="n"/>
      <c r="M90" s="287" t="n"/>
      <c r="N90" s="288" t="n"/>
      <c r="O90" s="289" t="n"/>
      <c r="P90" s="284" t="n"/>
      <c r="Q90" s="189" t="n"/>
      <c r="R90" s="190" t="n"/>
      <c r="S90" s="190" t="n"/>
      <c r="T90" s="190" t="n"/>
      <c r="U90" s="154" t="n"/>
      <c r="W90" s="163" t="n"/>
    </row>
    <row r="91">
      <c r="A91" s="154" t="inlineStr">
        <is>
          <t>Price/Earnings</t>
        </is>
      </c>
      <c r="B91" s="143" t="inlineStr">
        <is>
          <t>x</t>
        </is>
      </c>
      <c r="C91" s="465">
        <f>C$4/C84</f>
        <v/>
      </c>
      <c r="D91" s="466">
        <f>D$4/D84</f>
        <v/>
      </c>
      <c r="E91" s="466">
        <f>E$4/E84</f>
        <v/>
      </c>
      <c r="F91" s="466">
        <f>F$4/F84</f>
        <v/>
      </c>
      <c r="G91" s="466">
        <f>G$4/G84</f>
        <v/>
      </c>
      <c r="H91" s="466">
        <f>H$4/H84</f>
        <v/>
      </c>
      <c r="I91" s="466">
        <f>I$4/I84</f>
        <v/>
      </c>
      <c r="J91" s="466">
        <f>J$4/J84</f>
        <v/>
      </c>
      <c r="K91" s="466">
        <f>K$4/K84</f>
        <v/>
      </c>
      <c r="L91" s="467">
        <f>L$4/L84</f>
        <v/>
      </c>
      <c r="M91" s="468">
        <f>M$4/M84</f>
        <v/>
      </c>
      <c r="N91" s="469">
        <f>N$4/N84</f>
        <v/>
      </c>
      <c r="O91" s="470">
        <f>O$4/O84</f>
        <v/>
      </c>
      <c r="P91" s="507">
        <f>P4/P22</f>
        <v/>
      </c>
      <c r="Q91" s="508" t="n"/>
      <c r="R91" s="487">
        <f>AVERAGE(J91:L91)</f>
        <v/>
      </c>
      <c r="S91" s="487">
        <f>AVERAGE(H91:L91)</f>
        <v/>
      </c>
      <c r="T91" s="475">
        <f>AVERAGE(C91:L91)</f>
        <v/>
      </c>
      <c r="U91" s="154" t="n"/>
      <c r="W91" s="163" t="n"/>
    </row>
    <row r="92">
      <c r="A92" s="154" t="inlineStr">
        <is>
          <t>Price/Book</t>
        </is>
      </c>
      <c r="B92" s="143" t="inlineStr">
        <is>
          <t>x</t>
        </is>
      </c>
      <c r="C92" s="465">
        <f>C$4/C86</f>
        <v/>
      </c>
      <c r="D92" s="466">
        <f>D$4/D86</f>
        <v/>
      </c>
      <c r="E92" s="466">
        <f>E$4/E86</f>
        <v/>
      </c>
      <c r="F92" s="466">
        <f>F$4/F86</f>
        <v/>
      </c>
      <c r="G92" s="466">
        <f>G$4/G86</f>
        <v/>
      </c>
      <c r="H92" s="466">
        <f>H$4/H86</f>
        <v/>
      </c>
      <c r="I92" s="466">
        <f>I$4/I86</f>
        <v/>
      </c>
      <c r="J92" s="466">
        <f>J$4/J86</f>
        <v/>
      </c>
      <c r="K92" s="466">
        <f>K$4/K86</f>
        <v/>
      </c>
      <c r="L92" s="467">
        <f>L$4/L86</f>
        <v/>
      </c>
      <c r="M92" s="468">
        <f>M$4/M86</f>
        <v/>
      </c>
      <c r="N92" s="469">
        <f>N$4/N86</f>
        <v/>
      </c>
      <c r="O92" s="470">
        <f>O$4/O86</f>
        <v/>
      </c>
      <c r="P92" s="187" t="n"/>
      <c r="Q92" s="154" t="n"/>
      <c r="R92" s="487">
        <f>AVERAGE(J92:L92)</f>
        <v/>
      </c>
      <c r="S92" s="487">
        <f>AVERAGE(H92:L92)</f>
        <v/>
      </c>
      <c r="T92" s="475">
        <f>AVERAGE(C92:L92)</f>
        <v/>
      </c>
      <c r="U92" s="154" t="n"/>
      <c r="W92" s="163" t="n"/>
    </row>
    <row r="93">
      <c r="A93" s="154" t="inlineStr">
        <is>
          <t>Price/Sales</t>
        </is>
      </c>
      <c r="B93" s="143" t="inlineStr">
        <is>
          <t>x</t>
        </is>
      </c>
      <c r="C93" s="465">
        <f>C$4/C87</f>
        <v/>
      </c>
      <c r="D93" s="466">
        <f>D$4/D87</f>
        <v/>
      </c>
      <c r="E93" s="466">
        <f>E$4/E87</f>
        <v/>
      </c>
      <c r="F93" s="466">
        <f>F$4/F87</f>
        <v/>
      </c>
      <c r="G93" s="466">
        <f>G$4/G87</f>
        <v/>
      </c>
      <c r="H93" s="466">
        <f>H$4/H87</f>
        <v/>
      </c>
      <c r="I93" s="466">
        <f>I$4/I87</f>
        <v/>
      </c>
      <c r="J93" s="466">
        <f>J$4/J87</f>
        <v/>
      </c>
      <c r="K93" s="466">
        <f>K$4/K87</f>
        <v/>
      </c>
      <c r="L93" s="467">
        <f>L$4/L87</f>
        <v/>
      </c>
      <c r="M93" s="468">
        <f>M$4/M87</f>
        <v/>
      </c>
      <c r="N93" s="469">
        <f>N$4/N87</f>
        <v/>
      </c>
      <c r="O93" s="470">
        <f>O$4/O87</f>
        <v/>
      </c>
      <c r="P93" s="187" t="n"/>
      <c r="Q93" s="154" t="n"/>
      <c r="R93" s="487">
        <f>AVERAGE(J93:L93)</f>
        <v/>
      </c>
      <c r="S93" s="487">
        <f>AVERAGE(H93:L93)</f>
        <v/>
      </c>
      <c r="T93" s="475">
        <f>AVERAGE(C93:L93)</f>
        <v/>
      </c>
      <c r="U93" s="154" t="n"/>
      <c r="W93" s="163" t="n"/>
    </row>
    <row r="94">
      <c r="A94" s="154" t="n"/>
      <c r="C94" s="154" t="n"/>
      <c r="L94" s="163" t="n"/>
      <c r="M94" s="184" t="n"/>
      <c r="N94" s="185" t="n"/>
      <c r="O94" s="186" t="n"/>
      <c r="P94" s="187" t="n"/>
      <c r="Q94" s="154" t="n"/>
      <c r="T94" s="487" t="n"/>
      <c r="U94" s="154" t="n"/>
      <c r="W94" s="163" t="n"/>
    </row>
    <row r="95">
      <c r="A95" s="154" t="inlineStr">
        <is>
          <t>EV/EBITDA</t>
        </is>
      </c>
      <c r="B95" s="143" t="inlineStr">
        <is>
          <t>x</t>
        </is>
      </c>
      <c r="C95" s="508">
        <f>C7/C13</f>
        <v/>
      </c>
      <c r="D95" s="475">
        <f>D7/D13</f>
        <v/>
      </c>
      <c r="E95" s="475">
        <f>E7/E13</f>
        <v/>
      </c>
      <c r="F95" s="475">
        <f>F7/F13</f>
        <v/>
      </c>
      <c r="G95" s="475">
        <f>G7/G13</f>
        <v/>
      </c>
      <c r="H95" s="475">
        <f>H7/H13</f>
        <v/>
      </c>
      <c r="I95" s="475">
        <f>I7/I13</f>
        <v/>
      </c>
      <c r="J95" s="475">
        <f>J7/J13</f>
        <v/>
      </c>
      <c r="K95" s="475">
        <f>K7/K13</f>
        <v/>
      </c>
      <c r="L95" s="509">
        <f>L7/L13</f>
        <v/>
      </c>
      <c r="M95" s="510">
        <f>M7/M13</f>
        <v/>
      </c>
      <c r="N95" s="511">
        <f>N7/N13</f>
        <v/>
      </c>
      <c r="O95" s="512">
        <f>O7/O13</f>
        <v/>
      </c>
      <c r="P95" s="507">
        <f>P7/P13</f>
        <v/>
      </c>
      <c r="Q95" s="154" t="n"/>
      <c r="R95" s="487">
        <f>AVERAGE(J95:L95)</f>
        <v/>
      </c>
      <c r="S95" s="487">
        <f>AVERAGE(H95:L95)</f>
        <v/>
      </c>
      <c r="T95" s="475">
        <f>AVERAGE(C95:L95)</f>
        <v/>
      </c>
      <c r="U95" s="154" t="n"/>
      <c r="W95" s="163" t="n"/>
    </row>
    <row r="96" ht="13.5" customHeight="1" thickBot="1">
      <c r="A96" s="174" t="inlineStr">
        <is>
          <t>EV/Sales</t>
        </is>
      </c>
      <c r="B96" s="175" t="inlineStr">
        <is>
          <t>x</t>
        </is>
      </c>
      <c r="C96" s="513">
        <f>C7/C9</f>
        <v/>
      </c>
      <c r="D96" s="514">
        <f>D7/D9</f>
        <v/>
      </c>
      <c r="E96" s="514">
        <f>E7/E9</f>
        <v/>
      </c>
      <c r="F96" s="514">
        <f>F7/F9</f>
        <v/>
      </c>
      <c r="G96" s="514">
        <f>G7/G9</f>
        <v/>
      </c>
      <c r="H96" s="514">
        <f>H7/H9</f>
        <v/>
      </c>
      <c r="I96" s="514">
        <f>I7/I9</f>
        <v/>
      </c>
      <c r="J96" s="514">
        <f>J7/J9</f>
        <v/>
      </c>
      <c r="K96" s="514">
        <f>K7/K9</f>
        <v/>
      </c>
      <c r="L96" s="515">
        <f>L7/L9</f>
        <v/>
      </c>
      <c r="M96" s="516">
        <f>M7/M9</f>
        <v/>
      </c>
      <c r="N96" s="517">
        <f>N7/N9</f>
        <v/>
      </c>
      <c r="O96" s="518">
        <f>O7/O9</f>
        <v/>
      </c>
      <c r="P96" s="519">
        <f>P7/P9</f>
        <v/>
      </c>
      <c r="Q96" s="174" t="n"/>
      <c r="R96" s="482">
        <f>AVERAGE(J96:L96)</f>
        <v/>
      </c>
      <c r="S96" s="482">
        <f>AVERAGE(H96:L96)</f>
        <v/>
      </c>
      <c r="T96" s="514">
        <f>AVERAGE(C96:L96)</f>
        <v/>
      </c>
      <c r="U96" s="154" t="n"/>
      <c r="W96" s="163" t="n"/>
    </row>
    <row r="97" ht="13.5" customHeight="1" thickBot="1">
      <c r="A97" s="154" t="n"/>
      <c r="H97" s="332">
        <f>IF(H98&gt;$L$3,IF(H98&lt;=$M$3,"1","0"),"0")</f>
        <v/>
      </c>
      <c r="I97" s="332">
        <f>IF(I98&gt;$L$3,IF(I98&lt;=$M$3,"1","0"),"0")</f>
        <v/>
      </c>
      <c r="J97" s="332">
        <f>IF(J98&gt;$L$3,IF(J98&lt;=$M$3,"1","0"),"0")</f>
        <v/>
      </c>
      <c r="K97" s="332">
        <f>IF(K98&gt;$L$3,IF(K98&lt;=$M$3,"1","0"),"0")</f>
        <v/>
      </c>
      <c r="L97" s="332">
        <f>IF(L98&gt;$L$3,IF(L98&lt;=$M$3,"1","0"),"0")</f>
        <v/>
      </c>
      <c r="M97" s="332">
        <f>IF(M98&gt;$L$3,IF(M98&lt;=$M$3,"1","0"),"0")</f>
        <v/>
      </c>
      <c r="N97" s="332">
        <f>IF(N98&gt;$L$3,IF(N98&lt;=$M$3,"1","0"),"0")</f>
        <v/>
      </c>
      <c r="O97" s="332">
        <f>IF(O98&gt;$L$3,IF(O98&lt;=$M$3,"1","0"),"0")</f>
        <v/>
      </c>
      <c r="P97" s="332">
        <f>IF(P98&gt;$L$3,IF(P98&lt;=$M$3,"1","0"),"0")</f>
        <v/>
      </c>
      <c r="U97" s="154" t="n"/>
      <c r="W97" s="163" t="n"/>
    </row>
    <row r="98">
      <c r="A98" s="285" t="inlineStr">
        <is>
          <t>QUARTERLY</t>
        </is>
      </c>
      <c r="B98" s="190" t="n"/>
      <c r="C98" s="333">
        <f>'Data Sheet'!B41</f>
        <v/>
      </c>
      <c r="D98" s="334">
        <f>'Data Sheet'!C41</f>
        <v/>
      </c>
      <c r="E98" s="334">
        <f>'Data Sheet'!D41</f>
        <v/>
      </c>
      <c r="F98" s="334">
        <f>'Data Sheet'!E41</f>
        <v/>
      </c>
      <c r="G98" s="334">
        <f>'Data Sheet'!F41</f>
        <v/>
      </c>
      <c r="H98" s="334">
        <f>'Data Sheet'!G41</f>
        <v/>
      </c>
      <c r="I98" s="334">
        <f>'Data Sheet'!H41</f>
        <v/>
      </c>
      <c r="J98" s="334">
        <f>'Data Sheet'!I41</f>
        <v/>
      </c>
      <c r="K98" s="334">
        <f>'Data Sheet'!J41</f>
        <v/>
      </c>
      <c r="L98" s="334">
        <f>'Data Sheet'!K41</f>
        <v/>
      </c>
      <c r="M98" s="333">
        <f>L98+90</f>
        <v/>
      </c>
      <c r="N98" s="334">
        <f>M98+90</f>
        <v/>
      </c>
      <c r="O98" s="334">
        <f>N98+90</f>
        <v/>
      </c>
      <c r="P98" s="335">
        <f>O98+90</f>
        <v/>
      </c>
      <c r="Q98" s="336" t="inlineStr">
        <is>
          <t>forecast</t>
        </is>
      </c>
      <c r="R98" s="190" t="n"/>
      <c r="S98" s="190" t="n"/>
      <c r="T98" s="190" t="n"/>
      <c r="U98" s="154" t="n"/>
      <c r="W98" s="163" t="n"/>
    </row>
    <row r="99">
      <c r="A99" s="473" t="inlineStr">
        <is>
          <t>Revenue Qtr</t>
        </is>
      </c>
      <c r="B99" s="143" t="inlineStr">
        <is>
          <t>Cr</t>
        </is>
      </c>
      <c r="C99" s="155">
        <f>'Data Sheet'!B42</f>
        <v/>
      </c>
      <c r="D99" s="372">
        <f>'Data Sheet'!C42</f>
        <v/>
      </c>
      <c r="E99" s="372">
        <f>'Data Sheet'!D42</f>
        <v/>
      </c>
      <c r="F99" s="372">
        <f>'Data Sheet'!E42</f>
        <v/>
      </c>
      <c r="G99" s="372">
        <f>'Data Sheet'!F42</f>
        <v/>
      </c>
      <c r="H99" s="372">
        <f>'Data Sheet'!G42</f>
        <v/>
      </c>
      <c r="I99" s="372">
        <f>'Data Sheet'!H42</f>
        <v/>
      </c>
      <c r="J99" s="372">
        <f>'Data Sheet'!I42</f>
        <v/>
      </c>
      <c r="K99" s="372">
        <f>'Data Sheet'!J42</f>
        <v/>
      </c>
      <c r="L99" s="372">
        <f>'Data Sheet'!K42</f>
        <v/>
      </c>
      <c r="M99" s="337">
        <f>I99*(1+$U$9)</f>
        <v/>
      </c>
      <c r="N99" s="338">
        <f>J99*(1+$U$9)</f>
        <v/>
      </c>
      <c r="O99" s="338">
        <f>K99*(1+$U$9)</f>
        <v/>
      </c>
      <c r="P99" s="339">
        <f>L99*(1+$U$9)</f>
        <v/>
      </c>
      <c r="Q99" s="372">
        <f>SUMIF(H$97:P$97,"=1",H99:P99)</f>
        <v/>
      </c>
      <c r="R99" s="340">
        <f>Q99/M9</f>
        <v/>
      </c>
      <c r="U99" s="154" t="n"/>
      <c r="W99" s="163" t="n"/>
    </row>
    <row r="100">
      <c r="A100" s="473" t="inlineStr">
        <is>
          <t>Growth (QoQ)</t>
        </is>
      </c>
      <c r="C100" s="155" t="n"/>
      <c r="D100" s="387">
        <f>D99/C99-1</f>
        <v/>
      </c>
      <c r="E100" s="387">
        <f>E99/D99-1</f>
        <v/>
      </c>
      <c r="F100" s="387">
        <f>F99/E99-1</f>
        <v/>
      </c>
      <c r="G100" s="387">
        <f>G99/F99-1</f>
        <v/>
      </c>
      <c r="H100" s="387">
        <f>H99/G99-1</f>
        <v/>
      </c>
      <c r="I100" s="387">
        <f>I99/H99-1</f>
        <v/>
      </c>
      <c r="J100" s="387">
        <f>J99/I99-1</f>
        <v/>
      </c>
      <c r="K100" s="387">
        <f>K99/J99-1</f>
        <v/>
      </c>
      <c r="L100" s="387">
        <f>L99/K99-1</f>
        <v/>
      </c>
      <c r="M100" s="341">
        <f>M99/L99-1</f>
        <v/>
      </c>
      <c r="N100" s="342">
        <f>N99/M99-1</f>
        <v/>
      </c>
      <c r="O100" s="342">
        <f>O99/N99-1</f>
        <v/>
      </c>
      <c r="P100" s="343">
        <f>P99/O99-1</f>
        <v/>
      </c>
      <c r="Q100" s="372" t="n"/>
      <c r="R100" s="340" t="n"/>
      <c r="U100" s="154" t="n"/>
      <c r="W100" s="163" t="n"/>
    </row>
    <row r="101">
      <c r="A101" s="473" t="inlineStr">
        <is>
          <t>EBITDA Qtr</t>
        </is>
      </c>
      <c r="B101" s="143" t="inlineStr">
        <is>
          <t>Cr</t>
        </is>
      </c>
      <c r="C101" s="155">
        <f>'Data Sheet'!B50</f>
        <v/>
      </c>
      <c r="D101" s="372">
        <f>'Data Sheet'!C50</f>
        <v/>
      </c>
      <c r="E101" s="372">
        <f>'Data Sheet'!D50</f>
        <v/>
      </c>
      <c r="F101" s="372">
        <f>'Data Sheet'!E50</f>
        <v/>
      </c>
      <c r="G101" s="372">
        <f>'Data Sheet'!F50</f>
        <v/>
      </c>
      <c r="H101" s="372">
        <f>'Data Sheet'!G50</f>
        <v/>
      </c>
      <c r="I101" s="372">
        <f>'Data Sheet'!H50</f>
        <v/>
      </c>
      <c r="J101" s="372">
        <f>'Data Sheet'!I50</f>
        <v/>
      </c>
      <c r="K101" s="372">
        <f>'Data Sheet'!J50</f>
        <v/>
      </c>
      <c r="L101" s="372">
        <f>'Data Sheet'!K50</f>
        <v/>
      </c>
      <c r="M101" s="344">
        <f>M99*$U$27</f>
        <v/>
      </c>
      <c r="N101" s="345">
        <f>N99*$U$27</f>
        <v/>
      </c>
      <c r="O101" s="345">
        <f>O99*$U$27</f>
        <v/>
      </c>
      <c r="P101" s="346">
        <f>P99*$U$27</f>
        <v/>
      </c>
      <c r="Q101" s="372">
        <f>SUMIF(H$97:P$97,"=1",H101:P101)</f>
        <v/>
      </c>
      <c r="R101" s="340">
        <f>Q101/M13</f>
        <v/>
      </c>
      <c r="U101" s="154" t="n"/>
      <c r="W101" s="163" t="n"/>
    </row>
    <row r="102">
      <c r="A102" s="473" t="inlineStr">
        <is>
          <t>Growth (QoQ)</t>
        </is>
      </c>
      <c r="C102" s="155" t="n"/>
      <c r="D102" s="387">
        <f>D101/C101-1</f>
        <v/>
      </c>
      <c r="E102" s="387">
        <f>E101/D101-1</f>
        <v/>
      </c>
      <c r="F102" s="387">
        <f>F101/E101-1</f>
        <v/>
      </c>
      <c r="G102" s="387">
        <f>G101/F101-1</f>
        <v/>
      </c>
      <c r="H102" s="387">
        <f>H101/G101-1</f>
        <v/>
      </c>
      <c r="I102" s="387">
        <f>I101/H101-1</f>
        <v/>
      </c>
      <c r="J102" s="387">
        <f>J101/I101-1</f>
        <v/>
      </c>
      <c r="K102" s="387">
        <f>K101/J101-1</f>
        <v/>
      </c>
      <c r="L102" s="387">
        <f>L101/K101-1</f>
        <v/>
      </c>
      <c r="M102" s="341">
        <f>M101/L101-1</f>
        <v/>
      </c>
      <c r="N102" s="342">
        <f>N101/M101-1</f>
        <v/>
      </c>
      <c r="O102" s="342">
        <f>O101/N101-1</f>
        <v/>
      </c>
      <c r="P102" s="343">
        <f>P101/O101-1</f>
        <v/>
      </c>
      <c r="Q102" s="372" t="n"/>
      <c r="R102" s="340" t="n"/>
      <c r="U102" s="154" t="n"/>
      <c r="W102" s="163" t="n"/>
    </row>
    <row r="103">
      <c r="A103" s="473" t="inlineStr">
        <is>
          <t>EBITDAM Qtr</t>
        </is>
      </c>
      <c r="B103" s="143" t="inlineStr">
        <is>
          <t>%</t>
        </is>
      </c>
      <c r="C103" s="205">
        <f>C101/C99</f>
        <v/>
      </c>
      <c r="D103" s="376">
        <f>D101/D99</f>
        <v/>
      </c>
      <c r="E103" s="376">
        <f>E101/E99</f>
        <v/>
      </c>
      <c r="F103" s="376">
        <f>F101/F99</f>
        <v/>
      </c>
      <c r="G103" s="376">
        <f>G101/G99</f>
        <v/>
      </c>
      <c r="H103" s="376">
        <f>H101/H99</f>
        <v/>
      </c>
      <c r="I103" s="376">
        <f>I101/I99</f>
        <v/>
      </c>
      <c r="J103" s="376">
        <f>J101/J99</f>
        <v/>
      </c>
      <c r="K103" s="376">
        <f>K101/K99</f>
        <v/>
      </c>
      <c r="L103" s="376">
        <f>L101/L99</f>
        <v/>
      </c>
      <c r="M103" s="347">
        <f>M101/M99</f>
        <v/>
      </c>
      <c r="N103" s="348">
        <f>N101/N99</f>
        <v/>
      </c>
      <c r="O103" s="348">
        <f>O101/O99</f>
        <v/>
      </c>
      <c r="P103" s="349">
        <f>P101/P99</f>
        <v/>
      </c>
      <c r="Q103" s="376">
        <f>Q101/Q99</f>
        <v/>
      </c>
      <c r="R103" s="340">
        <f>Q103/M27</f>
        <v/>
      </c>
      <c r="U103" s="154" t="n"/>
      <c r="W103" s="163" t="n"/>
    </row>
    <row r="104">
      <c r="A104" s="473" t="inlineStr">
        <is>
          <t xml:space="preserve">Tax rate </t>
        </is>
      </c>
      <c r="B104" s="143" t="inlineStr">
        <is>
          <t>%</t>
        </is>
      </c>
      <c r="C104" s="299">
        <f>'Data Sheet'!B48/'Data Sheet'!B47</f>
        <v/>
      </c>
      <c r="D104" s="387">
        <f>'Data Sheet'!C48/'Data Sheet'!C47</f>
        <v/>
      </c>
      <c r="E104" s="387">
        <f>'Data Sheet'!D48/'Data Sheet'!D47</f>
        <v/>
      </c>
      <c r="F104" s="387">
        <f>'Data Sheet'!E48/'Data Sheet'!E47</f>
        <v/>
      </c>
      <c r="G104" s="387">
        <f>'Data Sheet'!F48/'Data Sheet'!F47</f>
        <v/>
      </c>
      <c r="H104" s="387">
        <f>'Data Sheet'!G48/'Data Sheet'!G47</f>
        <v/>
      </c>
      <c r="I104" s="387">
        <f>'Data Sheet'!H48/'Data Sheet'!H47</f>
        <v/>
      </c>
      <c r="J104" s="387">
        <f>'Data Sheet'!I48/'Data Sheet'!I47</f>
        <v/>
      </c>
      <c r="K104" s="387">
        <f>'Data Sheet'!J48/'Data Sheet'!J47</f>
        <v/>
      </c>
      <c r="L104" s="387">
        <f>'Data Sheet'!K48/'Data Sheet'!K47</f>
        <v/>
      </c>
      <c r="M104" s="350">
        <f>$U$30</f>
        <v/>
      </c>
      <c r="N104" s="351">
        <f>$U$30</f>
        <v/>
      </c>
      <c r="O104" s="351">
        <f>$U$30</f>
        <v/>
      </c>
      <c r="P104" s="352">
        <f>$U$30</f>
        <v/>
      </c>
      <c r="Q104" s="237" t="n"/>
      <c r="R104" s="353" t="n"/>
      <c r="U104" s="154" t="n"/>
      <c r="W104" s="163" t="n"/>
    </row>
    <row r="105">
      <c r="A105" s="473" t="inlineStr">
        <is>
          <t>PAT Qtr</t>
        </is>
      </c>
      <c r="B105" s="143" t="inlineStr">
        <is>
          <t>Cr</t>
        </is>
      </c>
      <c r="C105" s="155">
        <f>'Data Sheet'!B49</f>
        <v/>
      </c>
      <c r="D105" s="372">
        <f>'Data Sheet'!C49</f>
        <v/>
      </c>
      <c r="E105" s="372">
        <f>'Data Sheet'!D49</f>
        <v/>
      </c>
      <c r="F105" s="372">
        <f>'Data Sheet'!E49</f>
        <v/>
      </c>
      <c r="G105" s="372">
        <f>'Data Sheet'!F49</f>
        <v/>
      </c>
      <c r="H105" s="372">
        <f>'Data Sheet'!G49</f>
        <v/>
      </c>
      <c r="I105" s="372">
        <f>'Data Sheet'!H49</f>
        <v/>
      </c>
      <c r="J105" s="372">
        <f>'Data Sheet'!I49</f>
        <v/>
      </c>
      <c r="K105" s="372">
        <f>'Data Sheet'!J49</f>
        <v/>
      </c>
      <c r="L105" s="372">
        <f>'Data Sheet'!K49</f>
        <v/>
      </c>
      <c r="M105" s="337">
        <f>(M101+M114-M115-M116)*(1-M104)</f>
        <v/>
      </c>
      <c r="N105" s="338">
        <f>(N101+N114-N115-N116)*(1-N104)</f>
        <v/>
      </c>
      <c r="O105" s="338">
        <f>(O101+O114-O115-O116)*(1-O104)</f>
        <v/>
      </c>
      <c r="P105" s="339">
        <f>(P101+P114-P115-P116)*(1-P104)</f>
        <v/>
      </c>
      <c r="Q105" s="372">
        <f>SUMIF(H$97:P$97,"=1",H105:P105)</f>
        <v/>
      </c>
      <c r="R105" s="340">
        <f>Q105/M20</f>
        <v/>
      </c>
      <c r="U105" s="154" t="n"/>
      <c r="W105" s="163" t="n"/>
    </row>
    <row r="106">
      <c r="A106" s="473" t="inlineStr">
        <is>
          <t>Growth (QoQ)</t>
        </is>
      </c>
      <c r="C106" s="155" t="n"/>
      <c r="D106" s="387">
        <f>D105/C105-1</f>
        <v/>
      </c>
      <c r="E106" s="387">
        <f>E105/D105-1</f>
        <v/>
      </c>
      <c r="F106" s="387">
        <f>F105/E105-1</f>
        <v/>
      </c>
      <c r="G106" s="387">
        <f>G105/F105-1</f>
        <v/>
      </c>
      <c r="H106" s="387">
        <f>H105/G105-1</f>
        <v/>
      </c>
      <c r="I106" s="387">
        <f>I105/H105-1</f>
        <v/>
      </c>
      <c r="J106" s="387">
        <f>J105/I105-1</f>
        <v/>
      </c>
      <c r="K106" s="387">
        <f>K105/J105-1</f>
        <v/>
      </c>
      <c r="L106" s="387">
        <f>L105/K105-1</f>
        <v/>
      </c>
      <c r="M106" s="341">
        <f>M105/L105-1</f>
        <v/>
      </c>
      <c r="N106" s="342">
        <f>N105/M105-1</f>
        <v/>
      </c>
      <c r="O106" s="342">
        <f>O105/N105-1</f>
        <v/>
      </c>
      <c r="P106" s="343">
        <f>P105/O105-1</f>
        <v/>
      </c>
      <c r="Q106" s="372" t="n"/>
      <c r="R106" s="340" t="n"/>
      <c r="U106" s="154" t="n"/>
      <c r="W106" s="163" t="n"/>
    </row>
    <row r="107">
      <c r="A107" s="473" t="inlineStr">
        <is>
          <t>PAT Qtr Margin</t>
        </is>
      </c>
      <c r="C107" s="205">
        <f>C105/C99</f>
        <v/>
      </c>
      <c r="D107" s="376">
        <f>D105/D99</f>
        <v/>
      </c>
      <c r="E107" s="376">
        <f>E105/E99</f>
        <v/>
      </c>
      <c r="F107" s="376">
        <f>F105/F99</f>
        <v/>
      </c>
      <c r="G107" s="376">
        <f>G105/G99</f>
        <v/>
      </c>
      <c r="H107" s="376">
        <f>H105/H99</f>
        <v/>
      </c>
      <c r="I107" s="376">
        <f>I105/I99</f>
        <v/>
      </c>
      <c r="J107" s="376">
        <f>J105/J99</f>
        <v/>
      </c>
      <c r="K107" s="376">
        <f>K105/K99</f>
        <v/>
      </c>
      <c r="L107" s="376">
        <f>L105/L99</f>
        <v/>
      </c>
      <c r="M107" s="347">
        <f>M105/M99</f>
        <v/>
      </c>
      <c r="N107" s="348">
        <f>N105/N99</f>
        <v/>
      </c>
      <c r="O107" s="348">
        <f>O105/O99</f>
        <v/>
      </c>
      <c r="P107" s="349">
        <f>P105/P99</f>
        <v/>
      </c>
      <c r="Q107" s="372" t="n"/>
      <c r="R107" s="340" t="n"/>
      <c r="U107" s="154" t="n"/>
      <c r="W107" s="163" t="n"/>
    </row>
    <row r="108">
      <c r="A108" s="473" t="n"/>
      <c r="C108" s="154" t="n"/>
      <c r="M108" s="354" t="n"/>
      <c r="N108" s="355" t="n"/>
      <c r="O108" s="355" t="n"/>
      <c r="P108" s="356" t="n"/>
      <c r="U108" s="154" t="n"/>
      <c r="W108" s="163" t="n"/>
    </row>
    <row r="109">
      <c r="A109" s="497" t="inlineStr">
        <is>
          <t>YoY Growth</t>
        </is>
      </c>
      <c r="C109" s="154" t="n"/>
      <c r="M109" s="354" t="n"/>
      <c r="N109" s="355" t="n"/>
      <c r="O109" s="355" t="n"/>
      <c r="P109" s="356" t="n"/>
      <c r="Q109" s="143" t="inlineStr">
        <is>
          <t>2 Yr CAGR</t>
        </is>
      </c>
      <c r="U109" s="154" t="n"/>
      <c r="W109" s="163" t="n"/>
    </row>
    <row r="110">
      <c r="A110" s="473" t="inlineStr">
        <is>
          <t>Revenue Qtr - YoY Growth</t>
        </is>
      </c>
      <c r="B110" s="143" t="inlineStr">
        <is>
          <t>%</t>
        </is>
      </c>
      <c r="C110" s="154" t="n"/>
      <c r="G110" s="387">
        <f>G99/C99-1</f>
        <v/>
      </c>
      <c r="H110" s="387">
        <f>H99/D99-1</f>
        <v/>
      </c>
      <c r="I110" s="387">
        <f>I99/E99-1</f>
        <v/>
      </c>
      <c r="J110" s="387">
        <f>J99/F99-1</f>
        <v/>
      </c>
      <c r="K110" s="387">
        <f>K99/G99-1</f>
        <v/>
      </c>
      <c r="L110" s="387">
        <f>L99/H99-1</f>
        <v/>
      </c>
      <c r="M110" s="341">
        <f>M99/I99-1</f>
        <v/>
      </c>
      <c r="N110" s="342">
        <f>N99/J99-1</f>
        <v/>
      </c>
      <c r="O110" s="342">
        <f>O99/K99-1</f>
        <v/>
      </c>
      <c r="P110" s="343">
        <f>P99/L99-1</f>
        <v/>
      </c>
      <c r="Q110" s="387">
        <f>((L99/D99)^(1/2))-1</f>
        <v/>
      </c>
      <c r="U110" s="154" t="n"/>
      <c r="W110" s="163" t="n"/>
    </row>
    <row r="111">
      <c r="A111" s="473" t="inlineStr">
        <is>
          <t>EBITDA Qtr - YoY Growth</t>
        </is>
      </c>
      <c r="B111" s="143" t="inlineStr">
        <is>
          <t>%</t>
        </is>
      </c>
      <c r="C111" s="154" t="n"/>
      <c r="G111" s="387">
        <f>G101/C101-1</f>
        <v/>
      </c>
      <c r="H111" s="387">
        <f>H101/D101-1</f>
        <v/>
      </c>
      <c r="I111" s="387">
        <f>I101/E101-1</f>
        <v/>
      </c>
      <c r="J111" s="387">
        <f>J101/F101-1</f>
        <v/>
      </c>
      <c r="K111" s="387">
        <f>K101/G101-1</f>
        <v/>
      </c>
      <c r="L111" s="387">
        <f>L101/H101-1</f>
        <v/>
      </c>
      <c r="M111" s="341">
        <f>M101/I101-1</f>
        <v/>
      </c>
      <c r="N111" s="342">
        <f>N101/J101-1</f>
        <v/>
      </c>
      <c r="O111" s="342">
        <f>O101/K101-1</f>
        <v/>
      </c>
      <c r="P111" s="343">
        <f>P101/L101-1</f>
        <v/>
      </c>
      <c r="Q111" s="387">
        <f>((L101/D101)^(1/2))-1</f>
        <v/>
      </c>
      <c r="U111" s="154" t="n"/>
      <c r="W111" s="163" t="n"/>
    </row>
    <row r="112">
      <c r="A112" s="473" t="inlineStr">
        <is>
          <t>PAT Qtr - YoY Growth</t>
        </is>
      </c>
      <c r="B112" s="143" t="inlineStr">
        <is>
          <t>%</t>
        </is>
      </c>
      <c r="C112" s="154" t="n"/>
      <c r="G112" s="387">
        <f>G105/C105-1</f>
        <v/>
      </c>
      <c r="H112" s="387">
        <f>H105/D105-1</f>
        <v/>
      </c>
      <c r="I112" s="387">
        <f>I105/E105-1</f>
        <v/>
      </c>
      <c r="J112" s="387">
        <f>J105/F105-1</f>
        <v/>
      </c>
      <c r="K112" s="387">
        <f>K105/G105-1</f>
        <v/>
      </c>
      <c r="L112" s="387">
        <f>L105/H105-1</f>
        <v/>
      </c>
      <c r="M112" s="341">
        <f>M105/I105-1</f>
        <v/>
      </c>
      <c r="N112" s="342">
        <f>N105/J105-1</f>
        <v/>
      </c>
      <c r="O112" s="342">
        <f>O105/K105-1</f>
        <v/>
      </c>
      <c r="P112" s="343">
        <f>P105/L105-1</f>
        <v/>
      </c>
      <c r="Q112" s="387">
        <f>((L105/D105)^(1/2))-1</f>
        <v/>
      </c>
      <c r="U112" s="154" t="n"/>
      <c r="W112" s="163" t="n"/>
    </row>
    <row r="113">
      <c r="A113" s="154" t="n"/>
      <c r="C113" s="154" t="n"/>
      <c r="M113" s="354" t="n"/>
      <c r="N113" s="355" t="n"/>
      <c r="O113" s="355" t="n"/>
      <c r="P113" s="356" t="n"/>
      <c r="U113" s="154" t="n"/>
      <c r="W113" s="163" t="n"/>
    </row>
    <row r="114">
      <c r="A114" s="473" t="inlineStr">
        <is>
          <t>Other Income</t>
        </is>
      </c>
      <c r="B114" s="143" t="inlineStr">
        <is>
          <t>Cr</t>
        </is>
      </c>
      <c r="C114" s="155">
        <f>'Data Sheet'!B44</f>
        <v/>
      </c>
      <c r="D114" s="372">
        <f>'Data Sheet'!C44</f>
        <v/>
      </c>
      <c r="E114" s="372">
        <f>'Data Sheet'!D44</f>
        <v/>
      </c>
      <c r="F114" s="372">
        <f>'Data Sheet'!E44</f>
        <v/>
      </c>
      <c r="G114" s="372">
        <f>'Data Sheet'!F44</f>
        <v/>
      </c>
      <c r="H114" s="372">
        <f>'Data Sheet'!G44</f>
        <v/>
      </c>
      <c r="I114" s="372">
        <f>'Data Sheet'!H44</f>
        <v/>
      </c>
      <c r="J114" s="372">
        <f>'Data Sheet'!I44</f>
        <v/>
      </c>
      <c r="K114" s="372">
        <f>'Data Sheet'!J44</f>
        <v/>
      </c>
      <c r="L114" s="372">
        <f>'Data Sheet'!K44</f>
        <v/>
      </c>
      <c r="M114" s="337">
        <f>AVERAGE(E114:L114)</f>
        <v/>
      </c>
      <c r="N114" s="338">
        <f>AVERAGE(F114:M114)</f>
        <v/>
      </c>
      <c r="O114" s="338">
        <f>AVERAGE(G114:N114)</f>
        <v/>
      </c>
      <c r="P114" s="339">
        <f>AVERAGE(H114:O114)</f>
        <v/>
      </c>
      <c r="U114" s="154" t="n"/>
      <c r="W114" s="163" t="n"/>
    </row>
    <row r="115">
      <c r="A115" s="473" t="inlineStr">
        <is>
          <t>Depreciation</t>
        </is>
      </c>
      <c r="B115" s="143" t="inlineStr">
        <is>
          <t>Cr</t>
        </is>
      </c>
      <c r="C115" s="155">
        <f>'Data Sheet'!B45</f>
        <v/>
      </c>
      <c r="D115" s="372">
        <f>'Data Sheet'!C45</f>
        <v/>
      </c>
      <c r="E115" s="372">
        <f>'Data Sheet'!D45</f>
        <v/>
      </c>
      <c r="F115" s="372">
        <f>'Data Sheet'!E45</f>
        <v/>
      </c>
      <c r="G115" s="372">
        <f>'Data Sheet'!F45</f>
        <v/>
      </c>
      <c r="H115" s="372">
        <f>'Data Sheet'!G45</f>
        <v/>
      </c>
      <c r="I115" s="372">
        <f>'Data Sheet'!H45</f>
        <v/>
      </c>
      <c r="J115" s="372">
        <f>'Data Sheet'!I45</f>
        <v/>
      </c>
      <c r="K115" s="372">
        <f>'Data Sheet'!J45</f>
        <v/>
      </c>
      <c r="L115" s="372">
        <f>'Data Sheet'!K45</f>
        <v/>
      </c>
      <c r="M115" s="337">
        <f>I115*(I115/E115)</f>
        <v/>
      </c>
      <c r="N115" s="338">
        <f>J115*(J115/F115)</f>
        <v/>
      </c>
      <c r="O115" s="338">
        <f>K115*(K115/G115)</f>
        <v/>
      </c>
      <c r="P115" s="339">
        <f>L115*(L115/H115)</f>
        <v/>
      </c>
      <c r="U115" s="154" t="n"/>
      <c r="W115" s="163" t="n"/>
    </row>
    <row r="116" ht="13.5" customHeight="1" thickBot="1">
      <c r="A116" s="480" t="inlineStr">
        <is>
          <t>Interest</t>
        </is>
      </c>
      <c r="B116" s="175" t="inlineStr">
        <is>
          <t>Cr</t>
        </is>
      </c>
      <c r="C116" s="176">
        <f>'Data Sheet'!B46</f>
        <v/>
      </c>
      <c r="D116" s="177">
        <f>'Data Sheet'!C46</f>
        <v/>
      </c>
      <c r="E116" s="177">
        <f>'Data Sheet'!D46</f>
        <v/>
      </c>
      <c r="F116" s="177">
        <f>'Data Sheet'!E46</f>
        <v/>
      </c>
      <c r="G116" s="177">
        <f>'Data Sheet'!F46</f>
        <v/>
      </c>
      <c r="H116" s="177">
        <f>'Data Sheet'!G46</f>
        <v/>
      </c>
      <c r="I116" s="177">
        <f>'Data Sheet'!H46</f>
        <v/>
      </c>
      <c r="J116" s="177">
        <f>'Data Sheet'!I46</f>
        <v/>
      </c>
      <c r="K116" s="177">
        <f>'Data Sheet'!J46</f>
        <v/>
      </c>
      <c r="L116" s="177">
        <f>'Data Sheet'!K46</f>
        <v/>
      </c>
      <c r="M116" s="520">
        <f>AVERAGE(E116:L116)</f>
        <v/>
      </c>
      <c r="N116" s="521">
        <f>AVERAGE(F116:M116)</f>
        <v/>
      </c>
      <c r="O116" s="521">
        <f>AVERAGE(G116:N116)</f>
        <v/>
      </c>
      <c r="P116" s="522">
        <f>AVERAGE(H116:O116)</f>
        <v/>
      </c>
      <c r="Q116" s="175" t="n"/>
      <c r="R116" s="175" t="n"/>
      <c r="S116" s="175" t="n"/>
      <c r="T116" s="175" t="n"/>
      <c r="U116" s="174" t="n"/>
      <c r="V116" s="175" t="n"/>
      <c r="W116" s="294" t="n"/>
    </row>
    <row r="117">
      <c r="A117" s="506" t="n"/>
      <c r="C117" s="372" t="n"/>
      <c r="D117" s="372" t="n"/>
      <c r="E117" s="372" t="n"/>
      <c r="F117" s="372" t="n"/>
      <c r="G117" s="372" t="n"/>
      <c r="H117" s="372" t="n"/>
      <c r="I117" s="372" t="n"/>
      <c r="J117" s="372" t="n"/>
      <c r="K117" s="372" t="n"/>
      <c r="L117" s="372" t="n"/>
      <c r="M117" s="523" t="n"/>
      <c r="N117" s="523" t="n"/>
      <c r="O117" s="523" t="n"/>
      <c r="P117" s="523" t="n"/>
      <c r="Z117" s="412">
        <f>"Key Data -"&amp;" as of "&amp;TEXT(TODAY(),"dd-mmm-yy")</f>
        <v/>
      </c>
    </row>
    <row r="118">
      <c r="A118" s="506" t="n"/>
      <c r="C118" s="372" t="n"/>
      <c r="D118" s="372" t="n"/>
      <c r="E118" s="372" t="n"/>
      <c r="F118" s="372" t="n"/>
      <c r="G118" s="372" t="n"/>
      <c r="H118" s="372" t="n"/>
      <c r="I118" s="372" t="n"/>
      <c r="J118" s="372" t="n"/>
      <c r="K118" s="372" t="n"/>
      <c r="L118" s="372" t="n"/>
      <c r="M118" s="523" t="n"/>
      <c r="N118" s="523" t="n"/>
      <c r="O118" s="523" t="n"/>
      <c r="P118" s="523" t="n"/>
      <c r="Z118" s="415">
        <f>CONCATENATE('Data Sheet'!$B$1,"           Mcap ",TEXT(ROUND($P$6,0),"0,000")," Cr        CMP ",TEXT($P$4,"##,##0.0"))</f>
        <v/>
      </c>
    </row>
    <row r="119">
      <c r="A119" s="506" t="n"/>
      <c r="C119" s="372" t="n"/>
      <c r="D119" s="372" t="n"/>
      <c r="E119" s="372" t="n"/>
      <c r="F119" s="372" t="n"/>
      <c r="G119" s="372" t="n"/>
      <c r="H119" s="372" t="n"/>
      <c r="I119" s="372" t="n"/>
      <c r="J119" s="372" t="n"/>
      <c r="K119" s="372" t="n"/>
      <c r="L119" s="372" t="n"/>
      <c r="M119" s="523" t="n"/>
      <c r="N119" s="523" t="n"/>
      <c r="O119" s="523" t="n"/>
      <c r="P119" s="523" t="n"/>
      <c r="Z119" s="413" t="inlineStr">
        <is>
          <t xml:space="preserve">Sector - </t>
        </is>
      </c>
      <c r="AB119" s="413" t="inlineStr">
        <is>
          <t xml:space="preserve">Target Price - </t>
        </is>
      </c>
      <c r="AD119" s="413" t="inlineStr">
        <is>
          <t xml:space="preserve">Upside - </t>
        </is>
      </c>
    </row>
    <row r="120">
      <c r="A120" s="506" t="n"/>
      <c r="C120" s="372" t="n"/>
      <c r="D120" s="372" t="n"/>
      <c r="E120" s="372" t="n"/>
      <c r="F120" s="372" t="n"/>
      <c r="G120" s="372" t="n"/>
      <c r="H120" s="372" t="n"/>
      <c r="I120" s="372" t="n"/>
      <c r="J120" s="372" t="n"/>
      <c r="K120" s="372" t="n"/>
      <c r="L120" s="372" t="n"/>
      <c r="M120" s="523" t="n"/>
      <c r="N120" s="523" t="n"/>
      <c r="O120" s="523" t="n"/>
      <c r="P120" s="523" t="n"/>
      <c r="Z120" s="413" t="inlineStr">
        <is>
          <t>52 H/L</t>
        </is>
      </c>
      <c r="AB120" s="414" t="inlineStr">
        <is>
          <t>Avg. daily value traded</t>
        </is>
      </c>
      <c r="AD120" s="413" t="inlineStr">
        <is>
          <t>Free Float %</t>
        </is>
      </c>
    </row>
    <row r="121">
      <c r="Z121" s="412" t="inlineStr">
        <is>
          <t>Financial Summary</t>
        </is>
      </c>
    </row>
    <row r="122" ht="15" customHeight="1">
      <c r="Z122" s="407" t="inlineStr">
        <is>
          <t>INR Cr</t>
        </is>
      </c>
      <c r="AA122" s="402" t="inlineStr">
        <is>
          <t>FY24</t>
        </is>
      </c>
      <c r="AB122" s="402" t="inlineStr">
        <is>
          <t>FY25</t>
        </is>
      </c>
      <c r="AC122" s="402" t="inlineStr">
        <is>
          <t>FY26E</t>
        </is>
      </c>
      <c r="AD122" s="402" t="inlineStr">
        <is>
          <t>FY27E</t>
        </is>
      </c>
      <c r="AE122" s="402" t="inlineStr">
        <is>
          <t>FY28E</t>
        </is>
      </c>
    </row>
    <row r="123">
      <c r="Z123" s="143">
        <f>A9</f>
        <v/>
      </c>
      <c r="AA123" s="210">
        <f>K9</f>
        <v/>
      </c>
      <c r="AB123" s="210">
        <f>L9</f>
        <v/>
      </c>
      <c r="AC123" s="210">
        <f>M9</f>
        <v/>
      </c>
      <c r="AD123" s="210">
        <f>N9</f>
        <v/>
      </c>
      <c r="AE123" s="210">
        <f>O9</f>
        <v/>
      </c>
    </row>
    <row r="124">
      <c r="Z124" s="399">
        <f>A10</f>
        <v/>
      </c>
      <c r="AA124" s="404">
        <f>K10</f>
        <v/>
      </c>
      <c r="AB124" s="404">
        <f>L10</f>
        <v/>
      </c>
      <c r="AC124" s="404">
        <f>M10</f>
        <v/>
      </c>
      <c r="AD124" s="404">
        <f>N10</f>
        <v/>
      </c>
      <c r="AE124" s="404">
        <f>O10</f>
        <v/>
      </c>
    </row>
    <row r="125">
      <c r="Z125" s="143">
        <f>A13</f>
        <v/>
      </c>
      <c r="AA125" s="210">
        <f>K13</f>
        <v/>
      </c>
      <c r="AB125" s="210">
        <f>L13</f>
        <v/>
      </c>
      <c r="AC125" s="210">
        <f>M13</f>
        <v/>
      </c>
      <c r="AD125" s="210">
        <f>N13</f>
        <v/>
      </c>
      <c r="AE125" s="210">
        <f>O13</f>
        <v/>
      </c>
    </row>
    <row r="126">
      <c r="A126" s="361" t="n"/>
      <c r="Z126" s="399">
        <f>A14</f>
        <v/>
      </c>
      <c r="AA126" s="404">
        <f>K14</f>
        <v/>
      </c>
      <c r="AB126" s="404">
        <f>L14</f>
        <v/>
      </c>
      <c r="AC126" s="404">
        <f>M14</f>
        <v/>
      </c>
      <c r="AD126" s="404">
        <f>N14</f>
        <v/>
      </c>
      <c r="AE126" s="404">
        <f>O14</f>
        <v/>
      </c>
    </row>
    <row r="127">
      <c r="A127" s="361" t="n"/>
      <c r="Z127" s="524">
        <f>A20</f>
        <v/>
      </c>
      <c r="AA127" s="210">
        <f>K20</f>
        <v/>
      </c>
      <c r="AB127" s="210">
        <f>L20</f>
        <v/>
      </c>
      <c r="AC127" s="210">
        <f>M20</f>
        <v/>
      </c>
      <c r="AD127" s="210">
        <f>N20</f>
        <v/>
      </c>
      <c r="AE127" s="210">
        <f>O20</f>
        <v/>
      </c>
    </row>
    <row r="128">
      <c r="A128" s="261" t="n"/>
      <c r="Z128" s="525">
        <f>A21</f>
        <v/>
      </c>
      <c r="AA128" s="404">
        <f>K21</f>
        <v/>
      </c>
      <c r="AB128" s="404">
        <f>L21</f>
        <v/>
      </c>
      <c r="AC128" s="404">
        <f>M21</f>
        <v/>
      </c>
      <c r="AD128" s="404">
        <f>N21</f>
        <v/>
      </c>
      <c r="AE128" s="404">
        <f>O21</f>
        <v/>
      </c>
    </row>
    <row r="129">
      <c r="A129" s="362" t="n"/>
      <c r="B129" s="363" t="n"/>
      <c r="Z129" s="524">
        <f>A22</f>
        <v/>
      </c>
      <c r="AA129" s="487">
        <f>K22</f>
        <v/>
      </c>
      <c r="AB129" s="487">
        <f>L22</f>
        <v/>
      </c>
      <c r="AC129" s="487">
        <f>M22</f>
        <v/>
      </c>
      <c r="AD129" s="487">
        <f>N22</f>
        <v/>
      </c>
      <c r="AE129" s="487">
        <f>O22</f>
        <v/>
      </c>
    </row>
    <row r="130">
      <c r="A130" s="362" t="n"/>
      <c r="B130" s="363" t="n"/>
      <c r="Z130" s="399">
        <f>A91</f>
        <v/>
      </c>
      <c r="AA130" s="526">
        <f>K91</f>
        <v/>
      </c>
      <c r="AB130" s="526">
        <f>L91</f>
        <v/>
      </c>
      <c r="AC130" s="526">
        <f>M91</f>
        <v/>
      </c>
      <c r="AD130" s="526">
        <f>N91</f>
        <v/>
      </c>
      <c r="AE130" s="526">
        <f>O91</f>
        <v/>
      </c>
    </row>
    <row r="131">
      <c r="A131" s="362" t="n"/>
      <c r="B131" s="363" t="n"/>
      <c r="Z131" s="143">
        <f>A92</f>
        <v/>
      </c>
      <c r="AA131" s="466">
        <f>K92</f>
        <v/>
      </c>
      <c r="AB131" s="466">
        <f>L92</f>
        <v/>
      </c>
      <c r="AC131" s="466">
        <f>M92</f>
        <v/>
      </c>
      <c r="AD131" s="466">
        <f>N92</f>
        <v/>
      </c>
      <c r="AE131" s="466">
        <f>O92</f>
        <v/>
      </c>
    </row>
    <row r="132">
      <c r="A132" s="362" t="n"/>
      <c r="B132" s="363" t="n"/>
      <c r="Z132" s="399">
        <f>A80</f>
        <v/>
      </c>
      <c r="AA132" s="403">
        <f>K80</f>
        <v/>
      </c>
      <c r="AB132" s="403">
        <f>L80</f>
        <v/>
      </c>
      <c r="AC132" s="403">
        <f>M80</f>
        <v/>
      </c>
      <c r="AD132" s="403">
        <f>N80</f>
        <v/>
      </c>
      <c r="AE132" s="403">
        <f>O80</f>
        <v/>
      </c>
    </row>
    <row r="133">
      <c r="A133" s="362" t="inlineStr">
        <is>
          <t>Pledge</t>
        </is>
      </c>
      <c r="B133" s="363" t="n"/>
      <c r="Z133" s="405">
        <f>A79</f>
        <v/>
      </c>
      <c r="AA133" s="406">
        <f>K79</f>
        <v/>
      </c>
      <c r="AB133" s="406">
        <f>L79</f>
        <v/>
      </c>
      <c r="AC133" s="406">
        <f>M79</f>
        <v/>
      </c>
      <c r="AD133" s="406">
        <f>N79</f>
        <v/>
      </c>
      <c r="AE133" s="406">
        <f>O79</f>
        <v/>
      </c>
    </row>
    <row r="134">
      <c r="A134" s="362" t="n"/>
      <c r="B134" s="363" t="n"/>
    </row>
    <row r="135">
      <c r="A135" s="362" t="inlineStr">
        <is>
          <t>Managerial Remuneration</t>
        </is>
      </c>
      <c r="B135" s="362" t="inlineStr">
        <is>
          <t>Cr</t>
        </is>
      </c>
    </row>
    <row r="136">
      <c r="A136" s="362" t="inlineStr">
        <is>
          <t>Auditors Remuneration</t>
        </is>
      </c>
      <c r="B136" s="363" t="n"/>
    </row>
    <row r="137">
      <c r="A137" s="362" t="inlineStr">
        <is>
          <t xml:space="preserve"> - Audit Work </t>
        </is>
      </c>
      <c r="B137" s="362" t="inlineStr">
        <is>
          <t>Cr</t>
        </is>
      </c>
    </row>
    <row r="138">
      <c r="A138" s="362" t="inlineStr">
        <is>
          <t>- Non- Audit Work</t>
        </is>
      </c>
      <c r="B138" s="362" t="inlineStr">
        <is>
          <t>Cr</t>
        </is>
      </c>
    </row>
    <row r="139">
      <c r="A139" s="362" t="inlineStr">
        <is>
          <t>Board of directors</t>
        </is>
      </c>
      <c r="B139" s="362" t="inlineStr">
        <is>
          <t>Nos</t>
        </is>
      </c>
    </row>
    <row r="140">
      <c r="A140" s="362" t="inlineStr">
        <is>
          <t>Independent Directors</t>
        </is>
      </c>
      <c r="B140" s="362" t="inlineStr">
        <is>
          <t>Nos</t>
        </is>
      </c>
    </row>
    <row r="141">
      <c r="A141" s="363" t="n"/>
      <c r="B141" s="363" t="n"/>
    </row>
  </sheetData>
  <mergeCells count="12">
    <mergeCell ref="U2:W2"/>
    <mergeCell ref="AB119:AC119"/>
    <mergeCell ref="Z119:AA119"/>
    <mergeCell ref="B1:W1"/>
    <mergeCell ref="AD119:AE119"/>
    <mergeCell ref="AB120:AC120"/>
    <mergeCell ref="Z120:AA120"/>
    <mergeCell ref="Z118:AE118"/>
    <mergeCell ref="AD120:AE120"/>
    <mergeCell ref="A2:T2"/>
    <mergeCell ref="Z121:AE121"/>
    <mergeCell ref="Z117:AE117"/>
  </mergeCells>
  <conditionalFormatting sqref="D9:D10 E10:O10">
    <cfRule type="cellIs" priority="31" operator="greaterThanOrEqual" dxfId="5">
      <formula>C9</formula>
    </cfRule>
    <cfRule type="cellIs" priority="32" operator="lessThan" dxfId="4">
      <formula>C9</formula>
    </cfRule>
    <cfRule type="cellIs" priority="33" operator="greaterThanOrEqual" dxfId="5">
      <formula>C9</formula>
    </cfRule>
    <cfRule type="cellIs" priority="34" operator="lessThan" dxfId="4">
      <formula>C9</formula>
    </cfRule>
  </conditionalFormatting>
  <conditionalFormatting sqref="D12:F12 H12:O12">
    <cfRule type="cellIs" priority="9" operator="greaterThanOrEqual" dxfId="5">
      <formula>C12</formula>
    </cfRule>
    <cfRule type="cellIs" priority="10" operator="lessThan" dxfId="4">
      <formula>C12</formula>
    </cfRule>
    <cfRule type="cellIs" priority="11" operator="greaterThanOrEqual" dxfId="5">
      <formula>C12</formula>
    </cfRule>
    <cfRule type="cellIs" priority="12" operator="lessThan" dxfId="4">
      <formula>C12</formula>
    </cfRule>
  </conditionalFormatting>
  <conditionalFormatting sqref="D11:L11 D13:L13">
    <cfRule type="cellIs" priority="27" operator="greaterThanOrEqual" dxfId="5">
      <formula>C11</formula>
    </cfRule>
    <cfRule type="cellIs" priority="28" operator="lessThan" dxfId="4">
      <formula>C11</formula>
    </cfRule>
    <cfRule type="cellIs" priority="29" operator="greaterThanOrEqual" dxfId="5">
      <formula>C11</formula>
    </cfRule>
    <cfRule type="cellIs" priority="30" operator="lessThan" dxfId="4">
      <formula>C11</formula>
    </cfRule>
  </conditionalFormatting>
  <conditionalFormatting sqref="D20:L20">
    <cfRule type="cellIs" priority="23" operator="greaterThanOrEqual" dxfId="5">
      <formula>C20</formula>
    </cfRule>
    <cfRule type="cellIs" priority="24" operator="lessThan" dxfId="4">
      <formula>C20</formula>
    </cfRule>
    <cfRule type="cellIs" priority="25" operator="greaterThanOrEqual" dxfId="5">
      <formula>C20</formula>
    </cfRule>
    <cfRule type="cellIs" priority="26" operator="lessThan" dxfId="4">
      <formula>C20</formula>
    </cfRule>
  </conditionalFormatting>
  <conditionalFormatting sqref="D22:L22">
    <cfRule type="cellIs" priority="19" operator="greaterThanOrEqual" dxfId="5">
      <formula>C22</formula>
    </cfRule>
    <cfRule type="cellIs" priority="20" operator="lessThan" dxfId="4">
      <formula>C22</formula>
    </cfRule>
    <cfRule type="cellIs" priority="21" operator="greaterThanOrEqual" dxfId="5">
      <formula>C22</formula>
    </cfRule>
    <cfRule type="cellIs" priority="22" operator="lessThan" dxfId="4">
      <formula>C22</formula>
    </cfRule>
  </conditionalFormatting>
  <conditionalFormatting sqref="D26:L32">
    <cfRule type="cellIs" priority="75" operator="greaterThanOrEqual" dxfId="5">
      <formula>C26</formula>
    </cfRule>
    <cfRule type="cellIs" priority="76" operator="lessThan" dxfId="4">
      <formula>C26</formula>
    </cfRule>
  </conditionalFormatting>
  <conditionalFormatting sqref="D64:L64">
    <cfRule type="cellIs" priority="15" operator="greaterThanOrEqual" dxfId="5">
      <formula>C64</formula>
    </cfRule>
    <cfRule type="cellIs" priority="16" operator="lessThan" dxfId="4">
      <formula>C64</formula>
    </cfRule>
    <cfRule type="cellIs" priority="17" operator="greaterThanOrEqual" dxfId="5">
      <formula>C64</formula>
    </cfRule>
    <cfRule type="cellIs" priority="18" operator="lessThan" dxfId="4">
      <formula>C64</formula>
    </cfRule>
  </conditionalFormatting>
  <conditionalFormatting sqref="D65:L65">
    <cfRule type="cellIs" priority="13" operator="greaterThanOrEqual" dxfId="4">
      <formula>C65</formula>
    </cfRule>
    <cfRule type="cellIs" priority="14" operator="lessThan" dxfId="5">
      <formula>C65</formula>
    </cfRule>
  </conditionalFormatting>
  <conditionalFormatting sqref="D68:L71">
    <cfRule type="cellIs" priority="45" operator="greaterThanOrEqual" dxfId="4">
      <formula>C68</formula>
    </cfRule>
    <cfRule type="cellIs" priority="46" operator="lessThan" dxfId="5">
      <formula>C68</formula>
    </cfRule>
  </conditionalFormatting>
  <conditionalFormatting sqref="D72:L72">
    <cfRule type="cellIs" priority="53" operator="greaterThanOrEqual" dxfId="5">
      <formula>C72</formula>
    </cfRule>
    <cfRule type="cellIs" priority="54" operator="lessThan" dxfId="4">
      <formula>C72</formula>
    </cfRule>
  </conditionalFormatting>
  <conditionalFormatting sqref="D72:L74">
    <cfRule type="cellIs" priority="49" operator="greaterThanOrEqual" dxfId="5">
      <formula>C72</formula>
    </cfRule>
    <cfRule type="cellIs" priority="50" operator="lessThan" dxfId="4">
      <formula>C72</formula>
    </cfRule>
  </conditionalFormatting>
  <conditionalFormatting sqref="D73:L74">
    <cfRule type="cellIs" priority="47" operator="greaterThanOrEqual" dxfId="5">
      <formula>C73</formula>
    </cfRule>
    <cfRule type="cellIs" priority="48" operator="lessThan" dxfId="4">
      <formula>C73</formula>
    </cfRule>
  </conditionalFormatting>
  <conditionalFormatting sqref="D76:L76">
    <cfRule type="cellIs" priority="43" operator="greaterThanOrEqual" dxfId="4">
      <formula>C76</formula>
    </cfRule>
    <cfRule type="cellIs" priority="44" operator="lessThan" dxfId="5">
      <formula>C76</formula>
    </cfRule>
  </conditionalFormatting>
  <conditionalFormatting sqref="D14:O14">
    <cfRule type="cellIs" priority="5" operator="greaterThanOrEqual" dxfId="5">
      <formula>C14</formula>
    </cfRule>
    <cfRule type="cellIs" priority="6" operator="lessThan" dxfId="4">
      <formula>C14</formula>
    </cfRule>
    <cfRule type="cellIs" priority="7" operator="greaterThanOrEqual" dxfId="5">
      <formula>C14</formula>
    </cfRule>
    <cfRule type="cellIs" priority="8" operator="lessThan" dxfId="4">
      <formula>C14</formula>
    </cfRule>
  </conditionalFormatting>
  <conditionalFormatting sqref="D21:O21">
    <cfRule type="cellIs" priority="1" operator="greaterThanOrEqual" dxfId="5">
      <formula>C21</formula>
    </cfRule>
    <cfRule type="cellIs" priority="2" operator="lessThan" dxfId="4">
      <formula>C21</formula>
    </cfRule>
    <cfRule type="cellIs" priority="3" operator="greaterThanOrEqual" dxfId="5">
      <formula>C21</formula>
    </cfRule>
    <cfRule type="cellIs" priority="4" operator="lessThan" dxfId="4">
      <formula>C21</formula>
    </cfRule>
  </conditionalFormatting>
  <conditionalFormatting sqref="E9">
    <cfRule type="cellIs" priority="39" operator="greaterThanOrEqual" dxfId="5">
      <formula>D9</formula>
    </cfRule>
    <cfRule type="cellIs" priority="40" operator="lessThan" dxfId="4">
      <formula>D9</formula>
    </cfRule>
    <cfRule type="cellIs" priority="41" operator="greaterThanOrEqual" dxfId="5">
      <formula>D9</formula>
    </cfRule>
    <cfRule type="cellIs" priority="42" operator="lessThan" dxfId="4">
      <formula>D9</formula>
    </cfRule>
  </conditionalFormatting>
  <conditionalFormatting sqref="E9:L9">
    <cfRule type="cellIs" priority="35" operator="greaterThanOrEqual" dxfId="5">
      <formula>D9</formula>
    </cfRule>
    <cfRule type="cellIs" priority="36" operator="lessThan" dxfId="4">
      <formula>D9</formula>
    </cfRule>
    <cfRule type="cellIs" priority="37" operator="greaterThanOrEqual" dxfId="5">
      <formula>D9</formula>
    </cfRule>
    <cfRule type="cellIs" priority="38" operator="lessThan" dxfId="4">
      <formula>D9</formula>
    </cfRule>
  </conditionalFormatting>
  <conditionalFormatting sqref="E26:L26">
    <cfRule type="cellIs" priority="71" operator="greaterThanOrEqual" dxfId="5">
      <formula>D26</formula>
    </cfRule>
    <cfRule type="cellIs" priority="72" operator="lessThan" dxfId="4">
      <formula>D26</formula>
    </cfRule>
  </conditionalFormatting>
  <conditionalFormatting sqref="E35:L38">
    <cfRule type="cellIs" priority="67" operator="greaterThanOrEqual" dxfId="5">
      <formula>D35</formula>
    </cfRule>
    <cfRule type="cellIs" priority="68" operator="lessThan" dxfId="4">
      <formula>D35</formula>
    </cfRule>
    <cfRule type="cellIs" priority="69" operator="greaterThanOrEqual" dxfId="5">
      <formula>D35</formula>
    </cfRule>
    <cfRule type="cellIs" priority="70" operator="lessThan" dxfId="4">
      <formula>D35</formula>
    </cfRule>
  </conditionalFormatting>
  <conditionalFormatting sqref="E58:L61">
    <cfRule type="cellIs" priority="63" operator="greaterThanOrEqual" dxfId="5">
      <formula>D58</formula>
    </cfRule>
    <cfRule type="cellIs" priority="64" operator="lessThan" dxfId="4">
      <formula>D58</formula>
    </cfRule>
    <cfRule type="cellIs" priority="65" operator="greaterThanOrEqual" dxfId="5">
      <formula>D58</formula>
    </cfRule>
    <cfRule type="cellIs" priority="66" operator="lessThan" dxfId="4">
      <formula>D58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8">
    <outlinePr summaryBelow="1" summaryRight="1"/>
    <pageSetUpPr/>
  </sheetPr>
  <dimension ref="A1:X93"/>
  <sheetViews>
    <sheetView zoomScale="75" zoomScaleNormal="75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baseColWidth="8" defaultColWidth="8.85546875" defaultRowHeight="12.75"/>
  <cols>
    <col width="24.140625" customWidth="1" style="143" min="1" max="1"/>
    <col width="7.140625" bestFit="1" customWidth="1" style="143" min="2" max="3"/>
    <col width="9" customWidth="1" style="143" min="4" max="10"/>
    <col width="10.140625" customWidth="1" style="143" min="11" max="17"/>
    <col width="9.140625" customWidth="1" style="143" min="18" max="18"/>
    <col width="7" customWidth="1" style="143" min="19" max="19"/>
    <col width="6.85546875" customWidth="1" style="143" min="20" max="20"/>
    <col width="7.7109375" customWidth="1" style="143" min="21" max="21"/>
    <col width="7" customWidth="1" style="143" min="22" max="24"/>
    <col width="8.85546875" customWidth="1" style="143" min="25" max="16384"/>
  </cols>
  <sheetData>
    <row r="1" ht="26.25" customHeight="1" thickBot="1">
      <c r="A1" s="144" t="n"/>
      <c r="B1" s="145" t="n"/>
      <c r="C1" s="145" t="n"/>
      <c r="D1" s="144">
        <f>'Data Sheet'!B16</f>
        <v/>
      </c>
      <c r="E1" s="145">
        <f>'Data Sheet'!C16</f>
        <v/>
      </c>
      <c r="F1" s="145">
        <f>'Data Sheet'!D16</f>
        <v/>
      </c>
      <c r="G1" s="145">
        <f>'Data Sheet'!E16</f>
        <v/>
      </c>
      <c r="H1" s="145">
        <f>'Data Sheet'!F16</f>
        <v/>
      </c>
      <c r="I1" s="145">
        <f>'Data Sheet'!G16</f>
        <v/>
      </c>
      <c r="J1" s="145">
        <f>'Data Sheet'!H16</f>
        <v/>
      </c>
      <c r="K1" s="145">
        <f>'Data Sheet'!I16</f>
        <v/>
      </c>
      <c r="L1" s="145">
        <f>'Data Sheet'!J16</f>
        <v/>
      </c>
      <c r="M1" s="146">
        <f>'Data Sheet'!K16</f>
        <v/>
      </c>
      <c r="N1" s="147">
        <f>M1+365</f>
        <v/>
      </c>
      <c r="O1" s="148">
        <f>N1+365</f>
        <v/>
      </c>
      <c r="P1" s="149">
        <f>O1+365</f>
        <v/>
      </c>
      <c r="Q1" s="150" t="inlineStr">
        <is>
          <t>TTM</t>
        </is>
      </c>
      <c r="R1" s="151" t="inlineStr">
        <is>
          <t>3 Yr  Proj
CAGR</t>
        </is>
      </c>
      <c r="S1" s="152" t="inlineStr">
        <is>
          <t>3 Yr 
CAGR</t>
        </is>
      </c>
      <c r="T1" s="152" t="inlineStr">
        <is>
          <t>5 Yr 
CAGR</t>
        </is>
      </c>
      <c r="U1" s="152" t="inlineStr">
        <is>
          <t>9Yr 
CAGR</t>
        </is>
      </c>
      <c r="V1" s="151">
        <f>N1</f>
        <v/>
      </c>
      <c r="W1" s="152">
        <f>O1</f>
        <v/>
      </c>
      <c r="X1" s="153">
        <f>P1</f>
        <v/>
      </c>
    </row>
    <row r="2">
      <c r="A2" s="189" t="inlineStr">
        <is>
          <t>Revenue</t>
        </is>
      </c>
      <c r="B2" s="190" t="inlineStr">
        <is>
          <t>Cr</t>
        </is>
      </c>
      <c r="C2" s="190" t="n"/>
      <c r="D2" s="191">
        <f>'Data Sheet'!B17</f>
        <v/>
      </c>
      <c r="E2" s="192">
        <f>'Data Sheet'!C17</f>
        <v/>
      </c>
      <c r="F2" s="192">
        <f>'Data Sheet'!D17</f>
        <v/>
      </c>
      <c r="G2" s="192">
        <f>'Data Sheet'!E17</f>
        <v/>
      </c>
      <c r="H2" s="192">
        <f>'Data Sheet'!F17</f>
        <v/>
      </c>
      <c r="I2" s="192">
        <f>'Data Sheet'!G17</f>
        <v/>
      </c>
      <c r="J2" s="192">
        <f>'Data Sheet'!H17</f>
        <v/>
      </c>
      <c r="K2" s="192">
        <f>'Data Sheet'!I17</f>
        <v/>
      </c>
      <c r="L2" s="192">
        <f>'Data Sheet'!J17</f>
        <v/>
      </c>
      <c r="M2" s="192">
        <f>'Data Sheet'!K17</f>
        <v/>
      </c>
      <c r="N2" s="193">
        <f>M2*(1+$V2)</f>
        <v/>
      </c>
      <c r="O2" s="194">
        <f>N2*(1+$W2)</f>
        <v/>
      </c>
      <c r="P2" s="195">
        <f>O2*(1+$X2)</f>
        <v/>
      </c>
      <c r="Q2" s="196">
        <f>SUM(J53:M53)</f>
        <v/>
      </c>
      <c r="R2" s="197">
        <f>((P2/M2)^(1/3))-1</f>
        <v/>
      </c>
      <c r="S2" s="198">
        <f>((M2/J2)^(1/3))-1</f>
        <v/>
      </c>
      <c r="T2" s="198">
        <f>((M2/H2)^(1/5))-1</f>
        <v/>
      </c>
      <c r="U2" s="198">
        <f>IF(D2&gt;0,((M2/D2)^(1/9))-1,"-")</f>
        <v/>
      </c>
      <c r="V2" s="199">
        <f>S2</f>
        <v/>
      </c>
      <c r="W2" s="200">
        <f>V2</f>
        <v/>
      </c>
      <c r="X2" s="201">
        <f>W2</f>
        <v/>
      </c>
    </row>
    <row r="3">
      <c r="A3" s="473" t="inlineStr">
        <is>
          <t>PBIT</t>
        </is>
      </c>
      <c r="B3" s="143" t="inlineStr">
        <is>
          <t>Cr</t>
        </is>
      </c>
      <c r="D3" s="155">
        <f>'Data Sheet'!B28+'Data Sheet'!B27</f>
        <v/>
      </c>
      <c r="E3" s="372">
        <f>'Data Sheet'!C28+'Data Sheet'!C27</f>
        <v/>
      </c>
      <c r="F3" s="372">
        <f>'Data Sheet'!D28+'Data Sheet'!D27</f>
        <v/>
      </c>
      <c r="G3" s="372">
        <f>'Data Sheet'!E28+'Data Sheet'!E27</f>
        <v/>
      </c>
      <c r="H3" s="372">
        <f>'Data Sheet'!F28+'Data Sheet'!F27</f>
        <v/>
      </c>
      <c r="I3" s="372">
        <f>'Data Sheet'!G28+'Data Sheet'!G27</f>
        <v/>
      </c>
      <c r="J3" s="372">
        <f>'Data Sheet'!H28+'Data Sheet'!H27</f>
        <v/>
      </c>
      <c r="K3" s="372">
        <f>'Data Sheet'!I28+'Data Sheet'!I27</f>
        <v/>
      </c>
      <c r="L3" s="372">
        <f>'Data Sheet'!J28+'Data Sheet'!J27</f>
        <v/>
      </c>
      <c r="M3" s="157">
        <f>'Data Sheet'!K28+'Data Sheet'!K27</f>
        <v/>
      </c>
      <c r="N3" s="158">
        <f>Financial!M18+Financial!M17</f>
        <v/>
      </c>
      <c r="O3" s="159">
        <f>Financial!N18+Financial!N17</f>
        <v/>
      </c>
      <c r="P3" s="160">
        <f>Financial!O18+Financial!O17</f>
        <v/>
      </c>
      <c r="Q3" s="208">
        <f>SUM('Data Sheet'!H47:K47)+SUM('Data Sheet'!H46:K46)</f>
        <v/>
      </c>
      <c r="R3" s="206" t="n"/>
      <c r="S3" s="376" t="n"/>
      <c r="T3" s="376" t="n"/>
      <c r="V3" s="154" t="n"/>
      <c r="X3" s="163" t="n"/>
    </row>
    <row r="4">
      <c r="A4" s="473" t="inlineStr">
        <is>
          <t xml:space="preserve">CAPITAL EMPLOYED </t>
        </is>
      </c>
      <c r="D4" s="155">
        <f>Financial!C43</f>
        <v/>
      </c>
      <c r="E4" s="372">
        <f>Financial!D43</f>
        <v/>
      </c>
      <c r="F4" s="372">
        <f>Financial!E43</f>
        <v/>
      </c>
      <c r="G4" s="372">
        <f>Financial!F43</f>
        <v/>
      </c>
      <c r="H4" s="372">
        <f>Financial!G43</f>
        <v/>
      </c>
      <c r="I4" s="372">
        <f>Financial!H43</f>
        <v/>
      </c>
      <c r="J4" s="372">
        <f>Financial!I43</f>
        <v/>
      </c>
      <c r="K4" s="372">
        <f>Financial!J43</f>
        <v/>
      </c>
      <c r="L4" s="372">
        <f>Financial!K43</f>
        <v/>
      </c>
      <c r="M4" s="157">
        <f>Financial!L43</f>
        <v/>
      </c>
      <c r="N4" s="171">
        <f>Financial!M43</f>
        <v/>
      </c>
      <c r="O4" s="172">
        <f>Financial!N43</f>
        <v/>
      </c>
      <c r="P4" s="173">
        <f>Financial!O43</f>
        <v/>
      </c>
      <c r="Q4" s="236" t="n"/>
      <c r="R4" s="205" t="n"/>
      <c r="V4" s="154" t="n"/>
      <c r="X4" s="163" t="n"/>
    </row>
    <row r="5" ht="13.5" customHeight="1" thickBot="1">
      <c r="A5" s="154" t="inlineStr">
        <is>
          <t>DEVIATION</t>
        </is>
      </c>
      <c r="V5" s="154" t="n"/>
      <c r="X5" s="163" t="n"/>
    </row>
    <row r="6">
      <c r="A6" s="189" t="inlineStr">
        <is>
          <t>Revenue</t>
        </is>
      </c>
      <c r="D6" s="376">
        <f>D2/D20-1</f>
        <v/>
      </c>
      <c r="E6" s="376">
        <f>E2/E20-1</f>
        <v/>
      </c>
      <c r="F6" s="376">
        <f>F2/F20-1</f>
        <v/>
      </c>
      <c r="G6" s="376">
        <f>G2/G20-1</f>
        <v/>
      </c>
      <c r="H6" s="376">
        <f>H2/H20-1</f>
        <v/>
      </c>
      <c r="I6" s="376">
        <f>I2/I20-1</f>
        <v/>
      </c>
      <c r="J6" s="376">
        <f>J2/J20-1</f>
        <v/>
      </c>
      <c r="K6" s="376">
        <f>K2/K20-1</f>
        <v/>
      </c>
      <c r="L6" s="376">
        <f>L2/L20-1</f>
        <v/>
      </c>
      <c r="M6" s="376">
        <f>M2/M20-1</f>
        <v/>
      </c>
      <c r="N6" s="376">
        <f>N2/N20-1</f>
        <v/>
      </c>
      <c r="O6" s="376">
        <f>O2/O20-1</f>
        <v/>
      </c>
      <c r="P6" s="376">
        <f>P2/P20-1</f>
        <v/>
      </c>
    </row>
    <row r="7">
      <c r="A7" s="473" t="inlineStr">
        <is>
          <t>PBIT</t>
        </is>
      </c>
      <c r="D7" s="376">
        <f>D3/D32-1</f>
        <v/>
      </c>
      <c r="E7" s="376">
        <f>E3/E32-1</f>
        <v/>
      </c>
      <c r="F7" s="376">
        <f>F3/F32-1</f>
        <v/>
      </c>
      <c r="G7" s="376">
        <f>G3/G32-1</f>
        <v/>
      </c>
      <c r="H7" s="376">
        <f>H3/H32-1</f>
        <v/>
      </c>
      <c r="I7" s="376">
        <f>I3/I32-1</f>
        <v/>
      </c>
      <c r="J7" s="376">
        <f>J3/J32-1</f>
        <v/>
      </c>
      <c r="K7" s="376">
        <f>K3/K32-1</f>
        <v/>
      </c>
      <c r="L7" s="376">
        <f>L3/L32-1</f>
        <v/>
      </c>
      <c r="M7" s="376">
        <f>M3/M32-1</f>
        <v/>
      </c>
    </row>
    <row r="8">
      <c r="A8" s="473" t="inlineStr">
        <is>
          <t xml:space="preserve">CAPITAL EMPLOYED </t>
        </is>
      </c>
    </row>
    <row r="10" ht="13.5" customHeight="1" thickBot="1">
      <c r="A10" s="143" t="inlineStr">
        <is>
          <t xml:space="preserve">SEGMENT REVENUE </t>
        </is>
      </c>
      <c r="D10" s="388">
        <f>D1</f>
        <v/>
      </c>
      <c r="E10" s="388">
        <f>E1</f>
        <v/>
      </c>
      <c r="F10" s="388">
        <f>F1</f>
        <v/>
      </c>
      <c r="G10" s="388">
        <f>G1</f>
        <v/>
      </c>
      <c r="H10" s="388">
        <f>H1</f>
        <v/>
      </c>
      <c r="I10" s="388">
        <f>I1</f>
        <v/>
      </c>
      <c r="J10" s="388">
        <f>J1</f>
        <v/>
      </c>
      <c r="K10" s="388">
        <f>K1</f>
        <v/>
      </c>
      <c r="L10" s="388">
        <f>L1</f>
        <v/>
      </c>
      <c r="M10" s="388">
        <f>M1</f>
        <v/>
      </c>
      <c r="N10" s="388">
        <f>N1</f>
        <v/>
      </c>
      <c r="O10" s="388">
        <f>O1</f>
        <v/>
      </c>
      <c r="P10" s="388">
        <f>P1</f>
        <v/>
      </c>
    </row>
    <row r="11" ht="13.5" customHeight="1" thickBot="1">
      <c r="A11" s="389" t="inlineStr">
        <is>
          <t>Banking Finance Insurance</t>
        </is>
      </c>
      <c r="B11" s="374" t="n">
        <v>21062</v>
      </c>
      <c r="C11" s="374" t="n">
        <v>27146</v>
      </c>
      <c r="D11" s="374" t="n">
        <v>35112</v>
      </c>
      <c r="E11" s="374" t="n">
        <v>38566</v>
      </c>
      <c r="F11" s="374" t="n">
        <v>44163</v>
      </c>
      <c r="G11" s="374" t="n">
        <v>47505</v>
      </c>
      <c r="H11" s="374" t="n">
        <v>48418</v>
      </c>
      <c r="I11" s="374" t="n">
        <v>57938</v>
      </c>
      <c r="J11" s="374" t="n">
        <v>61095</v>
      </c>
      <c r="K11" s="374" t="n">
        <v>65634</v>
      </c>
      <c r="L11" s="374" t="n">
        <v>75126</v>
      </c>
      <c r="M11" s="374" t="n">
        <v>86127</v>
      </c>
      <c r="N11" s="193">
        <f>M11*(1+$V11)</f>
        <v/>
      </c>
      <c r="O11" s="194">
        <f>N11*(1+$W11)</f>
        <v/>
      </c>
      <c r="P11" s="195">
        <f>O11*(1+$X11)</f>
        <v/>
      </c>
      <c r="R11" s="197">
        <f>((P11/M11)^(1/3))-1</f>
        <v/>
      </c>
      <c r="S11" s="198">
        <f>((M11/J11)^(1/3))-1</f>
        <v/>
      </c>
      <c r="T11" s="198">
        <f>((M11/H11)^(1/5))-1</f>
        <v/>
      </c>
      <c r="U11" s="198">
        <f>IF(D11&gt;0,((M11/D11)^(1/9))-1,"-")</f>
        <v/>
      </c>
      <c r="V11" s="199">
        <f>S11</f>
        <v/>
      </c>
      <c r="W11" s="200">
        <f>V11</f>
        <v/>
      </c>
      <c r="X11" s="201">
        <f>W11</f>
        <v/>
      </c>
    </row>
    <row r="12" ht="13.5" customHeight="1" thickBot="1">
      <c r="A12" s="389" t="inlineStr">
        <is>
          <t>Communication, Media and Technology</t>
        </is>
      </c>
      <c r="B12" s="374" t="n">
        <v>6205</v>
      </c>
      <c r="C12" s="374" t="n">
        <v>7540</v>
      </c>
      <c r="D12" s="374" t="n">
        <v>9614</v>
      </c>
      <c r="E12" s="374" t="n">
        <v>10934</v>
      </c>
      <c r="F12" s="374" t="n">
        <v>18040</v>
      </c>
      <c r="G12" s="374" t="n">
        <v>19521</v>
      </c>
      <c r="H12" s="374" t="n">
        <v>21131</v>
      </c>
      <c r="I12" s="374" t="n">
        <v>23925</v>
      </c>
      <c r="J12" s="374" t="n">
        <v>25978</v>
      </c>
      <c r="K12" s="374" t="n">
        <v>27077</v>
      </c>
      <c r="L12" s="374" t="n">
        <v>31874</v>
      </c>
      <c r="M12" s="374" t="n">
        <v>37653</v>
      </c>
      <c r="N12" s="193">
        <f>M12*(1+$V12)</f>
        <v/>
      </c>
      <c r="O12" s="194">
        <f>N12*(1+$W12)</f>
        <v/>
      </c>
      <c r="P12" s="195">
        <f>O12*(1+$X12)</f>
        <v/>
      </c>
      <c r="R12" s="197">
        <f>((P12/M12)^(1/3))-1</f>
        <v/>
      </c>
      <c r="S12" s="198">
        <f>((M12/J12)^(1/3))-1</f>
        <v/>
      </c>
      <c r="T12" s="198">
        <f>((M12/H12)^(1/5))-1</f>
        <v/>
      </c>
      <c r="U12" s="198">
        <f>IF(D12&gt;0,((M12/D12)^(1/9))-1,"-")</f>
        <v/>
      </c>
      <c r="V12" s="199">
        <f>S12</f>
        <v/>
      </c>
      <c r="W12" s="200">
        <f>V12</f>
        <v/>
      </c>
      <c r="X12" s="201">
        <f>W12</f>
        <v/>
      </c>
    </row>
    <row r="13" ht="13.5" customHeight="1" thickBot="1">
      <c r="A13" s="389" t="inlineStr">
        <is>
          <t>Retail and Consumer Packing Goods</t>
        </is>
      </c>
      <c r="B13" s="374" t="n">
        <v>5954</v>
      </c>
      <c r="C13" s="374" t="n">
        <v>8401</v>
      </c>
      <c r="D13" s="374" t="n">
        <v>11309</v>
      </c>
      <c r="E13" s="374" t="n">
        <v>12829</v>
      </c>
      <c r="F13" s="374" t="n">
        <v>19204</v>
      </c>
      <c r="G13" s="374" t="n">
        <v>20459</v>
      </c>
      <c r="H13" s="374" t="n">
        <v>21055</v>
      </c>
      <c r="I13" s="374" t="n">
        <v>25164</v>
      </c>
      <c r="J13" s="374" t="n">
        <v>26280</v>
      </c>
      <c r="K13" s="374" t="n">
        <v>25589</v>
      </c>
      <c r="L13" s="374" t="n">
        <v>30715</v>
      </c>
      <c r="M13" s="374" t="n">
        <v>37506</v>
      </c>
      <c r="N13" s="193">
        <f>M13*(1+$V13)</f>
        <v/>
      </c>
      <c r="O13" s="194">
        <f>N13*(1+$W13)</f>
        <v/>
      </c>
      <c r="P13" s="195">
        <f>O13*(1+$X13)</f>
        <v/>
      </c>
      <c r="R13" s="197">
        <f>((P13/M13)^(1/3))-1</f>
        <v/>
      </c>
      <c r="S13" s="198">
        <f>((M13/J13)^(1/3))-1</f>
        <v/>
      </c>
      <c r="T13" s="198">
        <f>((M13/H13)^(1/5))-1</f>
        <v/>
      </c>
      <c r="U13" s="198">
        <f>IF(D13&gt;0,((M13/D13)^(1/9))-1,"-")</f>
        <v/>
      </c>
      <c r="V13" s="199">
        <f>S13</f>
        <v/>
      </c>
      <c r="W13" s="200">
        <f>V13</f>
        <v/>
      </c>
      <c r="X13" s="201">
        <f>W13</f>
        <v/>
      </c>
    </row>
    <row r="14" ht="13.5" customHeight="1" thickBot="1">
      <c r="A14" s="389" t="inlineStr">
        <is>
          <t>Life Sciences and Healthcare</t>
        </is>
      </c>
      <c r="B14" s="375" t="n">
        <v>0</v>
      </c>
      <c r="C14" s="374" t="n">
        <v>0</v>
      </c>
      <c r="D14" s="374" t="n">
        <v>0</v>
      </c>
      <c r="E14" s="374" t="n">
        <v>0</v>
      </c>
      <c r="F14" s="374" t="n">
        <v>0</v>
      </c>
      <c r="G14" s="374" t="n">
        <v>0</v>
      </c>
      <c r="H14" s="374" t="n">
        <v>0</v>
      </c>
      <c r="I14" s="374" t="n">
        <v>0</v>
      </c>
      <c r="J14" s="374" t="n">
        <v>0</v>
      </c>
      <c r="K14" s="374" t="n">
        <v>16968</v>
      </c>
      <c r="L14" s="374" t="n">
        <v>20462</v>
      </c>
      <c r="M14" s="374" t="n">
        <v>24605</v>
      </c>
      <c r="N14" s="193">
        <f>M14*(1+$V14)</f>
        <v/>
      </c>
      <c r="O14" s="194">
        <f>N14*(1+$W14)</f>
        <v/>
      </c>
      <c r="P14" s="195">
        <f>O14*(1+$X14)</f>
        <v/>
      </c>
      <c r="R14" s="197">
        <f>((P14/M14)^(1/3))-1</f>
        <v/>
      </c>
      <c r="S14" s="198">
        <f>((M14/J14)^(1/3))-1</f>
        <v/>
      </c>
      <c r="T14" s="198">
        <f>((M14/H14)^(1/5))-1</f>
        <v/>
      </c>
      <c r="U14" s="198">
        <f>IF(D14&gt;0,((M14/D14)^(1/9))-1,"-")</f>
        <v/>
      </c>
      <c r="V14" s="199">
        <f>S14</f>
        <v/>
      </c>
      <c r="W14" s="200">
        <f>V14</f>
        <v/>
      </c>
      <c r="X14" s="201">
        <f>W14</f>
        <v/>
      </c>
    </row>
    <row r="15" ht="13.5" customHeight="1" thickBot="1">
      <c r="A15" s="389" t="inlineStr">
        <is>
          <t>Manufacturing</t>
        </is>
      </c>
      <c r="B15" s="374" t="n">
        <v>3801</v>
      </c>
      <c r="C15" s="374" t="n">
        <v>5216</v>
      </c>
      <c r="D15" s="374" t="n">
        <v>6989</v>
      </c>
      <c r="E15" s="374" t="n">
        <v>9242</v>
      </c>
      <c r="F15" s="374" t="n">
        <v>10909</v>
      </c>
      <c r="G15" s="374" t="n">
        <v>12486</v>
      </c>
      <c r="H15" s="374" t="n">
        <v>13361</v>
      </c>
      <c r="I15" s="374" t="n">
        <v>15682</v>
      </c>
      <c r="J15" s="374" t="n">
        <v>16468</v>
      </c>
      <c r="K15" s="374" t="n">
        <v>15950</v>
      </c>
      <c r="L15" s="374" t="n">
        <v>18610</v>
      </c>
      <c r="M15" s="374" t="n">
        <v>21236</v>
      </c>
      <c r="N15" s="193">
        <f>M15*(1+$V15)</f>
        <v/>
      </c>
      <c r="O15" s="194">
        <f>N15*(1+$W15)</f>
        <v/>
      </c>
      <c r="P15" s="195">
        <f>O15*(1+$X15)</f>
        <v/>
      </c>
      <c r="R15" s="197">
        <f>((P15/M15)^(1/3))-1</f>
        <v/>
      </c>
      <c r="S15" s="198">
        <f>((M15/J15)^(1/3))-1</f>
        <v/>
      </c>
      <c r="T15" s="198">
        <f>((M15/H15)^(1/5))-1</f>
        <v/>
      </c>
      <c r="U15" s="198">
        <f>IF(D15&gt;0,((M15/D15)^(1/9))-1,"-")</f>
        <v/>
      </c>
      <c r="V15" s="199">
        <f>S15</f>
        <v/>
      </c>
      <c r="W15" s="200">
        <f>V15</f>
        <v/>
      </c>
      <c r="X15" s="201">
        <f>W15</f>
        <v/>
      </c>
    </row>
    <row r="16" ht="13.5" customHeight="1" thickBot="1">
      <c r="A16" s="389" t="inlineStr">
        <is>
          <t>Others</t>
        </is>
      </c>
      <c r="B16" s="374" t="n">
        <v>11872</v>
      </c>
      <c r="C16" s="374" t="n">
        <v>14687</v>
      </c>
      <c r="D16" s="374" t="n">
        <v>18785</v>
      </c>
      <c r="E16" s="374" t="n">
        <v>23078</v>
      </c>
      <c r="F16" s="374" t="n">
        <v>16330</v>
      </c>
      <c r="G16" s="374" t="n">
        <v>17995</v>
      </c>
      <c r="H16" s="374" t="n">
        <v>19139</v>
      </c>
      <c r="I16" s="374" t="n">
        <v>23754</v>
      </c>
      <c r="J16" s="374" t="n">
        <v>27128</v>
      </c>
      <c r="K16" s="374" t="n">
        <v>12959</v>
      </c>
      <c r="L16" s="374" t="n">
        <v>14967</v>
      </c>
      <c r="M16" s="374" t="n">
        <v>18331</v>
      </c>
      <c r="N16" s="193">
        <f>M16*(1+$V16)</f>
        <v/>
      </c>
      <c r="O16" s="194">
        <f>N16*(1+$W16)</f>
        <v/>
      </c>
      <c r="P16" s="195">
        <f>O16*(1+$X16)</f>
        <v/>
      </c>
      <c r="R16" s="197">
        <f>((P16/M16)^(1/3))-1</f>
        <v/>
      </c>
      <c r="S16" s="198">
        <f>((M16/J16)^(1/3))-1</f>
        <v/>
      </c>
      <c r="T16" s="198">
        <f>((M16/H16)^(1/5))-1</f>
        <v/>
      </c>
      <c r="U16" s="198">
        <f>IF(D16&gt;0,((M16/D16)^(1/9))-1,"-")</f>
        <v/>
      </c>
      <c r="V16" s="199">
        <f>S16</f>
        <v/>
      </c>
      <c r="W16" s="200">
        <f>V16</f>
        <v/>
      </c>
      <c r="X16" s="201">
        <f>W16</f>
        <v/>
      </c>
    </row>
    <row r="17" ht="13.5" customHeight="1" thickBot="1">
      <c r="A17" s="389" t="n"/>
      <c r="B17" s="375" t="n"/>
      <c r="C17" s="375" t="n"/>
      <c r="D17" s="375" t="n"/>
      <c r="E17" s="375" t="n"/>
      <c r="F17" s="375" t="n"/>
      <c r="G17" s="375" t="n"/>
      <c r="H17" s="375" t="n"/>
      <c r="I17" s="375" t="n"/>
      <c r="J17" s="375" t="n"/>
      <c r="K17" s="375" t="n"/>
      <c r="L17" s="375" t="n"/>
      <c r="M17" s="375" t="n"/>
      <c r="N17" s="193">
        <f>M17*(1+$V17)</f>
        <v/>
      </c>
      <c r="O17" s="194">
        <f>N17*(1+$W17)</f>
        <v/>
      </c>
      <c r="P17" s="195">
        <f>O17*(1+$X17)</f>
        <v/>
      </c>
      <c r="R17" s="197">
        <f>((P17/M17)^(1/3))-1</f>
        <v/>
      </c>
      <c r="S17" s="198">
        <f>((M17/J17)^(1/3))-1</f>
        <v/>
      </c>
      <c r="T17" s="198">
        <f>((M17/H17)^(1/5))-1</f>
        <v/>
      </c>
      <c r="U17" s="198">
        <f>IF(D17&gt;0,((M17/D17)^(1/9))-1,"-")</f>
        <v/>
      </c>
      <c r="V17" s="199">
        <f>S17</f>
        <v/>
      </c>
      <c r="W17" s="200">
        <f>V17</f>
        <v/>
      </c>
      <c r="X17" s="201">
        <f>W17</f>
        <v/>
      </c>
    </row>
    <row r="18" ht="13.5" customHeight="1" thickBot="1">
      <c r="A18" s="389" t="n"/>
      <c r="B18" s="375" t="n"/>
      <c r="C18" s="375" t="n"/>
      <c r="D18" s="375" t="n"/>
      <c r="E18" s="375" t="n"/>
      <c r="F18" s="375" t="n"/>
      <c r="G18" s="375" t="n"/>
      <c r="H18" s="375" t="n"/>
      <c r="I18" s="375" t="n"/>
      <c r="J18" s="375" t="n"/>
      <c r="K18" s="375" t="n"/>
      <c r="L18" s="375" t="n"/>
      <c r="M18" s="375" t="n"/>
      <c r="N18" s="193">
        <f>M18*(1+$V18)</f>
        <v/>
      </c>
      <c r="O18" s="194">
        <f>N18*(1+$W18)</f>
        <v/>
      </c>
      <c r="P18" s="195">
        <f>O18*(1+$X18)</f>
        <v/>
      </c>
      <c r="R18" s="197">
        <f>((P18/M18)^(1/3))-1</f>
        <v/>
      </c>
      <c r="S18" s="198">
        <f>((M18/J18)^(1/3))-1</f>
        <v/>
      </c>
      <c r="T18" s="198">
        <f>((M18/H18)^(1/5))-1</f>
        <v/>
      </c>
      <c r="U18" s="198">
        <f>IF(D18&gt;0,((M18/D18)^(1/9))-1,"-")</f>
        <v/>
      </c>
      <c r="V18" s="199">
        <f>S18</f>
        <v/>
      </c>
      <c r="W18" s="200">
        <f>V18</f>
        <v/>
      </c>
      <c r="X18" s="201">
        <f>W18</f>
        <v/>
      </c>
    </row>
    <row r="19" ht="13.5" customHeight="1" thickBot="1">
      <c r="A19" s="362" t="inlineStr">
        <is>
          <t>Pledge</t>
        </is>
      </c>
      <c r="B19" s="363" t="n"/>
      <c r="C19" s="363" t="n"/>
      <c r="N19" s="193">
        <f>M19*(1+$V19)</f>
        <v/>
      </c>
      <c r="O19" s="194">
        <f>N19*(1+$W19)</f>
        <v/>
      </c>
      <c r="P19" s="195">
        <f>O19*(1+$X19)</f>
        <v/>
      </c>
      <c r="R19" s="197">
        <f>((P19/M19)^(1/3))-1</f>
        <v/>
      </c>
      <c r="S19" s="198">
        <f>((M19/J19)^(1/3))-1</f>
        <v/>
      </c>
      <c r="T19" s="198">
        <f>((M19/H19)^(1/5))-1</f>
        <v/>
      </c>
      <c r="U19" s="198">
        <f>IF(D19&gt;0,((M19/D19)^(1/9))-1,"-")</f>
        <v/>
      </c>
      <c r="V19" s="199">
        <f>S19</f>
        <v/>
      </c>
      <c r="W19" s="200">
        <f>V19</f>
        <v/>
      </c>
      <c r="X19" s="201">
        <f>W19</f>
        <v/>
      </c>
    </row>
    <row r="20" ht="13.5" customHeight="1" thickBot="1">
      <c r="A20" s="143" t="inlineStr">
        <is>
          <t xml:space="preserve">TOTAL </t>
        </is>
      </c>
      <c r="B20" s="363" t="n"/>
      <c r="C20" s="363" t="n"/>
      <c r="D20" s="373">
        <f>SUM(D11:D19)</f>
        <v/>
      </c>
      <c r="E20" s="373">
        <f>SUM(E11:E19)</f>
        <v/>
      </c>
      <c r="F20" s="373">
        <f>SUM(F11:F19)</f>
        <v/>
      </c>
      <c r="G20" s="373">
        <f>SUM(G11:G19)</f>
        <v/>
      </c>
      <c r="H20" s="373">
        <f>SUM(H11:H19)</f>
        <v/>
      </c>
      <c r="I20" s="373">
        <f>SUM(I11:I19)</f>
        <v/>
      </c>
      <c r="J20" s="373">
        <f>SUM(J11:J19)</f>
        <v/>
      </c>
      <c r="K20" s="373">
        <f>SUM(K11:K19)</f>
        <v/>
      </c>
      <c r="L20" s="373">
        <f>SUM(L11:L19)</f>
        <v/>
      </c>
      <c r="M20" s="373">
        <f>SUM(M11:M19)</f>
        <v/>
      </c>
      <c r="N20" s="373">
        <f>SUM(N11:N19)</f>
        <v/>
      </c>
      <c r="O20" s="373">
        <f>SUM(O11:O19)</f>
        <v/>
      </c>
      <c r="P20" s="373">
        <f>SUM(P11:P19)</f>
        <v/>
      </c>
      <c r="R20" s="197">
        <f>((P20/M20)^(1/3))-1</f>
        <v/>
      </c>
      <c r="S20" s="198">
        <f>((M20/J20)^(1/3))-1</f>
        <v/>
      </c>
      <c r="T20" s="198">
        <f>((M20/H20)^(1/5))-1</f>
        <v/>
      </c>
      <c r="U20" s="198">
        <f>IF(D20&gt;0,((M20/D20)^(1/9))-1,"-")</f>
        <v/>
      </c>
      <c r="V20" s="199">
        <f>S20</f>
        <v/>
      </c>
      <c r="W20" s="200">
        <f>V20</f>
        <v/>
      </c>
      <c r="X20" s="201">
        <f>W20</f>
        <v/>
      </c>
    </row>
    <row r="21" ht="13.5" customHeight="1" thickBot="1">
      <c r="A21" s="362" t="inlineStr">
        <is>
          <t>Managerial Remuneration</t>
        </is>
      </c>
      <c r="B21" s="362" t="inlineStr">
        <is>
          <t>Cr</t>
        </is>
      </c>
      <c r="C21" s="362" t="n"/>
      <c r="R21" s="197">
        <f>((P21/M21)^(1/3))-1</f>
        <v/>
      </c>
      <c r="S21" s="198">
        <f>((M21/J21)^(1/3))-1</f>
        <v/>
      </c>
      <c r="T21" s="198">
        <f>((M21/H21)^(1/5))-1</f>
        <v/>
      </c>
      <c r="U21" s="198">
        <f>IF(D21&gt;0,((M21/D21)^(1/9))-1,"-")</f>
        <v/>
      </c>
      <c r="V21" s="199">
        <f>S21</f>
        <v/>
      </c>
      <c r="W21" s="200">
        <f>V21</f>
        <v/>
      </c>
      <c r="X21" s="201">
        <f>W21</f>
        <v/>
      </c>
    </row>
    <row r="22" ht="13.5" customHeight="1" thickBot="1">
      <c r="A22" s="143" t="inlineStr">
        <is>
          <t>SEGMENT PBIT</t>
        </is>
      </c>
      <c r="B22" s="363" t="n"/>
      <c r="C22" s="363" t="n"/>
      <c r="R22" s="197">
        <f>((P22/M22)^(1/3))-1</f>
        <v/>
      </c>
      <c r="S22" s="198">
        <f>((M22/J22)^(1/3))-1</f>
        <v/>
      </c>
      <c r="T22" s="198">
        <f>((M22/H22)^(1/5))-1</f>
        <v/>
      </c>
      <c r="U22" s="198">
        <f>IF(D22&gt;0,((M22/D22)^(1/9))-1,"-")</f>
        <v/>
      </c>
      <c r="V22" s="199">
        <f>S22</f>
        <v/>
      </c>
      <c r="W22" s="200">
        <f>V22</f>
        <v/>
      </c>
      <c r="X22" s="201">
        <f>W22</f>
        <v/>
      </c>
    </row>
    <row r="23" ht="13.5" customHeight="1" thickBot="1">
      <c r="A23" s="389" t="inlineStr">
        <is>
          <t>Banking Finance Insurance</t>
        </is>
      </c>
      <c r="B23" s="374" t="n">
        <v>6493</v>
      </c>
      <c r="C23" s="374" t="n">
        <v>8014</v>
      </c>
      <c r="D23" s="374" t="n">
        <v>11523</v>
      </c>
      <c r="E23" s="374" t="n">
        <v>10594</v>
      </c>
      <c r="F23" s="374" t="n">
        <v>12851</v>
      </c>
      <c r="G23" s="374" t="n">
        <v>13098</v>
      </c>
      <c r="H23" s="374" t="n">
        <v>13045</v>
      </c>
      <c r="I23" s="374" t="n">
        <v>16089</v>
      </c>
      <c r="J23" s="374" t="n">
        <v>16950</v>
      </c>
      <c r="K23" s="374" t="n">
        <v>18681</v>
      </c>
      <c r="L23" s="374" t="n">
        <v>20174</v>
      </c>
      <c r="M23" s="374" t="n">
        <v>22345</v>
      </c>
      <c r="N23" s="193">
        <f>M23*(1+$V23)</f>
        <v/>
      </c>
      <c r="O23" s="194">
        <f>N23*(1+$W23)</f>
        <v/>
      </c>
      <c r="P23" s="195">
        <f>O23*(1+$X23)</f>
        <v/>
      </c>
      <c r="R23" s="197">
        <f>((P23/M23)^(1/3))-1</f>
        <v/>
      </c>
      <c r="S23" s="198">
        <f>((M23/J23)^(1/3))-1</f>
        <v/>
      </c>
      <c r="T23" s="198">
        <f>((M23/H23)^(1/5))-1</f>
        <v/>
      </c>
      <c r="U23" s="198">
        <f>IF(D23&gt;0,((M23/D23)^(1/9))-1,"-")</f>
        <v/>
      </c>
      <c r="V23" s="199">
        <f>S23</f>
        <v/>
      </c>
      <c r="W23" s="200">
        <f>V23</f>
        <v/>
      </c>
      <c r="X23" s="201">
        <f>W23</f>
        <v/>
      </c>
    </row>
    <row r="24" ht="13.5" customHeight="1" thickBot="1">
      <c r="A24" s="389" t="inlineStr">
        <is>
          <t>Communication, Media and Technology</t>
        </is>
      </c>
      <c r="B24" s="374" t="n">
        <v>1890</v>
      </c>
      <c r="C24" s="374" t="n">
        <v>1949</v>
      </c>
      <c r="D24" s="374" t="n">
        <v>2749</v>
      </c>
      <c r="E24" s="374" t="n">
        <v>2771</v>
      </c>
      <c r="F24" s="374" t="n">
        <v>5190</v>
      </c>
      <c r="G24" s="374" t="n">
        <v>5552</v>
      </c>
      <c r="H24" s="374" t="n">
        <v>5797</v>
      </c>
      <c r="I24" s="374" t="n">
        <v>6644</v>
      </c>
      <c r="J24" s="374" t="n">
        <v>7703</v>
      </c>
      <c r="K24" s="374" t="n">
        <v>8010</v>
      </c>
      <c r="L24" s="374" t="n">
        <v>9518</v>
      </c>
      <c r="M24" s="374" t="n">
        <v>10667</v>
      </c>
      <c r="N24" s="193">
        <f>M24*(1+$V24)</f>
        <v/>
      </c>
      <c r="O24" s="194">
        <f>N24*(1+$W24)</f>
        <v/>
      </c>
      <c r="P24" s="195">
        <f>O24*(1+$X24)</f>
        <v/>
      </c>
      <c r="R24" s="197">
        <f>((P24/M24)^(1/3))-1</f>
        <v/>
      </c>
      <c r="S24" s="198">
        <f>((M24/J24)^(1/3))-1</f>
        <v/>
      </c>
      <c r="T24" s="198">
        <f>((M24/H24)^(1/5))-1</f>
        <v/>
      </c>
      <c r="U24" s="198">
        <f>IF(D24&gt;0,((M24/D24)^(1/9))-1,"-")</f>
        <v/>
      </c>
      <c r="V24" s="199">
        <f>S24</f>
        <v/>
      </c>
      <c r="W24" s="200">
        <f>V24</f>
        <v/>
      </c>
      <c r="X24" s="201">
        <f>W24</f>
        <v/>
      </c>
    </row>
    <row r="25" ht="13.5" customHeight="1" thickBot="1">
      <c r="A25" s="389" t="inlineStr">
        <is>
          <t>Retail and Consumer Packing Goods</t>
        </is>
      </c>
      <c r="B25" s="374" t="n">
        <v>1742</v>
      </c>
      <c r="C25" s="374" t="n">
        <v>2581</v>
      </c>
      <c r="D25" s="374" t="n">
        <v>3674</v>
      </c>
      <c r="E25" s="374" t="n">
        <v>3254</v>
      </c>
      <c r="F25" s="374" t="n">
        <v>5330</v>
      </c>
      <c r="G25" s="374" t="n">
        <v>5740</v>
      </c>
      <c r="H25" s="374" t="n">
        <v>5580</v>
      </c>
      <c r="I25" s="374" t="n">
        <v>6871</v>
      </c>
      <c r="J25" s="374" t="n">
        <v>6870</v>
      </c>
      <c r="K25" s="374" t="n">
        <v>7151</v>
      </c>
      <c r="L25" s="374" t="n">
        <v>8534</v>
      </c>
      <c r="M25" s="374" t="n">
        <v>9636</v>
      </c>
      <c r="N25" s="193">
        <f>M25*(1+$V25)</f>
        <v/>
      </c>
      <c r="O25" s="194">
        <f>N25*(1+$W25)</f>
        <v/>
      </c>
      <c r="P25" s="195">
        <f>O25*(1+$X25)</f>
        <v/>
      </c>
      <c r="R25" s="197">
        <f>((P25/M25)^(1/3))-1</f>
        <v/>
      </c>
      <c r="S25" s="198">
        <f>((M25/J25)^(1/3))-1</f>
        <v/>
      </c>
      <c r="T25" s="198">
        <f>((M25/H25)^(1/5))-1</f>
        <v/>
      </c>
      <c r="U25" s="198">
        <f>IF(D25&gt;0,((M25/D25)^(1/9))-1,"-")</f>
        <v/>
      </c>
      <c r="V25" s="199">
        <f>S25</f>
        <v/>
      </c>
      <c r="W25" s="200">
        <f>V25</f>
        <v/>
      </c>
      <c r="X25" s="201">
        <f>W25</f>
        <v/>
      </c>
    </row>
    <row r="26" ht="13.5" customHeight="1" thickBot="1">
      <c r="A26" s="389" t="inlineStr">
        <is>
          <t>Life Sciences and Healthcare</t>
        </is>
      </c>
      <c r="B26" s="375" t="n">
        <v>0</v>
      </c>
      <c r="C26" s="374" t="n">
        <v>0</v>
      </c>
      <c r="D26" s="374" t="n">
        <v>0</v>
      </c>
      <c r="E26" s="374" t="n">
        <v>0</v>
      </c>
      <c r="F26" s="374" t="n">
        <v>0</v>
      </c>
      <c r="G26" s="374" t="n">
        <v>0</v>
      </c>
      <c r="H26" s="374" t="n">
        <v>0</v>
      </c>
      <c r="I26" s="374" t="n">
        <v>0</v>
      </c>
      <c r="J26" s="374" t="n">
        <v>0</v>
      </c>
      <c r="K26" s="374" t="n">
        <v>5253</v>
      </c>
      <c r="L26" s="374" t="n">
        <v>6139</v>
      </c>
      <c r="M26" s="374" t="n">
        <v>6894</v>
      </c>
      <c r="N26" s="193">
        <f>M26*(1+$V26)</f>
        <v/>
      </c>
      <c r="O26" s="194">
        <f>N26*(1+$W26)</f>
        <v/>
      </c>
      <c r="P26" s="195">
        <f>O26*(1+$X26)</f>
        <v/>
      </c>
      <c r="R26" s="197">
        <f>((P26/M26)^(1/3))-1</f>
        <v/>
      </c>
      <c r="S26" s="198">
        <f>((M26/J26)^(1/3))-1</f>
        <v/>
      </c>
      <c r="T26" s="198">
        <f>((M26/H26)^(1/5))-1</f>
        <v/>
      </c>
      <c r="U26" s="198">
        <f>IF(D26&gt;0,((M26/D26)^(1/9))-1,"-")</f>
        <v/>
      </c>
      <c r="V26" s="199">
        <f>S26</f>
        <v/>
      </c>
      <c r="W26" s="200">
        <f>V26</f>
        <v/>
      </c>
      <c r="X26" s="201">
        <f>W26</f>
        <v/>
      </c>
    </row>
    <row r="27" ht="13.5" customHeight="1" thickBot="1">
      <c r="A27" s="389" t="inlineStr">
        <is>
          <t>Manufacturing</t>
        </is>
      </c>
      <c r="B27" s="375" t="n">
        <v>986</v>
      </c>
      <c r="C27" s="374" t="n">
        <v>1363</v>
      </c>
      <c r="D27" s="374" t="n">
        <v>2051</v>
      </c>
      <c r="E27" s="374" t="n">
        <v>2223</v>
      </c>
      <c r="F27" s="374" t="n">
        <v>2924</v>
      </c>
      <c r="G27" s="374" t="n">
        <v>3574</v>
      </c>
      <c r="H27" s="374" t="n">
        <v>3698</v>
      </c>
      <c r="I27" s="374" t="n">
        <v>4311</v>
      </c>
      <c r="J27" s="374" t="n">
        <v>4445</v>
      </c>
      <c r="K27" s="374" t="n">
        <v>4483</v>
      </c>
      <c r="L27" s="374" t="n">
        <v>5602</v>
      </c>
      <c r="M27" s="374" t="n">
        <v>5842</v>
      </c>
      <c r="N27" s="193">
        <f>M27*(1+$V27)</f>
        <v/>
      </c>
      <c r="O27" s="194">
        <f>N27*(1+$W27)</f>
        <v/>
      </c>
      <c r="P27" s="195">
        <f>O27*(1+$X27)</f>
        <v/>
      </c>
      <c r="R27" s="197">
        <f>((P27/M27)^(1/3))-1</f>
        <v/>
      </c>
      <c r="S27" s="198">
        <f>((M27/J27)^(1/3))-1</f>
        <v/>
      </c>
      <c r="T27" s="198">
        <f>((M27/H27)^(1/5))-1</f>
        <v/>
      </c>
      <c r="U27" s="198">
        <f>IF(D27&gt;0,((M27/D27)^(1/9))-1,"-")</f>
        <v/>
      </c>
      <c r="V27" s="199">
        <f>S27</f>
        <v/>
      </c>
      <c r="W27" s="200">
        <f>V27</f>
        <v/>
      </c>
      <c r="X27" s="201">
        <f>W27</f>
        <v/>
      </c>
    </row>
    <row r="28" ht="13.5" customHeight="1" thickBot="1">
      <c r="A28" s="389" t="inlineStr">
        <is>
          <t>Others</t>
        </is>
      </c>
      <c r="B28" s="374" t="n">
        <v>3203</v>
      </c>
      <c r="C28" s="374" t="n">
        <v>3992</v>
      </c>
      <c r="D28" s="374" t="n">
        <v>5029</v>
      </c>
      <c r="E28" s="374" t="n">
        <v>5480</v>
      </c>
      <c r="F28" s="374" t="n">
        <v>4294</v>
      </c>
      <c r="G28" s="374" t="n">
        <v>4271</v>
      </c>
      <c r="H28" s="374" t="n">
        <v>4339</v>
      </c>
      <c r="I28" s="374" t="n">
        <v>5554</v>
      </c>
      <c r="J28" s="374" t="n">
        <v>6141</v>
      </c>
      <c r="K28" s="374" t="n">
        <v>2968</v>
      </c>
      <c r="L28" s="374" t="n">
        <v>3090</v>
      </c>
      <c r="M28" s="374" t="n">
        <v>3875</v>
      </c>
      <c r="N28" s="193">
        <f>M28*(1+$V28)</f>
        <v/>
      </c>
      <c r="O28" s="194">
        <f>N28*(1+$W28)</f>
        <v/>
      </c>
      <c r="P28" s="195">
        <f>O28*(1+$X28)</f>
        <v/>
      </c>
      <c r="R28" s="197">
        <f>((P28/M28)^(1/3))-1</f>
        <v/>
      </c>
      <c r="S28" s="198">
        <f>((M28/J28)^(1/3))-1</f>
        <v/>
      </c>
      <c r="T28" s="198">
        <f>((M28/H28)^(1/5))-1</f>
        <v/>
      </c>
      <c r="U28" s="198">
        <f>IF(D28&gt;0,((M28/D28)^(1/9))-1,"-")</f>
        <v/>
      </c>
      <c r="V28" s="199">
        <f>S28</f>
        <v/>
      </c>
      <c r="W28" s="200">
        <f>V28</f>
        <v/>
      </c>
      <c r="X28" s="201">
        <f>W28</f>
        <v/>
      </c>
    </row>
    <row r="29" ht="13.5" customHeight="1" thickBot="1">
      <c r="A29" s="389" t="inlineStr">
        <is>
          <t>Unallocated</t>
        </is>
      </c>
      <c r="B29" s="375" t="n">
        <v>-390</v>
      </c>
      <c r="C29" s="374" t="n">
        <v>192</v>
      </c>
      <c r="D29" s="375" t="n">
        <v>377</v>
      </c>
      <c r="E29" s="374" t="n">
        <v>1486</v>
      </c>
      <c r="F29" s="374" t="n">
        <v>1251</v>
      </c>
      <c r="G29" s="374" t="n">
        <v>2278</v>
      </c>
      <c r="H29" s="374" t="n">
        <v>1633</v>
      </c>
      <c r="I29" s="374" t="n">
        <v>2094</v>
      </c>
      <c r="J29" s="375" t="n">
        <v>139</v>
      </c>
      <c r="K29" s="374" t="n">
        <v>-2786</v>
      </c>
      <c r="L29" s="374" t="n">
        <v>-1370</v>
      </c>
      <c r="M29" s="374" t="n">
        <v>-2352</v>
      </c>
      <c r="N29" s="193">
        <f>M29*(1+$V29)</f>
        <v/>
      </c>
      <c r="O29" s="194">
        <f>N29*(1+$W29)</f>
        <v/>
      </c>
      <c r="P29" s="195">
        <f>O29*(1+$X29)</f>
        <v/>
      </c>
      <c r="R29" s="197">
        <f>((P29/M29)^(1/3))-1</f>
        <v/>
      </c>
      <c r="S29" s="198">
        <f>((M29/J29)^(1/3))-1</f>
        <v/>
      </c>
      <c r="T29" s="198">
        <f>((M29/H29)^(1/5))-1</f>
        <v/>
      </c>
      <c r="U29" s="198">
        <f>IF(D29&gt;0,((M29/D29)^(1/9))-1,"-")</f>
        <v/>
      </c>
      <c r="V29" s="199">
        <f>S29</f>
        <v/>
      </c>
      <c r="W29" s="200">
        <f>V29</f>
        <v/>
      </c>
      <c r="X29" s="201">
        <f>W29</f>
        <v/>
      </c>
    </row>
    <row r="30" ht="13.5" customHeight="1" thickBot="1">
      <c r="A30" s="389" t="n"/>
      <c r="B30" s="375" t="n"/>
      <c r="C30" s="375" t="n"/>
      <c r="D30" s="375" t="n"/>
      <c r="E30" s="375" t="n"/>
      <c r="F30" s="374" t="n"/>
      <c r="G30" s="374" t="n"/>
      <c r="H30" s="374" t="n"/>
      <c r="I30" s="374" t="n"/>
      <c r="J30" s="374" t="n"/>
      <c r="K30" s="374" t="n"/>
      <c r="L30" s="374" t="n"/>
      <c r="M30" s="374" t="n"/>
      <c r="N30" s="193">
        <f>M30*(1+$V30)</f>
        <v/>
      </c>
      <c r="O30" s="194">
        <f>N30*(1+$W30)</f>
        <v/>
      </c>
      <c r="P30" s="195">
        <f>O30*(1+$X30)</f>
        <v/>
      </c>
      <c r="R30" s="197">
        <f>((P30/M30)^(1/3))-1</f>
        <v/>
      </c>
      <c r="S30" s="198">
        <f>((M30/J30)^(1/3))-1</f>
        <v/>
      </c>
      <c r="T30" s="198">
        <f>((M30/H30)^(1/5))-1</f>
        <v/>
      </c>
      <c r="U30" s="198">
        <f>IF(D30&gt;0,((M30/D30)^(1/9))-1,"-")</f>
        <v/>
      </c>
      <c r="V30" s="199">
        <f>S30</f>
        <v/>
      </c>
      <c r="W30" s="200">
        <f>V30</f>
        <v/>
      </c>
      <c r="X30" s="201">
        <f>W30</f>
        <v/>
      </c>
    </row>
    <row r="31" ht="13.5" customHeight="1" thickBot="1">
      <c r="A31" s="362" t="inlineStr">
        <is>
          <t>Pledge</t>
        </is>
      </c>
      <c r="N31" s="193">
        <f>M31*(1+$V31)</f>
        <v/>
      </c>
      <c r="O31" s="194">
        <f>N31*(1+$W31)</f>
        <v/>
      </c>
      <c r="P31" s="195">
        <f>O31*(1+$X31)</f>
        <v/>
      </c>
      <c r="R31" s="197">
        <f>((P31/M31)^(1/3))-1</f>
        <v/>
      </c>
      <c r="S31" s="198">
        <f>((M31/J31)^(1/3))-1</f>
        <v/>
      </c>
      <c r="T31" s="198">
        <f>((M31/H31)^(1/5))-1</f>
        <v/>
      </c>
      <c r="U31" s="198">
        <f>IF(D31&gt;0,((M31/D31)^(1/9))-1,"-")</f>
        <v/>
      </c>
      <c r="V31" s="199">
        <f>S31</f>
        <v/>
      </c>
      <c r="W31" s="200">
        <f>V31</f>
        <v/>
      </c>
      <c r="X31" s="201">
        <f>W31</f>
        <v/>
      </c>
    </row>
    <row r="32" ht="13.5" customHeight="1" thickBot="1">
      <c r="A32" s="143" t="inlineStr">
        <is>
          <t xml:space="preserve">TOTAL </t>
        </is>
      </c>
      <c r="B32" s="373">
        <f>SUM(B23:B31)</f>
        <v/>
      </c>
      <c r="C32" s="373">
        <f>SUM(C23:C31)</f>
        <v/>
      </c>
      <c r="D32" s="373">
        <f>SUM(D23:D31)</f>
        <v/>
      </c>
      <c r="E32" s="373">
        <f>SUM(E23:E31)</f>
        <v/>
      </c>
      <c r="F32" s="373">
        <f>SUM(F23:F31)</f>
        <v/>
      </c>
      <c r="G32" s="373">
        <f>SUM(G23:G31)</f>
        <v/>
      </c>
      <c r="H32" s="373">
        <f>SUM(H23:H31)</f>
        <v/>
      </c>
      <c r="I32" s="373">
        <f>SUM(I23:I31)</f>
        <v/>
      </c>
      <c r="J32" s="373">
        <f>SUM(J23:J31)</f>
        <v/>
      </c>
      <c r="K32" s="373">
        <f>SUM(K23:K31)</f>
        <v/>
      </c>
      <c r="L32" s="373">
        <f>SUM(L23:L31)</f>
        <v/>
      </c>
      <c r="M32" s="373">
        <f>SUM(M23:M31)</f>
        <v/>
      </c>
      <c r="N32" s="373">
        <f>SUM(N23:N31)</f>
        <v/>
      </c>
      <c r="O32" s="373">
        <f>SUM(O23:O31)</f>
        <v/>
      </c>
      <c r="P32" s="373">
        <f>SUM(P23:P31)</f>
        <v/>
      </c>
      <c r="R32" s="197">
        <f>((P32/M32)^(1/3))-1</f>
        <v/>
      </c>
      <c r="S32" s="198">
        <f>((M32/J32)^(1/3))-1</f>
        <v/>
      </c>
      <c r="T32" s="198">
        <f>((M32/H32)^(1/5))-1</f>
        <v/>
      </c>
      <c r="U32" s="198">
        <f>IF(D32&gt;0,((M32/D32)^(1/9))-1,"-")</f>
        <v/>
      </c>
      <c r="V32" s="199">
        <f>S32</f>
        <v/>
      </c>
      <c r="W32" s="200">
        <f>V32</f>
        <v/>
      </c>
      <c r="X32" s="201">
        <f>W32</f>
        <v/>
      </c>
    </row>
    <row r="33" ht="13.5" customHeight="1" thickBot="1">
      <c r="R33" s="197">
        <f>((P33/M33)^(1/3))-1</f>
        <v/>
      </c>
      <c r="S33" s="198">
        <f>((M33/J33)^(1/3))-1</f>
        <v/>
      </c>
      <c r="T33" s="198">
        <f>((M33/H33)^(1/5))-1</f>
        <v/>
      </c>
      <c r="U33" s="198">
        <f>IF(D33&gt;0,((M33/D33)^(1/9))-1,"-")</f>
        <v/>
      </c>
      <c r="V33" s="199">
        <f>S33</f>
        <v/>
      </c>
      <c r="W33" s="200">
        <f>V33</f>
        <v/>
      </c>
      <c r="X33" s="201">
        <f>W33</f>
        <v/>
      </c>
    </row>
    <row r="34" ht="13.5" customHeight="1" thickBot="1">
      <c r="A34" s="143" t="inlineStr">
        <is>
          <t>SEGMENT CAPITAL EMPLOYED</t>
        </is>
      </c>
      <c r="R34" s="197">
        <f>((P34/M34)^(1/3))-1</f>
        <v/>
      </c>
      <c r="S34" s="198">
        <f>((M34/J34)^(1/3))-1</f>
        <v/>
      </c>
      <c r="T34" s="198">
        <f>((M34/H34)^(1/5))-1</f>
        <v/>
      </c>
      <c r="U34" s="198">
        <f>IF(D34&gt;0,((M34/D34)^(1/9))-1,"-")</f>
        <v/>
      </c>
      <c r="V34" s="199">
        <f>S34</f>
        <v/>
      </c>
      <c r="W34" s="200">
        <f>V34</f>
        <v/>
      </c>
      <c r="X34" s="201">
        <f>W34</f>
        <v/>
      </c>
    </row>
    <row r="35" ht="13.5" customHeight="1" thickBot="1">
      <c r="A35" s="389" t="inlineStr">
        <is>
          <t>Banking Finance Insurance</t>
        </is>
      </c>
      <c r="B35" s="374" t="n">
        <v>8570</v>
      </c>
      <c r="C35" s="374" t="n">
        <v>10045</v>
      </c>
      <c r="D35" s="374" t="n">
        <v>8344</v>
      </c>
      <c r="E35" s="374" t="n">
        <v>7057</v>
      </c>
      <c r="F35" s="374" t="n">
        <v>9681</v>
      </c>
      <c r="G35" s="374" t="n">
        <v>8635</v>
      </c>
      <c r="H35" s="374" t="n">
        <v>9039</v>
      </c>
      <c r="I35" s="374" t="n">
        <v>10483</v>
      </c>
      <c r="J35" s="375" t="n">
        <v>0</v>
      </c>
      <c r="K35" s="375" t="n">
        <v>0</v>
      </c>
      <c r="L35" s="375" t="n">
        <v>0</v>
      </c>
      <c r="M35" s="375" t="n">
        <v>0</v>
      </c>
      <c r="R35" s="197">
        <f>((P35/M35)^(1/3))-1</f>
        <v/>
      </c>
      <c r="S35" s="198">
        <f>((M35/J35)^(1/3))-1</f>
        <v/>
      </c>
      <c r="T35" s="198">
        <f>((M35/H35)^(1/5))-1</f>
        <v/>
      </c>
      <c r="U35" s="198">
        <f>IF(D35&gt;0,((M35/D35)^(1/9))-1,"-")</f>
        <v/>
      </c>
      <c r="V35" s="199">
        <f>S35</f>
        <v/>
      </c>
      <c r="W35" s="200">
        <f>V35</f>
        <v/>
      </c>
      <c r="X35" s="201">
        <f>W35</f>
        <v/>
      </c>
    </row>
    <row r="36" ht="13.5" customHeight="1" thickBot="1">
      <c r="A36" s="389" t="inlineStr">
        <is>
          <t>Communication, Media and Technology</t>
        </is>
      </c>
      <c r="B36" s="374" t="n">
        <v>1901</v>
      </c>
      <c r="C36" s="374" t="n">
        <v>2336</v>
      </c>
      <c r="D36" s="374" t="n">
        <v>2977</v>
      </c>
      <c r="E36" s="374" t="n">
        <v>2697</v>
      </c>
      <c r="F36" s="374" t="n">
        <v>4639</v>
      </c>
      <c r="G36" s="374" t="n">
        <v>4671</v>
      </c>
      <c r="H36" s="374" t="n">
        <v>5605</v>
      </c>
      <c r="I36" s="374" t="n">
        <v>5590</v>
      </c>
      <c r="J36" s="375" t="n">
        <v>0</v>
      </c>
      <c r="K36" s="375" t="n">
        <v>0</v>
      </c>
      <c r="L36" s="375" t="n">
        <v>0</v>
      </c>
      <c r="M36" s="375" t="n">
        <v>0</v>
      </c>
      <c r="R36" s="197">
        <f>((P36/M36)^(1/3))-1</f>
        <v/>
      </c>
      <c r="S36" s="198">
        <f>((M36/J36)^(1/3))-1</f>
        <v/>
      </c>
      <c r="T36" s="198">
        <f>((M36/H36)^(1/5))-1</f>
        <v/>
      </c>
      <c r="U36" s="198">
        <f>IF(D36&gt;0,((M36/D36)^(1/9))-1,"-")</f>
        <v/>
      </c>
      <c r="V36" s="199">
        <f>S36</f>
        <v/>
      </c>
      <c r="W36" s="200">
        <f>V36</f>
        <v/>
      </c>
      <c r="X36" s="201">
        <f>W36</f>
        <v/>
      </c>
    </row>
    <row r="37" ht="13.5" customHeight="1" thickBot="1">
      <c r="A37" s="389" t="inlineStr">
        <is>
          <t>Retail and Consumer Packing Goods</t>
        </is>
      </c>
      <c r="B37" s="374" t="n">
        <v>1384</v>
      </c>
      <c r="C37" s="374" t="n">
        <v>2051</v>
      </c>
      <c r="D37" s="374" t="n">
        <v>2924</v>
      </c>
      <c r="E37" s="374" t="n">
        <v>2768</v>
      </c>
      <c r="F37" s="374" t="n">
        <v>4641</v>
      </c>
      <c r="G37" s="374" t="n">
        <v>4850</v>
      </c>
      <c r="H37" s="374" t="n">
        <v>5546</v>
      </c>
      <c r="I37" s="375" t="n">
        <v>0</v>
      </c>
      <c r="J37" s="375" t="n">
        <v>0</v>
      </c>
      <c r="K37" s="375" t="n">
        <v>0</v>
      </c>
      <c r="L37" s="375" t="n">
        <v>0</v>
      </c>
      <c r="M37" s="375" t="n">
        <v>0</v>
      </c>
      <c r="R37" s="197">
        <f>((P37/M37)^(1/3))-1</f>
        <v/>
      </c>
      <c r="S37" s="198">
        <f>((M37/J37)^(1/3))-1</f>
        <v/>
      </c>
      <c r="T37" s="198">
        <f>((M37/H37)^(1/5))-1</f>
        <v/>
      </c>
      <c r="U37" s="198">
        <f>IF(D37&gt;0,((M37/D37)^(1/9))-1,"-")</f>
        <v/>
      </c>
      <c r="V37" s="199">
        <f>S37</f>
        <v/>
      </c>
      <c r="W37" s="200">
        <f>V37</f>
        <v/>
      </c>
      <c r="X37" s="201">
        <f>W37</f>
        <v/>
      </c>
    </row>
    <row r="38" ht="13.5" customHeight="1" thickBot="1">
      <c r="A38" s="389" t="inlineStr">
        <is>
          <t>Manufacturing</t>
        </is>
      </c>
      <c r="B38" s="374" t="n">
        <v>991</v>
      </c>
      <c r="C38" s="374" t="n">
        <v>1493</v>
      </c>
      <c r="D38" s="374" t="n">
        <v>1994</v>
      </c>
      <c r="E38" s="374" t="n">
        <v>2148</v>
      </c>
      <c r="F38" s="374" t="n">
        <v>2676</v>
      </c>
      <c r="G38" s="374" t="n">
        <v>3100</v>
      </c>
      <c r="H38" s="374" t="n">
        <v>3381</v>
      </c>
      <c r="I38" s="374" t="n">
        <v>4043</v>
      </c>
      <c r="J38" s="375" t="n">
        <v>0</v>
      </c>
      <c r="K38" s="375" t="n">
        <v>0</v>
      </c>
      <c r="L38" s="375" t="n">
        <v>0</v>
      </c>
      <c r="M38" s="375" t="n">
        <v>0</v>
      </c>
      <c r="R38" s="197">
        <f>((P38/M38)^(1/3))-1</f>
        <v/>
      </c>
      <c r="S38" s="198">
        <f>((M38/J38)^(1/3))-1</f>
        <v/>
      </c>
      <c r="T38" s="198">
        <f>((M38/H38)^(1/5))-1</f>
        <v/>
      </c>
      <c r="U38" s="198">
        <f>IF(D38&gt;0,((M38/D38)^(1/9))-1,"-")</f>
        <v/>
      </c>
      <c r="V38" s="199">
        <f>S38</f>
        <v/>
      </c>
      <c r="W38" s="200">
        <f>V38</f>
        <v/>
      </c>
      <c r="X38" s="201">
        <f>W38</f>
        <v/>
      </c>
    </row>
    <row r="39" ht="13.5" customHeight="1" thickBot="1">
      <c r="A39" s="389" t="inlineStr">
        <is>
          <t>Others</t>
        </is>
      </c>
      <c r="B39" s="374" t="n">
        <v>5179</v>
      </c>
      <c r="C39" s="374" t="n">
        <v>6027</v>
      </c>
      <c r="D39" s="374" t="n">
        <v>7009</v>
      </c>
      <c r="E39" s="374" t="n">
        <v>7121</v>
      </c>
      <c r="F39" s="374" t="n">
        <v>5531</v>
      </c>
      <c r="G39" s="374" t="n">
        <v>5569</v>
      </c>
      <c r="H39" s="374" t="n">
        <v>6223</v>
      </c>
      <c r="I39" s="374" t="n">
        <v>6864</v>
      </c>
      <c r="J39" s="375" t="n">
        <v>0</v>
      </c>
      <c r="K39" s="375" t="n">
        <v>0</v>
      </c>
      <c r="L39" s="375" t="n">
        <v>0</v>
      </c>
      <c r="M39" s="375" t="n">
        <v>0</v>
      </c>
      <c r="R39" s="197">
        <f>((P39/M39)^(1/3))-1</f>
        <v/>
      </c>
      <c r="S39" s="198">
        <f>((M39/J39)^(1/3))-1</f>
        <v/>
      </c>
      <c r="T39" s="198">
        <f>((M39/H39)^(1/5))-1</f>
        <v/>
      </c>
      <c r="U39" s="198">
        <f>IF(D39&gt;0,((M39/D39)^(1/9))-1,"-")</f>
        <v/>
      </c>
      <c r="V39" s="199">
        <f>S39</f>
        <v/>
      </c>
      <c r="W39" s="200">
        <f>V39</f>
        <v/>
      </c>
      <c r="X39" s="201">
        <f>W39</f>
        <v/>
      </c>
    </row>
    <row r="40" ht="13.5" customHeight="1" thickBot="1">
      <c r="A40" s="389" t="inlineStr">
        <is>
          <t>Retail and Distribution</t>
        </is>
      </c>
      <c r="B40" s="143" t="n">
        <v>0</v>
      </c>
      <c r="C40" s="143" t="n">
        <v>0</v>
      </c>
      <c r="D40" s="143" t="n">
        <v>0</v>
      </c>
      <c r="E40" s="143" t="n">
        <v>0</v>
      </c>
      <c r="F40" s="143" t="n">
        <v>0</v>
      </c>
      <c r="G40" s="143" t="n">
        <v>0</v>
      </c>
      <c r="H40" s="143" t="n">
        <v>0</v>
      </c>
      <c r="I40" s="373" t="n">
        <v>6447</v>
      </c>
      <c r="J40" s="143" t="n">
        <v>0</v>
      </c>
      <c r="K40" s="143" t="n">
        <v>0</v>
      </c>
      <c r="L40" s="143" t="n">
        <v>0</v>
      </c>
      <c r="M40" s="143" t="n">
        <v>0</v>
      </c>
      <c r="R40" s="197">
        <f>((P40/M40)^(1/3))-1</f>
        <v/>
      </c>
      <c r="S40" s="198">
        <f>((M40/J40)^(1/3))-1</f>
        <v/>
      </c>
      <c r="T40" s="198">
        <f>((M40/H40)^(1/5))-1</f>
        <v/>
      </c>
      <c r="U40" s="198">
        <f>IF(D40&gt;0,((M40/D40)^(1/9))-1,"-")</f>
        <v/>
      </c>
      <c r="V40" s="199">
        <f>S40</f>
        <v/>
      </c>
      <c r="W40" s="200">
        <f>V40</f>
        <v/>
      </c>
      <c r="X40" s="201">
        <f>W40</f>
        <v/>
      </c>
    </row>
    <row r="41" ht="13.5" customHeight="1" thickBot="1">
      <c r="A41" s="389" t="inlineStr">
        <is>
          <t>Unallocated</t>
        </is>
      </c>
      <c r="B41" s="373" t="n">
        <v>12112</v>
      </c>
      <c r="C41" s="373" t="n">
        <v>17389</v>
      </c>
      <c r="D41" s="373" t="n">
        <v>26655</v>
      </c>
      <c r="E41" s="373" t="n">
        <v>29971</v>
      </c>
      <c r="F41" s="373" t="n">
        <v>44259</v>
      </c>
      <c r="G41" s="373" t="n">
        <v>59755</v>
      </c>
      <c r="H41" s="373" t="n">
        <v>55736</v>
      </c>
      <c r="I41" s="373" t="n">
        <v>56472</v>
      </c>
      <c r="J41" s="143" t="n">
        <v>0</v>
      </c>
      <c r="K41" s="143" t="n">
        <v>0</v>
      </c>
      <c r="L41" s="143" t="n">
        <v>0</v>
      </c>
      <c r="M41" s="143" t="n">
        <v>0</v>
      </c>
      <c r="R41" s="197">
        <f>((P41/M41)^(1/3))-1</f>
        <v/>
      </c>
      <c r="S41" s="198">
        <f>((M41/J41)^(1/3))-1</f>
        <v/>
      </c>
      <c r="T41" s="198">
        <f>((M41/H41)^(1/5))-1</f>
        <v/>
      </c>
      <c r="U41" s="198">
        <f>IF(D41&gt;0,((M41/D41)^(1/9))-1,"-")</f>
        <v/>
      </c>
      <c r="V41" s="199">
        <f>S41</f>
        <v/>
      </c>
      <c r="W41" s="200">
        <f>V41</f>
        <v/>
      </c>
      <c r="X41" s="201">
        <f>W41</f>
        <v/>
      </c>
    </row>
    <row r="42" ht="13.5" customHeight="1" thickBot="1">
      <c r="A42" s="362" t="n"/>
      <c r="R42" s="197">
        <f>((P42/M42)^(1/3))-1</f>
        <v/>
      </c>
      <c r="S42" s="198">
        <f>((M42/J42)^(1/3))-1</f>
        <v/>
      </c>
      <c r="T42" s="198">
        <f>((M42/H42)^(1/5))-1</f>
        <v/>
      </c>
      <c r="U42" s="198">
        <f>IF(D42&gt;0,((M42/D42)^(1/9))-1,"-")</f>
        <v/>
      </c>
      <c r="V42" s="199">
        <f>S42</f>
        <v/>
      </c>
      <c r="W42" s="200">
        <f>V42</f>
        <v/>
      </c>
      <c r="X42" s="201">
        <f>W42</f>
        <v/>
      </c>
    </row>
    <row r="43" ht="13.5" customHeight="1" thickBot="1">
      <c r="A43" s="362" t="inlineStr">
        <is>
          <t>Pledge</t>
        </is>
      </c>
      <c r="R43" s="197">
        <f>((P43/M43)^(1/3))-1</f>
        <v/>
      </c>
      <c r="S43" s="198">
        <f>((M43/J43)^(1/3))-1</f>
        <v/>
      </c>
      <c r="T43" s="198">
        <f>((M43/H43)^(1/5))-1</f>
        <v/>
      </c>
      <c r="U43" s="198">
        <f>IF(D43&gt;0,((M43/D43)^(1/9))-1,"-")</f>
        <v/>
      </c>
      <c r="V43" s="199">
        <f>S43</f>
        <v/>
      </c>
      <c r="W43" s="200">
        <f>V43</f>
        <v/>
      </c>
      <c r="X43" s="201">
        <f>W43</f>
        <v/>
      </c>
    </row>
    <row r="44">
      <c r="A44" s="143" t="inlineStr">
        <is>
          <t xml:space="preserve">TOTAL </t>
        </is>
      </c>
      <c r="B44" s="373">
        <f>SUM(B35:B43)</f>
        <v/>
      </c>
      <c r="C44" s="373">
        <f>SUM(C35:C43)</f>
        <v/>
      </c>
      <c r="D44" s="373">
        <f>SUM(D35:D43)</f>
        <v/>
      </c>
      <c r="E44" s="373">
        <f>SUM(E35:E43)</f>
        <v/>
      </c>
      <c r="F44" s="373">
        <f>SUM(F35:F43)</f>
        <v/>
      </c>
      <c r="G44" s="373">
        <f>SUM(G35:G43)</f>
        <v/>
      </c>
      <c r="H44" s="373">
        <f>SUM(H35:H43)</f>
        <v/>
      </c>
      <c r="I44" s="373">
        <f>SUM(I35:I43)</f>
        <v/>
      </c>
      <c r="J44" s="373">
        <f>SUM(J35:J43)</f>
        <v/>
      </c>
      <c r="K44" s="373">
        <f>SUM(K35:K43)</f>
        <v/>
      </c>
      <c r="L44" s="373">
        <f>SUM(L35:L43)</f>
        <v/>
      </c>
      <c r="M44" s="373">
        <f>SUM(M35:M43)</f>
        <v/>
      </c>
      <c r="R44" s="197">
        <f>((P44/M44)^(1/3))-1</f>
        <v/>
      </c>
      <c r="S44" s="198">
        <f>((M44/J44)^(1/3))-1</f>
        <v/>
      </c>
      <c r="T44" s="198">
        <f>((M44/H44)^(1/5))-1</f>
        <v/>
      </c>
      <c r="U44" s="198">
        <f>IF(D44&gt;0,((M44/D44)^(1/9))-1,"-")</f>
        <v/>
      </c>
      <c r="V44" s="199">
        <f>S44</f>
        <v/>
      </c>
      <c r="W44" s="200">
        <f>V44</f>
        <v/>
      </c>
      <c r="X44" s="201">
        <f>W44</f>
        <v/>
      </c>
    </row>
    <row r="51" ht="13.5" customHeight="1" thickBot="1">
      <c r="I51" s="332">
        <f>IF(I52&gt;$M$1,IF(I52&lt;=$N$1,"1","0"),"0")</f>
        <v/>
      </c>
      <c r="J51" s="332">
        <f>IF(J52&gt;$M$1,IF(J52&lt;=$N$1,"1","0"),"0")</f>
        <v/>
      </c>
      <c r="K51" s="332">
        <f>IF(K52&gt;$M$1,IF(K52&lt;=$N$1,"1","0"),"0")</f>
        <v/>
      </c>
      <c r="L51" s="332">
        <f>IF(L52&gt;$M$1,IF(L52&lt;=$N$1,"1","0"),"0")</f>
        <v/>
      </c>
      <c r="M51" s="332">
        <f>IF(M52&gt;$M$1,IF(M52&lt;=$N$1,"1","0"),"0")</f>
        <v/>
      </c>
      <c r="N51" s="332">
        <f>IF(N52&gt;$M$1,IF(N52&lt;=$N$1,"1","0"),"0")</f>
        <v/>
      </c>
      <c r="O51" s="332">
        <f>IF(O52&gt;$M$1,IF(O52&lt;=$N$1,"1","0"),"0")</f>
        <v/>
      </c>
      <c r="P51" s="332">
        <f>IF(P52&gt;$M$1,IF(P52&lt;=$N$1,"1","0"),"0")</f>
        <v/>
      </c>
      <c r="Q51" s="332">
        <f>IF(Q52&gt;$M$1,IF(Q52&lt;=$N$1,"1","0"),"0")</f>
        <v/>
      </c>
    </row>
    <row r="52">
      <c r="A52" s="285" t="inlineStr">
        <is>
          <t>QUARTERLY</t>
        </is>
      </c>
      <c r="B52" s="190" t="n"/>
      <c r="C52" s="190" t="n"/>
      <c r="D52" s="333">
        <f>'Data Sheet'!B41</f>
        <v/>
      </c>
      <c r="E52" s="334">
        <f>'Data Sheet'!C41</f>
        <v/>
      </c>
      <c r="F52" s="334">
        <f>'Data Sheet'!D41</f>
        <v/>
      </c>
      <c r="G52" s="334">
        <f>'Data Sheet'!E41</f>
        <v/>
      </c>
      <c r="H52" s="334">
        <f>'Data Sheet'!F41</f>
        <v/>
      </c>
      <c r="I52" s="334">
        <f>'Data Sheet'!G41</f>
        <v/>
      </c>
      <c r="J52" s="334">
        <f>'Data Sheet'!H41</f>
        <v/>
      </c>
      <c r="K52" s="334">
        <f>'Data Sheet'!I41</f>
        <v/>
      </c>
      <c r="L52" s="334">
        <f>'Data Sheet'!J41</f>
        <v/>
      </c>
      <c r="M52" s="334">
        <f>'Data Sheet'!K41</f>
        <v/>
      </c>
      <c r="N52" s="333">
        <f>M52+90</f>
        <v/>
      </c>
      <c r="O52" s="334">
        <f>N52+90</f>
        <v/>
      </c>
      <c r="P52" s="334">
        <f>O52+90</f>
        <v/>
      </c>
      <c r="Q52" s="335">
        <f>P52+90</f>
        <v/>
      </c>
      <c r="R52" s="336" t="n"/>
      <c r="S52" s="190" t="n"/>
      <c r="T52" s="190" t="n"/>
      <c r="U52" s="190" t="n"/>
      <c r="V52" s="154" t="n"/>
      <c r="X52" s="163" t="n"/>
    </row>
    <row r="53">
      <c r="A53" s="473" t="inlineStr">
        <is>
          <t>Revenue Qtr</t>
        </is>
      </c>
      <c r="B53" s="143" t="inlineStr">
        <is>
          <t>Cr</t>
        </is>
      </c>
      <c r="D53" s="155">
        <f>'Data Sheet'!B42</f>
        <v/>
      </c>
      <c r="E53" s="372">
        <f>'Data Sheet'!C42</f>
        <v/>
      </c>
      <c r="F53" s="372">
        <f>'Data Sheet'!D42</f>
        <v/>
      </c>
      <c r="G53" s="372">
        <f>'Data Sheet'!E42</f>
        <v/>
      </c>
      <c r="H53" s="372">
        <f>'Data Sheet'!F42</f>
        <v/>
      </c>
      <c r="I53" s="372">
        <f>'Data Sheet'!G42</f>
        <v/>
      </c>
      <c r="J53" s="372">
        <f>'Data Sheet'!H42</f>
        <v/>
      </c>
      <c r="K53" s="372">
        <f>'Data Sheet'!I42</f>
        <v/>
      </c>
      <c r="L53" s="372">
        <f>'Data Sheet'!J42</f>
        <v/>
      </c>
      <c r="M53" s="372">
        <f>'Data Sheet'!K42</f>
        <v/>
      </c>
      <c r="N53" s="337">
        <f>J53*(1+$V$2)</f>
        <v/>
      </c>
      <c r="O53" s="338">
        <f>K53*(1+$V$2)</f>
        <v/>
      </c>
      <c r="P53" s="338">
        <f>L53*(1+$V$2)</f>
        <v/>
      </c>
      <c r="Q53" s="339">
        <f>M53*(1+$V$2)</f>
        <v/>
      </c>
      <c r="R53" s="372" t="n"/>
      <c r="S53" s="340" t="n"/>
      <c r="V53" s="154" t="n"/>
      <c r="X53" s="163" t="n"/>
    </row>
    <row r="54">
      <c r="A54" s="473" t="inlineStr">
        <is>
          <t>PBIT</t>
        </is>
      </c>
      <c r="B54" s="143" t="inlineStr">
        <is>
          <t>Cr</t>
        </is>
      </c>
      <c r="D54" s="155">
        <f>'Data Sheet'!B47+'Data Sheet'!B46</f>
        <v/>
      </c>
      <c r="E54" s="143">
        <f>'Data Sheet'!C47+'Data Sheet'!C46</f>
        <v/>
      </c>
      <c r="F54" s="143">
        <f>'Data Sheet'!D47+'Data Sheet'!D46</f>
        <v/>
      </c>
      <c r="G54" s="143">
        <f>'Data Sheet'!E47+'Data Sheet'!E46</f>
        <v/>
      </c>
      <c r="H54" s="143">
        <f>'Data Sheet'!F47+'Data Sheet'!F46</f>
        <v/>
      </c>
      <c r="I54" s="143">
        <f>'Data Sheet'!G47+'Data Sheet'!G46</f>
        <v/>
      </c>
      <c r="J54" s="143">
        <f>'Data Sheet'!H47+'Data Sheet'!H46</f>
        <v/>
      </c>
      <c r="K54" s="143">
        <f>'Data Sheet'!I47+'Data Sheet'!I46</f>
        <v/>
      </c>
      <c r="L54" s="143">
        <f>'Data Sheet'!J47+'Data Sheet'!J46</f>
        <v/>
      </c>
      <c r="M54" s="143">
        <f>'Data Sheet'!K47+'Data Sheet'!K46</f>
        <v/>
      </c>
      <c r="N54" s="337">
        <f>Financial!M101+Financial!M114-Financial!M115</f>
        <v/>
      </c>
      <c r="O54" s="372">
        <f>Financial!N101+Financial!N114-Financial!N115</f>
        <v/>
      </c>
      <c r="P54" s="372">
        <f>Financial!O101+Financial!O114-Financial!O115</f>
        <v/>
      </c>
      <c r="Q54" s="372">
        <f>Financial!P101+Financial!P114-Financial!P115</f>
        <v/>
      </c>
    </row>
    <row r="59" ht="13.5" customHeight="1" thickBot="1">
      <c r="A59" s="143" t="inlineStr">
        <is>
          <t xml:space="preserve">SEGMENT REVENUE </t>
        </is>
      </c>
      <c r="D59" s="388">
        <f>D50</f>
        <v/>
      </c>
      <c r="E59" s="388">
        <f>E50</f>
        <v/>
      </c>
      <c r="F59" s="388">
        <f>F50</f>
        <v/>
      </c>
      <c r="G59" s="388">
        <f>G50</f>
        <v/>
      </c>
      <c r="H59" s="388">
        <f>H50</f>
        <v/>
      </c>
      <c r="I59" s="388">
        <f>I50</f>
        <v/>
      </c>
      <c r="J59" s="388">
        <f>J50</f>
        <v/>
      </c>
      <c r="K59" s="388">
        <f>K50</f>
        <v/>
      </c>
      <c r="L59" s="388">
        <f>L50</f>
        <v/>
      </c>
      <c r="M59" s="388">
        <f>M50</f>
        <v/>
      </c>
    </row>
    <row r="60" ht="13.5" customHeight="1" thickBot="1">
      <c r="A60" s="389" t="inlineStr">
        <is>
          <t>Banking Finance Insurance</t>
        </is>
      </c>
      <c r="B60" s="374" t="n">
        <v>21062</v>
      </c>
      <c r="C60" s="374" t="n">
        <v>27146</v>
      </c>
      <c r="D60" s="374" t="n">
        <v>35112</v>
      </c>
      <c r="E60" s="374" t="n">
        <v>38566</v>
      </c>
      <c r="F60" s="374" t="n">
        <v>44163</v>
      </c>
      <c r="G60" s="374" t="n">
        <v>47505</v>
      </c>
      <c r="H60" s="374" t="n">
        <v>48418</v>
      </c>
      <c r="I60" s="374" t="n">
        <v>57938</v>
      </c>
      <c r="J60" s="374" t="n">
        <v>61095</v>
      </c>
      <c r="K60" s="374" t="n">
        <v>65634</v>
      </c>
      <c r="L60" s="374" t="n">
        <v>75126</v>
      </c>
      <c r="M60" s="374" t="n">
        <v>86127</v>
      </c>
      <c r="N60" s="193">
        <f>M60*(1+$V60)</f>
        <v/>
      </c>
      <c r="O60" s="194">
        <f>N60*(1+$W60)</f>
        <v/>
      </c>
      <c r="P60" s="195">
        <f>O60*(1+$X60)</f>
        <v/>
      </c>
      <c r="R60" s="197">
        <f>((P60/M60)^(1/3))-1</f>
        <v/>
      </c>
      <c r="S60" s="198">
        <f>((M60/J60)^(1/3))-1</f>
        <v/>
      </c>
      <c r="T60" s="198">
        <f>((M60/H60)^(1/5))-1</f>
        <v/>
      </c>
      <c r="U60" s="198">
        <f>IF(D60&gt;0,((M60/D60)^(1/9))-1,"-")</f>
        <v/>
      </c>
      <c r="V60" s="199">
        <f>S60</f>
        <v/>
      </c>
      <c r="W60" s="200">
        <f>V60</f>
        <v/>
      </c>
      <c r="X60" s="201">
        <f>W60</f>
        <v/>
      </c>
    </row>
    <row r="61" ht="13.5" customHeight="1" thickBot="1">
      <c r="A61" s="389" t="inlineStr">
        <is>
          <t>Communication, Media and Technology</t>
        </is>
      </c>
      <c r="B61" s="374" t="n">
        <v>6205</v>
      </c>
      <c r="C61" s="374" t="n">
        <v>7540</v>
      </c>
      <c r="D61" s="374" t="n">
        <v>9614</v>
      </c>
      <c r="E61" s="374" t="n">
        <v>10934</v>
      </c>
      <c r="F61" s="374" t="n">
        <v>18040</v>
      </c>
      <c r="G61" s="374" t="n">
        <v>19521</v>
      </c>
      <c r="H61" s="374" t="n">
        <v>21131</v>
      </c>
      <c r="I61" s="374" t="n">
        <v>23925</v>
      </c>
      <c r="J61" s="374" t="n">
        <v>25978</v>
      </c>
      <c r="K61" s="374" t="n">
        <v>27077</v>
      </c>
      <c r="L61" s="374" t="n">
        <v>31874</v>
      </c>
      <c r="M61" s="374" t="n">
        <v>37653</v>
      </c>
      <c r="N61" s="193">
        <f>M61*(1+$V61)</f>
        <v/>
      </c>
      <c r="O61" s="194">
        <f>N61*(1+$W61)</f>
        <v/>
      </c>
      <c r="P61" s="195">
        <f>O61*(1+$X61)</f>
        <v/>
      </c>
      <c r="R61" s="197">
        <f>((P61/M61)^(1/3))-1</f>
        <v/>
      </c>
      <c r="S61" s="198">
        <f>((M61/J61)^(1/3))-1</f>
        <v/>
      </c>
      <c r="T61" s="198">
        <f>((M61/H61)^(1/5))-1</f>
        <v/>
      </c>
      <c r="U61" s="198">
        <f>IF(D61&gt;0,((M61/D61)^(1/9))-1,"-")</f>
        <v/>
      </c>
      <c r="V61" s="199">
        <f>S61</f>
        <v/>
      </c>
      <c r="W61" s="200">
        <f>V61</f>
        <v/>
      </c>
      <c r="X61" s="201">
        <f>W61</f>
        <v/>
      </c>
    </row>
    <row r="62" ht="13.5" customHeight="1" thickBot="1">
      <c r="A62" s="389" t="inlineStr">
        <is>
          <t>Retail and Consumer Packing Goods</t>
        </is>
      </c>
      <c r="B62" s="374" t="n">
        <v>5954</v>
      </c>
      <c r="C62" s="374" t="n">
        <v>8401</v>
      </c>
      <c r="D62" s="374" t="n">
        <v>11309</v>
      </c>
      <c r="E62" s="374" t="n">
        <v>12829</v>
      </c>
      <c r="F62" s="374" t="n">
        <v>19204</v>
      </c>
      <c r="G62" s="374" t="n">
        <v>20459</v>
      </c>
      <c r="H62" s="374" t="n">
        <v>21055</v>
      </c>
      <c r="I62" s="374" t="n">
        <v>25164</v>
      </c>
      <c r="J62" s="374" t="n">
        <v>26280</v>
      </c>
      <c r="K62" s="374" t="n">
        <v>25589</v>
      </c>
      <c r="L62" s="374" t="n">
        <v>30715</v>
      </c>
      <c r="M62" s="374" t="n">
        <v>37506</v>
      </c>
      <c r="N62" s="193">
        <f>M62*(1+$V62)</f>
        <v/>
      </c>
      <c r="O62" s="194">
        <f>N62*(1+$W62)</f>
        <v/>
      </c>
      <c r="P62" s="195">
        <f>O62*(1+$X62)</f>
        <v/>
      </c>
      <c r="R62" s="197">
        <f>((P62/M62)^(1/3))-1</f>
        <v/>
      </c>
      <c r="S62" s="198">
        <f>((M62/J62)^(1/3))-1</f>
        <v/>
      </c>
      <c r="T62" s="198">
        <f>((M62/H62)^(1/5))-1</f>
        <v/>
      </c>
      <c r="U62" s="198">
        <f>IF(D62&gt;0,((M62/D62)^(1/9))-1,"-")</f>
        <v/>
      </c>
      <c r="V62" s="199">
        <f>S62</f>
        <v/>
      </c>
      <c r="W62" s="200">
        <f>V62</f>
        <v/>
      </c>
      <c r="X62" s="201">
        <f>W62</f>
        <v/>
      </c>
    </row>
    <row r="63" ht="13.5" customHeight="1" thickBot="1">
      <c r="A63" s="389" t="inlineStr">
        <is>
          <t>Life Sciences and Healthcare</t>
        </is>
      </c>
      <c r="B63" s="375" t="n">
        <v>0</v>
      </c>
      <c r="C63" s="374" t="n">
        <v>0</v>
      </c>
      <c r="D63" s="374" t="n">
        <v>0</v>
      </c>
      <c r="E63" s="374" t="n">
        <v>0</v>
      </c>
      <c r="F63" s="374" t="n">
        <v>0</v>
      </c>
      <c r="G63" s="374" t="n">
        <v>0</v>
      </c>
      <c r="H63" s="374" t="n">
        <v>0</v>
      </c>
      <c r="I63" s="374" t="n">
        <v>0</v>
      </c>
      <c r="J63" s="374" t="n">
        <v>0</v>
      </c>
      <c r="K63" s="374" t="n">
        <v>16968</v>
      </c>
      <c r="L63" s="374" t="n">
        <v>20462</v>
      </c>
      <c r="M63" s="374" t="n">
        <v>24605</v>
      </c>
      <c r="N63" s="193">
        <f>M63*(1+$V63)</f>
        <v/>
      </c>
      <c r="O63" s="194">
        <f>N63*(1+$W63)</f>
        <v/>
      </c>
      <c r="P63" s="195">
        <f>O63*(1+$X63)</f>
        <v/>
      </c>
      <c r="R63" s="197">
        <f>((P63/M63)^(1/3))-1</f>
        <v/>
      </c>
      <c r="S63" s="198">
        <f>((M63/J63)^(1/3))-1</f>
        <v/>
      </c>
      <c r="T63" s="198">
        <f>((M63/H63)^(1/5))-1</f>
        <v/>
      </c>
      <c r="U63" s="198">
        <f>IF(D63&gt;0,((M63/D63)^(1/9))-1,"-")</f>
        <v/>
      </c>
      <c r="V63" s="199">
        <f>S63</f>
        <v/>
      </c>
      <c r="W63" s="200">
        <f>V63</f>
        <v/>
      </c>
      <c r="X63" s="201">
        <f>W63</f>
        <v/>
      </c>
    </row>
    <row r="64" ht="13.5" customHeight="1" thickBot="1">
      <c r="A64" s="389" t="inlineStr">
        <is>
          <t>Manufacturing</t>
        </is>
      </c>
      <c r="B64" s="374" t="n">
        <v>3801</v>
      </c>
      <c r="C64" s="374" t="n">
        <v>5216</v>
      </c>
      <c r="D64" s="374" t="n">
        <v>6989</v>
      </c>
      <c r="E64" s="374" t="n">
        <v>9242</v>
      </c>
      <c r="F64" s="374" t="n">
        <v>10909</v>
      </c>
      <c r="G64" s="374" t="n">
        <v>12486</v>
      </c>
      <c r="H64" s="374" t="n">
        <v>13361</v>
      </c>
      <c r="I64" s="374" t="n">
        <v>15682</v>
      </c>
      <c r="J64" s="374" t="n">
        <v>16468</v>
      </c>
      <c r="K64" s="374" t="n">
        <v>15950</v>
      </c>
      <c r="L64" s="374" t="n">
        <v>18610</v>
      </c>
      <c r="M64" s="374" t="n">
        <v>21236</v>
      </c>
      <c r="N64" s="193">
        <f>M64*(1+$V64)</f>
        <v/>
      </c>
      <c r="O64" s="194">
        <f>N64*(1+$W64)</f>
        <v/>
      </c>
      <c r="P64" s="195">
        <f>O64*(1+$X64)</f>
        <v/>
      </c>
      <c r="R64" s="197">
        <f>((P64/M64)^(1/3))-1</f>
        <v/>
      </c>
      <c r="S64" s="198">
        <f>((M64/J64)^(1/3))-1</f>
        <v/>
      </c>
      <c r="T64" s="198">
        <f>((M64/H64)^(1/5))-1</f>
        <v/>
      </c>
      <c r="U64" s="198">
        <f>IF(D64&gt;0,((M64/D64)^(1/9))-1,"-")</f>
        <v/>
      </c>
      <c r="V64" s="199">
        <f>S64</f>
        <v/>
      </c>
      <c r="W64" s="200">
        <f>V64</f>
        <v/>
      </c>
      <c r="X64" s="201">
        <f>W64</f>
        <v/>
      </c>
    </row>
    <row r="65" ht="13.5" customHeight="1" thickBot="1">
      <c r="A65" s="389" t="inlineStr">
        <is>
          <t>Others</t>
        </is>
      </c>
      <c r="B65" s="374" t="n">
        <v>11872</v>
      </c>
      <c r="C65" s="374" t="n">
        <v>14687</v>
      </c>
      <c r="D65" s="374" t="n">
        <v>18785</v>
      </c>
      <c r="E65" s="374" t="n">
        <v>23078</v>
      </c>
      <c r="F65" s="374" t="n">
        <v>16330</v>
      </c>
      <c r="G65" s="374" t="n">
        <v>17995</v>
      </c>
      <c r="H65" s="374" t="n">
        <v>19139</v>
      </c>
      <c r="I65" s="374" t="n">
        <v>23754</v>
      </c>
      <c r="J65" s="374" t="n">
        <v>27128</v>
      </c>
      <c r="K65" s="374" t="n">
        <v>12959</v>
      </c>
      <c r="L65" s="374" t="n">
        <v>14967</v>
      </c>
      <c r="M65" s="374" t="n">
        <v>18331</v>
      </c>
      <c r="N65" s="193">
        <f>M65*(1+$V65)</f>
        <v/>
      </c>
      <c r="O65" s="194">
        <f>N65*(1+$W65)</f>
        <v/>
      </c>
      <c r="P65" s="195">
        <f>O65*(1+$X65)</f>
        <v/>
      </c>
      <c r="R65" s="197">
        <f>((P65/M65)^(1/3))-1</f>
        <v/>
      </c>
      <c r="S65" s="198">
        <f>((M65/J65)^(1/3))-1</f>
        <v/>
      </c>
      <c r="T65" s="198">
        <f>((M65/H65)^(1/5))-1</f>
        <v/>
      </c>
      <c r="U65" s="198">
        <f>IF(D65&gt;0,((M65/D65)^(1/9))-1,"-")</f>
        <v/>
      </c>
      <c r="V65" s="199">
        <f>S65</f>
        <v/>
      </c>
      <c r="W65" s="200">
        <f>V65</f>
        <v/>
      </c>
      <c r="X65" s="201">
        <f>W65</f>
        <v/>
      </c>
    </row>
    <row r="66" ht="13.5" customHeight="1" thickBot="1">
      <c r="A66" s="389" t="n"/>
      <c r="B66" s="375" t="n"/>
      <c r="C66" s="375" t="n"/>
      <c r="D66" s="375" t="n"/>
      <c r="E66" s="375" t="n"/>
      <c r="F66" s="375" t="n"/>
      <c r="G66" s="375" t="n"/>
      <c r="H66" s="375" t="n"/>
      <c r="I66" s="375" t="n"/>
      <c r="J66" s="375" t="n"/>
      <c r="K66" s="375" t="n"/>
      <c r="L66" s="375" t="n"/>
      <c r="M66" s="375" t="n"/>
      <c r="N66" s="193">
        <f>M66*(1+$V66)</f>
        <v/>
      </c>
      <c r="O66" s="194">
        <f>N66*(1+$W66)</f>
        <v/>
      </c>
      <c r="P66" s="195">
        <f>O66*(1+$X66)</f>
        <v/>
      </c>
      <c r="R66" s="197">
        <f>((P66/M66)^(1/3))-1</f>
        <v/>
      </c>
      <c r="S66" s="198">
        <f>((M66/J66)^(1/3))-1</f>
        <v/>
      </c>
      <c r="T66" s="198">
        <f>((M66/H66)^(1/5))-1</f>
        <v/>
      </c>
      <c r="U66" s="198">
        <f>IF(D66&gt;0,((M66/D66)^(1/9))-1,"-")</f>
        <v/>
      </c>
      <c r="V66" s="199">
        <f>S66</f>
        <v/>
      </c>
      <c r="W66" s="200">
        <f>V66</f>
        <v/>
      </c>
      <c r="X66" s="201">
        <f>W66</f>
        <v/>
      </c>
    </row>
    <row r="67" ht="13.5" customHeight="1" thickBot="1">
      <c r="A67" s="389" t="n"/>
      <c r="B67" s="375" t="n"/>
      <c r="C67" s="375" t="n"/>
      <c r="D67" s="375" t="n"/>
      <c r="E67" s="375" t="n"/>
      <c r="F67" s="375" t="n"/>
      <c r="G67" s="375" t="n"/>
      <c r="H67" s="375" t="n"/>
      <c r="I67" s="375" t="n"/>
      <c r="J67" s="375" t="n"/>
      <c r="K67" s="375" t="n"/>
      <c r="L67" s="375" t="n"/>
      <c r="M67" s="375" t="n"/>
      <c r="N67" s="193">
        <f>M67*(1+$V67)</f>
        <v/>
      </c>
      <c r="O67" s="194">
        <f>N67*(1+$W67)</f>
        <v/>
      </c>
      <c r="P67" s="195">
        <f>O67*(1+$X67)</f>
        <v/>
      </c>
      <c r="R67" s="197">
        <f>((P67/M67)^(1/3))-1</f>
        <v/>
      </c>
      <c r="S67" s="198">
        <f>((M67/J67)^(1/3))-1</f>
        <v/>
      </c>
      <c r="T67" s="198">
        <f>((M67/H67)^(1/5))-1</f>
        <v/>
      </c>
      <c r="U67" s="198">
        <f>IF(D67&gt;0,((M67/D67)^(1/9))-1,"-")</f>
        <v/>
      </c>
      <c r="V67" s="199">
        <f>S67</f>
        <v/>
      </c>
      <c r="W67" s="200">
        <f>V67</f>
        <v/>
      </c>
      <c r="X67" s="201">
        <f>W67</f>
        <v/>
      </c>
    </row>
    <row r="68" ht="13.5" customHeight="1" thickBot="1">
      <c r="A68" s="362" t="inlineStr">
        <is>
          <t>Pledge</t>
        </is>
      </c>
      <c r="B68" s="363" t="n"/>
      <c r="C68" s="363" t="n"/>
      <c r="N68" s="193">
        <f>M68*(1+$V68)</f>
        <v/>
      </c>
      <c r="O68" s="194">
        <f>N68*(1+$W68)</f>
        <v/>
      </c>
      <c r="P68" s="195">
        <f>O68*(1+$X68)</f>
        <v/>
      </c>
      <c r="R68" s="197">
        <f>((P68/M68)^(1/3))-1</f>
        <v/>
      </c>
      <c r="S68" s="198">
        <f>((M68/J68)^(1/3))-1</f>
        <v/>
      </c>
      <c r="T68" s="198">
        <f>((M68/H68)^(1/5))-1</f>
        <v/>
      </c>
      <c r="U68" s="198">
        <f>IF(D68&gt;0,((M68/D68)^(1/9))-1,"-")</f>
        <v/>
      </c>
      <c r="V68" s="199">
        <f>S68</f>
        <v/>
      </c>
      <c r="W68" s="200">
        <f>V68</f>
        <v/>
      </c>
      <c r="X68" s="201">
        <f>W68</f>
        <v/>
      </c>
    </row>
    <row r="69" ht="13.5" customHeight="1" thickBot="1">
      <c r="A69" s="143" t="inlineStr">
        <is>
          <t xml:space="preserve">TOTAL </t>
        </is>
      </c>
      <c r="B69" s="363" t="n"/>
      <c r="C69" s="363" t="n"/>
      <c r="D69" s="373">
        <f>SUM(D60:D68)</f>
        <v/>
      </c>
      <c r="E69" s="373">
        <f>SUM(E60:E68)</f>
        <v/>
      </c>
      <c r="F69" s="373">
        <f>SUM(F60:F68)</f>
        <v/>
      </c>
      <c r="G69" s="373">
        <f>SUM(G60:G68)</f>
        <v/>
      </c>
      <c r="H69" s="373">
        <f>SUM(H60:H68)</f>
        <v/>
      </c>
      <c r="I69" s="373">
        <f>SUM(I60:I68)</f>
        <v/>
      </c>
      <c r="J69" s="373">
        <f>SUM(J60:J68)</f>
        <v/>
      </c>
      <c r="K69" s="373">
        <f>SUM(K60:K68)</f>
        <v/>
      </c>
      <c r="L69" s="373">
        <f>SUM(L60:L68)</f>
        <v/>
      </c>
      <c r="M69" s="373">
        <f>SUM(M60:M68)</f>
        <v/>
      </c>
      <c r="N69" s="373">
        <f>SUM(N60:N68)</f>
        <v/>
      </c>
      <c r="O69" s="373">
        <f>SUM(O60:O68)</f>
        <v/>
      </c>
      <c r="P69" s="373">
        <f>SUM(P60:P68)</f>
        <v/>
      </c>
      <c r="R69" s="197">
        <f>((P69/M69)^(1/3))-1</f>
        <v/>
      </c>
      <c r="S69" s="198">
        <f>((M69/J69)^(1/3))-1</f>
        <v/>
      </c>
      <c r="T69" s="198">
        <f>((M69/H69)^(1/5))-1</f>
        <v/>
      </c>
      <c r="U69" s="198">
        <f>IF(D69&gt;0,((M69/D69)^(1/9))-1,"-")</f>
        <v/>
      </c>
      <c r="V69" s="199">
        <f>S69</f>
        <v/>
      </c>
      <c r="W69" s="200">
        <f>V69</f>
        <v/>
      </c>
      <c r="X69" s="201">
        <f>W69</f>
        <v/>
      </c>
    </row>
    <row r="70" ht="13.5" customHeight="1" thickBot="1">
      <c r="A70" s="362" t="inlineStr">
        <is>
          <t>Managerial Remuneration</t>
        </is>
      </c>
      <c r="B70" s="362" t="inlineStr">
        <is>
          <t>Cr</t>
        </is>
      </c>
      <c r="C70" s="362" t="n"/>
      <c r="R70" s="197">
        <f>((P70/M70)^(1/3))-1</f>
        <v/>
      </c>
      <c r="S70" s="198">
        <f>((M70/J70)^(1/3))-1</f>
        <v/>
      </c>
      <c r="T70" s="198">
        <f>((M70/H70)^(1/5))-1</f>
        <v/>
      </c>
      <c r="U70" s="198">
        <f>IF(D70&gt;0,((M70/D70)^(1/9))-1,"-")</f>
        <v/>
      </c>
      <c r="V70" s="199">
        <f>S70</f>
        <v/>
      </c>
      <c r="W70" s="200">
        <f>V70</f>
        <v/>
      </c>
      <c r="X70" s="201">
        <f>W70</f>
        <v/>
      </c>
    </row>
    <row r="71" ht="13.5" customHeight="1" thickBot="1">
      <c r="A71" s="143" t="inlineStr">
        <is>
          <t>SEGMENT PBIT</t>
        </is>
      </c>
      <c r="B71" s="363" t="n"/>
      <c r="C71" s="363" t="n"/>
      <c r="R71" s="197">
        <f>((P71/M71)^(1/3))-1</f>
        <v/>
      </c>
      <c r="S71" s="198">
        <f>((M71/J71)^(1/3))-1</f>
        <v/>
      </c>
      <c r="T71" s="198">
        <f>((M71/H71)^(1/5))-1</f>
        <v/>
      </c>
      <c r="U71" s="198">
        <f>IF(D71&gt;0,((M71/D71)^(1/9))-1,"-")</f>
        <v/>
      </c>
      <c r="V71" s="199">
        <f>S71</f>
        <v/>
      </c>
      <c r="W71" s="200">
        <f>V71</f>
        <v/>
      </c>
      <c r="X71" s="201">
        <f>W71</f>
        <v/>
      </c>
    </row>
    <row r="72" ht="13.5" customHeight="1" thickBot="1">
      <c r="A72" s="389" t="inlineStr">
        <is>
          <t>Banking Finance Insurance</t>
        </is>
      </c>
      <c r="B72" s="374" t="n">
        <v>6493</v>
      </c>
      <c r="C72" s="374" t="n">
        <v>8014</v>
      </c>
      <c r="D72" s="374" t="n">
        <v>11523</v>
      </c>
      <c r="E72" s="374" t="n">
        <v>10594</v>
      </c>
      <c r="F72" s="374" t="n">
        <v>12851</v>
      </c>
      <c r="G72" s="374" t="n">
        <v>13098</v>
      </c>
      <c r="H72" s="374" t="n">
        <v>13045</v>
      </c>
      <c r="I72" s="374" t="n">
        <v>16089</v>
      </c>
      <c r="J72" s="374" t="n">
        <v>16950</v>
      </c>
      <c r="K72" s="374" t="n">
        <v>18681</v>
      </c>
      <c r="L72" s="374" t="n">
        <v>20174</v>
      </c>
      <c r="M72" s="374" t="n">
        <v>22345</v>
      </c>
      <c r="N72" s="193">
        <f>M72*(1+$V72)</f>
        <v/>
      </c>
      <c r="O72" s="194">
        <f>N72*(1+$W72)</f>
        <v/>
      </c>
      <c r="P72" s="195">
        <f>O72*(1+$X72)</f>
        <v/>
      </c>
      <c r="R72" s="197">
        <f>((P72/M72)^(1/3))-1</f>
        <v/>
      </c>
      <c r="S72" s="198">
        <f>((M72/J72)^(1/3))-1</f>
        <v/>
      </c>
      <c r="T72" s="198">
        <f>((M72/H72)^(1/5))-1</f>
        <v/>
      </c>
      <c r="U72" s="198">
        <f>IF(D72&gt;0,((M72/D72)^(1/9))-1,"-")</f>
        <v/>
      </c>
      <c r="V72" s="199">
        <f>S72</f>
        <v/>
      </c>
      <c r="W72" s="200">
        <f>V72</f>
        <v/>
      </c>
      <c r="X72" s="201">
        <f>W72</f>
        <v/>
      </c>
    </row>
    <row r="73" ht="13.5" customHeight="1" thickBot="1">
      <c r="A73" s="389" t="inlineStr">
        <is>
          <t>Communication, Media and Technology</t>
        </is>
      </c>
      <c r="B73" s="374" t="n">
        <v>1890</v>
      </c>
      <c r="C73" s="374" t="n">
        <v>1949</v>
      </c>
      <c r="D73" s="374" t="n">
        <v>2749</v>
      </c>
      <c r="E73" s="374" t="n">
        <v>2771</v>
      </c>
      <c r="F73" s="374" t="n">
        <v>5190</v>
      </c>
      <c r="G73" s="374" t="n">
        <v>5552</v>
      </c>
      <c r="H73" s="374" t="n">
        <v>5797</v>
      </c>
      <c r="I73" s="374" t="n">
        <v>6644</v>
      </c>
      <c r="J73" s="374" t="n">
        <v>7703</v>
      </c>
      <c r="K73" s="374" t="n">
        <v>8010</v>
      </c>
      <c r="L73" s="374" t="n">
        <v>9518</v>
      </c>
      <c r="M73" s="374" t="n">
        <v>10667</v>
      </c>
      <c r="N73" s="193">
        <f>M73*(1+$V73)</f>
        <v/>
      </c>
      <c r="O73" s="194">
        <f>N73*(1+$W73)</f>
        <v/>
      </c>
      <c r="P73" s="195">
        <f>O73*(1+$X73)</f>
        <v/>
      </c>
      <c r="R73" s="197">
        <f>((P73/M73)^(1/3))-1</f>
        <v/>
      </c>
      <c r="S73" s="198">
        <f>((M73/J73)^(1/3))-1</f>
        <v/>
      </c>
      <c r="T73" s="198">
        <f>((M73/H73)^(1/5))-1</f>
        <v/>
      </c>
      <c r="U73" s="198">
        <f>IF(D73&gt;0,((M73/D73)^(1/9))-1,"-")</f>
        <v/>
      </c>
      <c r="V73" s="199">
        <f>S73</f>
        <v/>
      </c>
      <c r="W73" s="200">
        <f>V73</f>
        <v/>
      </c>
      <c r="X73" s="201">
        <f>W73</f>
        <v/>
      </c>
    </row>
    <row r="74" ht="13.5" customHeight="1" thickBot="1">
      <c r="A74" s="389" t="inlineStr">
        <is>
          <t>Retail and Consumer Packing Goods</t>
        </is>
      </c>
      <c r="B74" s="374" t="n">
        <v>1742</v>
      </c>
      <c r="C74" s="374" t="n">
        <v>2581</v>
      </c>
      <c r="D74" s="374" t="n">
        <v>3674</v>
      </c>
      <c r="E74" s="374" t="n">
        <v>3254</v>
      </c>
      <c r="F74" s="374" t="n">
        <v>5330</v>
      </c>
      <c r="G74" s="374" t="n">
        <v>5740</v>
      </c>
      <c r="H74" s="374" t="n">
        <v>5580</v>
      </c>
      <c r="I74" s="374" t="n">
        <v>6871</v>
      </c>
      <c r="J74" s="374" t="n">
        <v>6870</v>
      </c>
      <c r="K74" s="374" t="n">
        <v>7151</v>
      </c>
      <c r="L74" s="374" t="n">
        <v>8534</v>
      </c>
      <c r="M74" s="374" t="n">
        <v>9636</v>
      </c>
      <c r="N74" s="193">
        <f>M74*(1+$V74)</f>
        <v/>
      </c>
      <c r="O74" s="194">
        <f>N74*(1+$W74)</f>
        <v/>
      </c>
      <c r="P74" s="195">
        <f>O74*(1+$X74)</f>
        <v/>
      </c>
      <c r="R74" s="197">
        <f>((P74/M74)^(1/3))-1</f>
        <v/>
      </c>
      <c r="S74" s="198">
        <f>((M74/J74)^(1/3))-1</f>
        <v/>
      </c>
      <c r="T74" s="198">
        <f>((M74/H74)^(1/5))-1</f>
        <v/>
      </c>
      <c r="U74" s="198">
        <f>IF(D74&gt;0,((M74/D74)^(1/9))-1,"-")</f>
        <v/>
      </c>
      <c r="V74" s="199">
        <f>S74</f>
        <v/>
      </c>
      <c r="W74" s="200">
        <f>V74</f>
        <v/>
      </c>
      <c r="X74" s="201">
        <f>W74</f>
        <v/>
      </c>
    </row>
    <row r="75" ht="13.5" customHeight="1" thickBot="1">
      <c r="A75" s="389" t="inlineStr">
        <is>
          <t>Life Sciences and Healthcare</t>
        </is>
      </c>
      <c r="B75" s="375" t="n">
        <v>0</v>
      </c>
      <c r="C75" s="374" t="n">
        <v>0</v>
      </c>
      <c r="D75" s="374" t="n">
        <v>0</v>
      </c>
      <c r="E75" s="374" t="n">
        <v>0</v>
      </c>
      <c r="F75" s="374" t="n">
        <v>0</v>
      </c>
      <c r="G75" s="374" t="n">
        <v>0</v>
      </c>
      <c r="H75" s="374" t="n">
        <v>0</v>
      </c>
      <c r="I75" s="374" t="n">
        <v>0</v>
      </c>
      <c r="J75" s="374" t="n">
        <v>0</v>
      </c>
      <c r="K75" s="374" t="n">
        <v>5253</v>
      </c>
      <c r="L75" s="374" t="n">
        <v>6139</v>
      </c>
      <c r="M75" s="374" t="n">
        <v>6894</v>
      </c>
      <c r="N75" s="193">
        <f>M75*(1+$V75)</f>
        <v/>
      </c>
      <c r="O75" s="194">
        <f>N75*(1+$W75)</f>
        <v/>
      </c>
      <c r="P75" s="195">
        <f>O75*(1+$X75)</f>
        <v/>
      </c>
      <c r="R75" s="197">
        <f>((P75/M75)^(1/3))-1</f>
        <v/>
      </c>
      <c r="S75" s="198">
        <f>((M75/J75)^(1/3))-1</f>
        <v/>
      </c>
      <c r="T75" s="198">
        <f>((M75/H75)^(1/5))-1</f>
        <v/>
      </c>
      <c r="U75" s="198">
        <f>IF(D75&gt;0,((M75/D75)^(1/9))-1,"-")</f>
        <v/>
      </c>
      <c r="V75" s="199">
        <f>S75</f>
        <v/>
      </c>
      <c r="W75" s="200">
        <f>V75</f>
        <v/>
      </c>
      <c r="X75" s="201">
        <f>W75</f>
        <v/>
      </c>
    </row>
    <row r="76" ht="13.5" customHeight="1" thickBot="1">
      <c r="A76" s="389" t="inlineStr">
        <is>
          <t>Manufacturing</t>
        </is>
      </c>
      <c r="B76" s="375" t="n">
        <v>986</v>
      </c>
      <c r="C76" s="374" t="n">
        <v>1363</v>
      </c>
      <c r="D76" s="374" t="n">
        <v>2051</v>
      </c>
      <c r="E76" s="374" t="n">
        <v>2223</v>
      </c>
      <c r="F76" s="374" t="n">
        <v>2924</v>
      </c>
      <c r="G76" s="374" t="n">
        <v>3574</v>
      </c>
      <c r="H76" s="374" t="n">
        <v>3698</v>
      </c>
      <c r="I76" s="374" t="n">
        <v>4311</v>
      </c>
      <c r="J76" s="374" t="n">
        <v>4445</v>
      </c>
      <c r="K76" s="374" t="n">
        <v>4483</v>
      </c>
      <c r="L76" s="374" t="n">
        <v>5602</v>
      </c>
      <c r="M76" s="374" t="n">
        <v>5842</v>
      </c>
      <c r="N76" s="193">
        <f>M76*(1+$V76)</f>
        <v/>
      </c>
      <c r="O76" s="194">
        <f>N76*(1+$W76)</f>
        <v/>
      </c>
      <c r="P76" s="195">
        <f>O76*(1+$X76)</f>
        <v/>
      </c>
      <c r="R76" s="197">
        <f>((P76/M76)^(1/3))-1</f>
        <v/>
      </c>
      <c r="S76" s="198">
        <f>((M76/J76)^(1/3))-1</f>
        <v/>
      </c>
      <c r="T76" s="198">
        <f>((M76/H76)^(1/5))-1</f>
        <v/>
      </c>
      <c r="U76" s="198">
        <f>IF(D76&gt;0,((M76/D76)^(1/9))-1,"-")</f>
        <v/>
      </c>
      <c r="V76" s="199">
        <f>S76</f>
        <v/>
      </c>
      <c r="W76" s="200">
        <f>V76</f>
        <v/>
      </c>
      <c r="X76" s="201">
        <f>W76</f>
        <v/>
      </c>
    </row>
    <row r="77" ht="13.5" customHeight="1" thickBot="1">
      <c r="A77" s="389" t="inlineStr">
        <is>
          <t>Others</t>
        </is>
      </c>
      <c r="B77" s="374" t="n">
        <v>3203</v>
      </c>
      <c r="C77" s="374" t="n">
        <v>3992</v>
      </c>
      <c r="D77" s="374" t="n">
        <v>5029</v>
      </c>
      <c r="E77" s="374" t="n">
        <v>5480</v>
      </c>
      <c r="F77" s="374" t="n">
        <v>4294</v>
      </c>
      <c r="G77" s="374" t="n">
        <v>4271</v>
      </c>
      <c r="H77" s="374" t="n">
        <v>4339</v>
      </c>
      <c r="I77" s="374" t="n">
        <v>5554</v>
      </c>
      <c r="J77" s="374" t="n">
        <v>6141</v>
      </c>
      <c r="K77" s="374" t="n">
        <v>2968</v>
      </c>
      <c r="L77" s="374" t="n">
        <v>3090</v>
      </c>
      <c r="M77" s="374" t="n">
        <v>3875</v>
      </c>
      <c r="N77" s="193">
        <f>M77*(1+$V77)</f>
        <v/>
      </c>
      <c r="O77" s="194">
        <f>N77*(1+$W77)</f>
        <v/>
      </c>
      <c r="P77" s="195">
        <f>O77*(1+$X77)</f>
        <v/>
      </c>
      <c r="R77" s="197">
        <f>((P77/M77)^(1/3))-1</f>
        <v/>
      </c>
      <c r="S77" s="198">
        <f>((M77/J77)^(1/3))-1</f>
        <v/>
      </c>
      <c r="T77" s="198">
        <f>((M77/H77)^(1/5))-1</f>
        <v/>
      </c>
      <c r="U77" s="198">
        <f>IF(D77&gt;0,((M77/D77)^(1/9))-1,"-")</f>
        <v/>
      </c>
      <c r="V77" s="199">
        <f>S77</f>
        <v/>
      </c>
      <c r="W77" s="200">
        <f>V77</f>
        <v/>
      </c>
      <c r="X77" s="201">
        <f>W77</f>
        <v/>
      </c>
    </row>
    <row r="78" ht="13.5" customHeight="1" thickBot="1">
      <c r="A78" s="389" t="inlineStr">
        <is>
          <t>Unallocated</t>
        </is>
      </c>
      <c r="B78" s="375" t="n">
        <v>-390</v>
      </c>
      <c r="C78" s="374" t="n">
        <v>192</v>
      </c>
      <c r="D78" s="375" t="n">
        <v>377</v>
      </c>
      <c r="E78" s="374" t="n">
        <v>1486</v>
      </c>
      <c r="F78" s="374" t="n">
        <v>1251</v>
      </c>
      <c r="G78" s="374" t="n">
        <v>2278</v>
      </c>
      <c r="H78" s="374" t="n">
        <v>1633</v>
      </c>
      <c r="I78" s="374" t="n">
        <v>2094</v>
      </c>
      <c r="J78" s="375" t="n">
        <v>139</v>
      </c>
      <c r="K78" s="374" t="n">
        <v>-2786</v>
      </c>
      <c r="L78" s="374" t="n">
        <v>-1370</v>
      </c>
      <c r="M78" s="374" t="n">
        <v>-2352</v>
      </c>
      <c r="N78" s="193">
        <f>M78*(1+$V78)</f>
        <v/>
      </c>
      <c r="O78" s="194">
        <f>N78*(1+$W78)</f>
        <v/>
      </c>
      <c r="P78" s="195">
        <f>O78*(1+$X78)</f>
        <v/>
      </c>
      <c r="R78" s="197">
        <f>((P78/M78)^(1/3))-1</f>
        <v/>
      </c>
      <c r="S78" s="198">
        <f>((M78/J78)^(1/3))-1</f>
        <v/>
      </c>
      <c r="T78" s="198">
        <f>((M78/H78)^(1/5))-1</f>
        <v/>
      </c>
      <c r="U78" s="198">
        <f>IF(D78&gt;0,((M78/D78)^(1/9))-1,"-")</f>
        <v/>
      </c>
      <c r="V78" s="199">
        <f>S78</f>
        <v/>
      </c>
      <c r="W78" s="200">
        <f>V78</f>
        <v/>
      </c>
      <c r="X78" s="201">
        <f>W78</f>
        <v/>
      </c>
    </row>
    <row r="79" ht="13.5" customHeight="1" thickBot="1">
      <c r="A79" s="389" t="n"/>
      <c r="B79" s="375" t="n"/>
      <c r="C79" s="375" t="n"/>
      <c r="D79" s="375" t="n"/>
      <c r="E79" s="375" t="n"/>
      <c r="F79" s="374" t="n"/>
      <c r="G79" s="374" t="n"/>
      <c r="H79" s="374" t="n"/>
      <c r="I79" s="374" t="n"/>
      <c r="J79" s="374" t="n"/>
      <c r="K79" s="374" t="n"/>
      <c r="L79" s="374" t="n"/>
      <c r="M79" s="374" t="n"/>
      <c r="N79" s="193">
        <f>M79*(1+$V79)</f>
        <v/>
      </c>
      <c r="O79" s="194">
        <f>N79*(1+$W79)</f>
        <v/>
      </c>
      <c r="P79" s="195">
        <f>O79*(1+$X79)</f>
        <v/>
      </c>
      <c r="R79" s="197">
        <f>((P79/M79)^(1/3))-1</f>
        <v/>
      </c>
      <c r="S79" s="198">
        <f>((M79/J79)^(1/3))-1</f>
        <v/>
      </c>
      <c r="T79" s="198">
        <f>((M79/H79)^(1/5))-1</f>
        <v/>
      </c>
      <c r="U79" s="198">
        <f>IF(D79&gt;0,((M79/D79)^(1/9))-1,"-")</f>
        <v/>
      </c>
      <c r="V79" s="199">
        <f>S79</f>
        <v/>
      </c>
      <c r="W79" s="200">
        <f>V79</f>
        <v/>
      </c>
      <c r="X79" s="201">
        <f>W79</f>
        <v/>
      </c>
    </row>
    <row r="80" ht="13.5" customHeight="1" thickBot="1">
      <c r="A80" s="362" t="inlineStr">
        <is>
          <t>Pledge</t>
        </is>
      </c>
      <c r="N80" s="193">
        <f>M80*(1+$V80)</f>
        <v/>
      </c>
      <c r="O80" s="194">
        <f>N80*(1+$W80)</f>
        <v/>
      </c>
      <c r="P80" s="195">
        <f>O80*(1+$X80)</f>
        <v/>
      </c>
      <c r="R80" s="197">
        <f>((P80/M80)^(1/3))-1</f>
        <v/>
      </c>
      <c r="S80" s="198">
        <f>((M80/J80)^(1/3))-1</f>
        <v/>
      </c>
      <c r="T80" s="198">
        <f>((M80/H80)^(1/5))-1</f>
        <v/>
      </c>
      <c r="U80" s="198">
        <f>IF(D80&gt;0,((M80/D80)^(1/9))-1,"-")</f>
        <v/>
      </c>
      <c r="V80" s="199">
        <f>S80</f>
        <v/>
      </c>
      <c r="W80" s="200">
        <f>V80</f>
        <v/>
      </c>
      <c r="X80" s="201">
        <f>W80</f>
        <v/>
      </c>
    </row>
    <row r="81" ht="13.5" customHeight="1" thickBot="1">
      <c r="A81" s="143" t="inlineStr">
        <is>
          <t xml:space="preserve">TOTAL </t>
        </is>
      </c>
      <c r="B81" s="373">
        <f>SUM(B72:B80)</f>
        <v/>
      </c>
      <c r="C81" s="373">
        <f>SUM(C72:C80)</f>
        <v/>
      </c>
      <c r="D81" s="373">
        <f>SUM(D72:D80)</f>
        <v/>
      </c>
      <c r="E81" s="373">
        <f>SUM(E72:E80)</f>
        <v/>
      </c>
      <c r="F81" s="373">
        <f>SUM(F72:F80)</f>
        <v/>
      </c>
      <c r="G81" s="373">
        <f>SUM(G72:G80)</f>
        <v/>
      </c>
      <c r="H81" s="373">
        <f>SUM(H72:H80)</f>
        <v/>
      </c>
      <c r="I81" s="373">
        <f>SUM(I72:I80)</f>
        <v/>
      </c>
      <c r="J81" s="373">
        <f>SUM(J72:J80)</f>
        <v/>
      </c>
      <c r="K81" s="373">
        <f>SUM(K72:K80)</f>
        <v/>
      </c>
      <c r="L81" s="373">
        <f>SUM(L72:L80)</f>
        <v/>
      </c>
      <c r="M81" s="373">
        <f>SUM(M72:M80)</f>
        <v/>
      </c>
      <c r="N81" s="373">
        <f>SUM(N72:N80)</f>
        <v/>
      </c>
      <c r="O81" s="373">
        <f>SUM(O72:O80)</f>
        <v/>
      </c>
      <c r="P81" s="373">
        <f>SUM(P72:P80)</f>
        <v/>
      </c>
      <c r="R81" s="197">
        <f>((P81/M81)^(1/3))-1</f>
        <v/>
      </c>
      <c r="S81" s="198">
        <f>((M81/J81)^(1/3))-1</f>
        <v/>
      </c>
      <c r="T81" s="198">
        <f>((M81/H81)^(1/5))-1</f>
        <v/>
      </c>
      <c r="U81" s="198">
        <f>IF(D81&gt;0,((M81/D81)^(1/9))-1,"-")</f>
        <v/>
      </c>
      <c r="V81" s="199">
        <f>S81</f>
        <v/>
      </c>
      <c r="W81" s="200">
        <f>V81</f>
        <v/>
      </c>
      <c r="X81" s="201">
        <f>W81</f>
        <v/>
      </c>
    </row>
    <row r="82" ht="13.5" customHeight="1" thickBot="1">
      <c r="R82" s="197">
        <f>((P82/M82)^(1/3))-1</f>
        <v/>
      </c>
      <c r="S82" s="198">
        <f>((M82/J82)^(1/3))-1</f>
        <v/>
      </c>
      <c r="T82" s="198">
        <f>((M82/H82)^(1/5))-1</f>
        <v/>
      </c>
      <c r="U82" s="198">
        <f>IF(D82&gt;0,((M82/D82)^(1/9))-1,"-")</f>
        <v/>
      </c>
      <c r="V82" s="199">
        <f>S82</f>
        <v/>
      </c>
      <c r="W82" s="200">
        <f>V82</f>
        <v/>
      </c>
      <c r="X82" s="201">
        <f>W82</f>
        <v/>
      </c>
    </row>
    <row r="83" ht="13.5" customHeight="1" thickBot="1">
      <c r="A83" s="143" t="inlineStr">
        <is>
          <t>SEGMENT CAPITAL EMPLOYED</t>
        </is>
      </c>
      <c r="R83" s="197">
        <f>((P83/M83)^(1/3))-1</f>
        <v/>
      </c>
      <c r="S83" s="198">
        <f>((M83/J83)^(1/3))-1</f>
        <v/>
      </c>
      <c r="T83" s="198">
        <f>((M83/H83)^(1/5))-1</f>
        <v/>
      </c>
      <c r="U83" s="198">
        <f>IF(D83&gt;0,((M83/D83)^(1/9))-1,"-")</f>
        <v/>
      </c>
      <c r="V83" s="199">
        <f>S83</f>
        <v/>
      </c>
      <c r="W83" s="200">
        <f>V83</f>
        <v/>
      </c>
      <c r="X83" s="201">
        <f>W83</f>
        <v/>
      </c>
    </row>
    <row r="84" ht="13.5" customHeight="1" thickBot="1">
      <c r="A84" s="389" t="inlineStr">
        <is>
          <t>Banking Finance Insurance</t>
        </is>
      </c>
      <c r="B84" s="374" t="n">
        <v>8570</v>
      </c>
      <c r="C84" s="374" t="n">
        <v>10045</v>
      </c>
      <c r="D84" s="374" t="n">
        <v>8344</v>
      </c>
      <c r="E84" s="374" t="n">
        <v>7057</v>
      </c>
      <c r="F84" s="374" t="n">
        <v>9681</v>
      </c>
      <c r="G84" s="374" t="n">
        <v>8635</v>
      </c>
      <c r="H84" s="374" t="n">
        <v>9039</v>
      </c>
      <c r="I84" s="374" t="n">
        <v>10483</v>
      </c>
      <c r="J84" s="375" t="n">
        <v>0</v>
      </c>
      <c r="K84" s="375" t="n">
        <v>0</v>
      </c>
      <c r="L84" s="375" t="n">
        <v>0</v>
      </c>
      <c r="M84" s="375" t="n">
        <v>0</v>
      </c>
      <c r="R84" s="197">
        <f>((P84/M84)^(1/3))-1</f>
        <v/>
      </c>
      <c r="S84" s="198">
        <f>((M84/J84)^(1/3))-1</f>
        <v/>
      </c>
      <c r="T84" s="198">
        <f>((M84/H84)^(1/5))-1</f>
        <v/>
      </c>
      <c r="U84" s="198">
        <f>IF(D84&gt;0,((M84/D84)^(1/9))-1,"-")</f>
        <v/>
      </c>
      <c r="V84" s="199">
        <f>S84</f>
        <v/>
      </c>
      <c r="W84" s="200">
        <f>V84</f>
        <v/>
      </c>
      <c r="X84" s="201">
        <f>W84</f>
        <v/>
      </c>
    </row>
    <row r="85" ht="13.5" customHeight="1" thickBot="1">
      <c r="A85" s="389" t="inlineStr">
        <is>
          <t>Communication, Media and Technology</t>
        </is>
      </c>
      <c r="B85" s="374" t="n">
        <v>1901</v>
      </c>
      <c r="C85" s="374" t="n">
        <v>2336</v>
      </c>
      <c r="D85" s="374" t="n">
        <v>2977</v>
      </c>
      <c r="E85" s="374" t="n">
        <v>2697</v>
      </c>
      <c r="F85" s="374" t="n">
        <v>4639</v>
      </c>
      <c r="G85" s="374" t="n">
        <v>4671</v>
      </c>
      <c r="H85" s="374" t="n">
        <v>5605</v>
      </c>
      <c r="I85" s="374" t="n">
        <v>5590</v>
      </c>
      <c r="J85" s="375" t="n">
        <v>0</v>
      </c>
      <c r="K85" s="375" t="n">
        <v>0</v>
      </c>
      <c r="L85" s="375" t="n">
        <v>0</v>
      </c>
      <c r="M85" s="375" t="n">
        <v>0</v>
      </c>
      <c r="R85" s="197">
        <f>((P85/M85)^(1/3))-1</f>
        <v/>
      </c>
      <c r="S85" s="198">
        <f>((M85/J85)^(1/3))-1</f>
        <v/>
      </c>
      <c r="T85" s="198">
        <f>((M85/H85)^(1/5))-1</f>
        <v/>
      </c>
      <c r="U85" s="198">
        <f>IF(D85&gt;0,((M85/D85)^(1/9))-1,"-")</f>
        <v/>
      </c>
      <c r="V85" s="199">
        <f>S85</f>
        <v/>
      </c>
      <c r="W85" s="200">
        <f>V85</f>
        <v/>
      </c>
      <c r="X85" s="201">
        <f>W85</f>
        <v/>
      </c>
    </row>
    <row r="86" ht="13.5" customHeight="1" thickBot="1">
      <c r="A86" s="389" t="inlineStr">
        <is>
          <t>Retail and Consumer Packing Goods</t>
        </is>
      </c>
      <c r="B86" s="374" t="n">
        <v>1384</v>
      </c>
      <c r="C86" s="374" t="n">
        <v>2051</v>
      </c>
      <c r="D86" s="374" t="n">
        <v>2924</v>
      </c>
      <c r="E86" s="374" t="n">
        <v>2768</v>
      </c>
      <c r="F86" s="374" t="n">
        <v>4641</v>
      </c>
      <c r="G86" s="374" t="n">
        <v>4850</v>
      </c>
      <c r="H86" s="374" t="n">
        <v>5546</v>
      </c>
      <c r="I86" s="375" t="n">
        <v>0</v>
      </c>
      <c r="J86" s="375" t="n">
        <v>0</v>
      </c>
      <c r="K86" s="375" t="n">
        <v>0</v>
      </c>
      <c r="L86" s="375" t="n">
        <v>0</v>
      </c>
      <c r="M86" s="375" t="n">
        <v>0</v>
      </c>
      <c r="R86" s="197">
        <f>((P86/M86)^(1/3))-1</f>
        <v/>
      </c>
      <c r="S86" s="198">
        <f>((M86/J86)^(1/3))-1</f>
        <v/>
      </c>
      <c r="T86" s="198">
        <f>((M86/H86)^(1/5))-1</f>
        <v/>
      </c>
      <c r="U86" s="198">
        <f>IF(D86&gt;0,((M86/D86)^(1/9))-1,"-")</f>
        <v/>
      </c>
      <c r="V86" s="199">
        <f>S86</f>
        <v/>
      </c>
      <c r="W86" s="200">
        <f>V86</f>
        <v/>
      </c>
      <c r="X86" s="201">
        <f>W86</f>
        <v/>
      </c>
    </row>
    <row r="87" ht="13.5" customHeight="1" thickBot="1">
      <c r="A87" s="389" t="inlineStr">
        <is>
          <t>Manufacturing</t>
        </is>
      </c>
      <c r="B87" s="374" t="n">
        <v>991</v>
      </c>
      <c r="C87" s="374" t="n">
        <v>1493</v>
      </c>
      <c r="D87" s="374" t="n">
        <v>1994</v>
      </c>
      <c r="E87" s="374" t="n">
        <v>2148</v>
      </c>
      <c r="F87" s="374" t="n">
        <v>2676</v>
      </c>
      <c r="G87" s="374" t="n">
        <v>3100</v>
      </c>
      <c r="H87" s="374" t="n">
        <v>3381</v>
      </c>
      <c r="I87" s="374" t="n">
        <v>4043</v>
      </c>
      <c r="J87" s="375" t="n">
        <v>0</v>
      </c>
      <c r="K87" s="375" t="n">
        <v>0</v>
      </c>
      <c r="L87" s="375" t="n">
        <v>0</v>
      </c>
      <c r="M87" s="375" t="n">
        <v>0</v>
      </c>
      <c r="R87" s="197">
        <f>((P87/M87)^(1/3))-1</f>
        <v/>
      </c>
      <c r="S87" s="198">
        <f>((M87/J87)^(1/3))-1</f>
        <v/>
      </c>
      <c r="T87" s="198">
        <f>((M87/H87)^(1/5))-1</f>
        <v/>
      </c>
      <c r="U87" s="198">
        <f>IF(D87&gt;0,((M87/D87)^(1/9))-1,"-")</f>
        <v/>
      </c>
      <c r="V87" s="199">
        <f>S87</f>
        <v/>
      </c>
      <c r="W87" s="200">
        <f>V87</f>
        <v/>
      </c>
      <c r="X87" s="201">
        <f>W87</f>
        <v/>
      </c>
    </row>
    <row r="88" ht="13.5" customHeight="1" thickBot="1">
      <c r="A88" s="389" t="inlineStr">
        <is>
          <t>Others</t>
        </is>
      </c>
      <c r="B88" s="374" t="n">
        <v>5179</v>
      </c>
      <c r="C88" s="374" t="n">
        <v>6027</v>
      </c>
      <c r="D88" s="374" t="n">
        <v>7009</v>
      </c>
      <c r="E88" s="374" t="n">
        <v>7121</v>
      </c>
      <c r="F88" s="374" t="n">
        <v>5531</v>
      </c>
      <c r="G88" s="374" t="n">
        <v>5569</v>
      </c>
      <c r="H88" s="374" t="n">
        <v>6223</v>
      </c>
      <c r="I88" s="374" t="n">
        <v>6864</v>
      </c>
      <c r="J88" s="375" t="n">
        <v>0</v>
      </c>
      <c r="K88" s="375" t="n">
        <v>0</v>
      </c>
      <c r="L88" s="375" t="n">
        <v>0</v>
      </c>
      <c r="M88" s="375" t="n">
        <v>0</v>
      </c>
      <c r="R88" s="197">
        <f>((P88/M88)^(1/3))-1</f>
        <v/>
      </c>
      <c r="S88" s="198">
        <f>((M88/J88)^(1/3))-1</f>
        <v/>
      </c>
      <c r="T88" s="198">
        <f>((M88/H88)^(1/5))-1</f>
        <v/>
      </c>
      <c r="U88" s="198">
        <f>IF(D88&gt;0,((M88/D88)^(1/9))-1,"-")</f>
        <v/>
      </c>
      <c r="V88" s="199">
        <f>S88</f>
        <v/>
      </c>
      <c r="W88" s="200">
        <f>V88</f>
        <v/>
      </c>
      <c r="X88" s="201">
        <f>W88</f>
        <v/>
      </c>
    </row>
    <row r="89" ht="13.5" customHeight="1" thickBot="1">
      <c r="A89" s="389" t="inlineStr">
        <is>
          <t>Retail and Distribution</t>
        </is>
      </c>
      <c r="B89" s="143" t="n">
        <v>0</v>
      </c>
      <c r="C89" s="143" t="n">
        <v>0</v>
      </c>
      <c r="D89" s="143" t="n">
        <v>0</v>
      </c>
      <c r="E89" s="143" t="n">
        <v>0</v>
      </c>
      <c r="F89" s="143" t="n">
        <v>0</v>
      </c>
      <c r="G89" s="143" t="n">
        <v>0</v>
      </c>
      <c r="H89" s="143" t="n">
        <v>0</v>
      </c>
      <c r="I89" s="373" t="n">
        <v>6447</v>
      </c>
      <c r="J89" s="143" t="n">
        <v>0</v>
      </c>
      <c r="K89" s="143" t="n">
        <v>0</v>
      </c>
      <c r="L89" s="143" t="n">
        <v>0</v>
      </c>
      <c r="M89" s="143" t="n">
        <v>0</v>
      </c>
      <c r="R89" s="197">
        <f>((P89/M89)^(1/3))-1</f>
        <v/>
      </c>
      <c r="S89" s="198">
        <f>((M89/J89)^(1/3))-1</f>
        <v/>
      </c>
      <c r="T89" s="198">
        <f>((M89/H89)^(1/5))-1</f>
        <v/>
      </c>
      <c r="U89" s="198">
        <f>IF(D89&gt;0,((M89/D89)^(1/9))-1,"-")</f>
        <v/>
      </c>
      <c r="V89" s="199">
        <f>S89</f>
        <v/>
      </c>
      <c r="W89" s="200">
        <f>V89</f>
        <v/>
      </c>
      <c r="X89" s="201">
        <f>W89</f>
        <v/>
      </c>
    </row>
    <row r="90" ht="13.5" customHeight="1" thickBot="1">
      <c r="A90" s="389" t="inlineStr">
        <is>
          <t>Unallocated</t>
        </is>
      </c>
      <c r="B90" s="373" t="n">
        <v>12112</v>
      </c>
      <c r="C90" s="373" t="n">
        <v>17389</v>
      </c>
      <c r="D90" s="373" t="n">
        <v>26655</v>
      </c>
      <c r="E90" s="373" t="n">
        <v>29971</v>
      </c>
      <c r="F90" s="373" t="n">
        <v>44259</v>
      </c>
      <c r="G90" s="373" t="n">
        <v>59755</v>
      </c>
      <c r="H90" s="373" t="n">
        <v>55736</v>
      </c>
      <c r="I90" s="373" t="n">
        <v>56472</v>
      </c>
      <c r="J90" s="143" t="n">
        <v>0</v>
      </c>
      <c r="K90" s="143" t="n">
        <v>0</v>
      </c>
      <c r="L90" s="143" t="n">
        <v>0</v>
      </c>
      <c r="M90" s="143" t="n">
        <v>0</v>
      </c>
      <c r="R90" s="197">
        <f>((P90/M90)^(1/3))-1</f>
        <v/>
      </c>
      <c r="S90" s="198">
        <f>((M90/J90)^(1/3))-1</f>
        <v/>
      </c>
      <c r="T90" s="198">
        <f>((M90/H90)^(1/5))-1</f>
        <v/>
      </c>
      <c r="U90" s="198">
        <f>IF(D90&gt;0,((M90/D90)^(1/9))-1,"-")</f>
        <v/>
      </c>
      <c r="V90" s="199">
        <f>S90</f>
        <v/>
      </c>
      <c r="W90" s="200">
        <f>V90</f>
        <v/>
      </c>
      <c r="X90" s="201">
        <f>W90</f>
        <v/>
      </c>
    </row>
    <row r="91" ht="13.5" customHeight="1" thickBot="1">
      <c r="A91" s="362" t="n"/>
      <c r="R91" s="197">
        <f>((P91/M91)^(1/3))-1</f>
        <v/>
      </c>
      <c r="S91" s="198">
        <f>((M91/J91)^(1/3))-1</f>
        <v/>
      </c>
      <c r="T91" s="198">
        <f>((M91/H91)^(1/5))-1</f>
        <v/>
      </c>
      <c r="U91" s="198">
        <f>IF(D91&gt;0,((M91/D91)^(1/9))-1,"-")</f>
        <v/>
      </c>
      <c r="V91" s="199">
        <f>S91</f>
        <v/>
      </c>
      <c r="W91" s="200">
        <f>V91</f>
        <v/>
      </c>
      <c r="X91" s="201">
        <f>W91</f>
        <v/>
      </c>
    </row>
    <row r="92" ht="13.5" customHeight="1" thickBot="1">
      <c r="A92" s="362" t="inlineStr">
        <is>
          <t>Pledge</t>
        </is>
      </c>
      <c r="R92" s="197">
        <f>((P92/M92)^(1/3))-1</f>
        <v/>
      </c>
      <c r="S92" s="198">
        <f>((M92/J92)^(1/3))-1</f>
        <v/>
      </c>
      <c r="T92" s="198">
        <f>((M92/H92)^(1/5))-1</f>
        <v/>
      </c>
      <c r="U92" s="198">
        <f>IF(D92&gt;0,((M92/D92)^(1/9))-1,"-")</f>
        <v/>
      </c>
      <c r="V92" s="199">
        <f>S92</f>
        <v/>
      </c>
      <c r="W92" s="200">
        <f>V92</f>
        <v/>
      </c>
      <c r="X92" s="201">
        <f>W92</f>
        <v/>
      </c>
    </row>
    <row r="93">
      <c r="A93" s="143" t="inlineStr">
        <is>
          <t xml:space="preserve">TOTAL </t>
        </is>
      </c>
      <c r="B93" s="373">
        <f>SUM(B84:B92)</f>
        <v/>
      </c>
      <c r="C93" s="373">
        <f>SUM(C84:C92)</f>
        <v/>
      </c>
      <c r="D93" s="373">
        <f>SUM(D84:D92)</f>
        <v/>
      </c>
      <c r="E93" s="373">
        <f>SUM(E84:E92)</f>
        <v/>
      </c>
      <c r="F93" s="373">
        <f>SUM(F84:F92)</f>
        <v/>
      </c>
      <c r="G93" s="373">
        <f>SUM(G84:G92)</f>
        <v/>
      </c>
      <c r="H93" s="373">
        <f>SUM(H84:H92)</f>
        <v/>
      </c>
      <c r="I93" s="373">
        <f>SUM(I84:I92)</f>
        <v/>
      </c>
      <c r="J93" s="373">
        <f>SUM(J84:J92)</f>
        <v/>
      </c>
      <c r="K93" s="373">
        <f>SUM(K84:K92)</f>
        <v/>
      </c>
      <c r="L93" s="373">
        <f>SUM(L84:L92)</f>
        <v/>
      </c>
      <c r="M93" s="373">
        <f>SUM(M84:M92)</f>
        <v/>
      </c>
      <c r="N93" s="373">
        <f>SUM(N84:N92)</f>
        <v/>
      </c>
      <c r="O93" s="373">
        <f>SUM(O84:O92)</f>
        <v/>
      </c>
      <c r="P93" s="373">
        <f>SUM(P84:P92)</f>
        <v/>
      </c>
      <c r="R93" s="197">
        <f>((P93/M93)^(1/3))-1</f>
        <v/>
      </c>
      <c r="S93" s="198">
        <f>((M93/J93)^(1/3))-1</f>
        <v/>
      </c>
      <c r="T93" s="198">
        <f>((M93/H93)^(1/5))-1</f>
        <v/>
      </c>
      <c r="U93" s="198">
        <f>IF(D93&gt;0,((M93/D93)^(1/9))-1,"-")</f>
        <v/>
      </c>
      <c r="V93" s="199">
        <f>S93</f>
        <v/>
      </c>
      <c r="W93" s="200">
        <f>V93</f>
        <v/>
      </c>
      <c r="X93" s="201">
        <f>W93</f>
        <v/>
      </c>
    </row>
  </sheetData>
  <conditionalFormatting sqref="E2:E3">
    <cfRule type="cellIs" priority="51" operator="greaterThanOrEqual" dxfId="5">
      <formula>D2</formula>
    </cfRule>
    <cfRule type="cellIs" priority="52" operator="lessThan" dxfId="4">
      <formula>D2</formula>
    </cfRule>
    <cfRule type="cellIs" priority="53" operator="greaterThanOrEqual" dxfId="5">
      <formula>D2</formula>
    </cfRule>
    <cfRule type="cellIs" priority="54" operator="lessThan" dxfId="4">
      <formula>D2</formula>
    </cfRule>
  </conditionalFormatting>
  <conditionalFormatting sqref="F2:F3">
    <cfRule type="cellIs" priority="59" operator="greaterThanOrEqual" dxfId="5">
      <formula>E2</formula>
    </cfRule>
    <cfRule type="cellIs" priority="60" operator="lessThan" dxfId="4">
      <formula>E2</formula>
    </cfRule>
    <cfRule type="cellIs" priority="61" operator="greaterThanOrEqual" dxfId="5">
      <formula>E2</formula>
    </cfRule>
    <cfRule type="cellIs" priority="62" operator="lessThan" dxfId="4">
      <formula>E2</formula>
    </cfRule>
  </conditionalFormatting>
  <conditionalFormatting sqref="F2:M2">
    <cfRule type="cellIs" priority="55" operator="greaterThanOrEqual" dxfId="5">
      <formula>E2</formula>
    </cfRule>
    <cfRule type="cellIs" priority="56" operator="lessThan" dxfId="4">
      <formula>E2</formula>
    </cfRule>
    <cfRule type="cellIs" priority="57" operator="greaterThanOrEqual" dxfId="5">
      <formula>E2</formula>
    </cfRule>
    <cfRule type="cellIs" priority="58" operator="lessThan" dxfId="4">
      <formula>E2</formula>
    </cfRule>
  </conditionalFormatting>
  <conditionalFormatting sqref="F3:M3">
    <cfRule type="cellIs" priority="17" operator="greaterThanOrEqual" dxfId="5">
      <formula>E3</formula>
    </cfRule>
    <cfRule type="cellIs" priority="18" operator="lessThan" dxfId="4">
      <formula>E3</formula>
    </cfRule>
    <cfRule type="cellIs" priority="19" operator="greaterThanOrEqual" dxfId="5">
      <formula>E3</formula>
    </cfRule>
    <cfRule type="cellIs" priority="20" operator="lessThan" dxfId="4">
      <formula>E3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Sheet9">
    <outlinePr summaryBelow="1" summaryRight="1"/>
    <pageSetUpPr/>
  </sheetPr>
  <dimension ref="A1:N23"/>
  <sheetViews>
    <sheetView zoomScale="85" zoomScaleNormal="85" workbookViewId="0">
      <selection activeCell="Q16" sqref="Q16"/>
    </sheetView>
  </sheetViews>
  <sheetFormatPr baseColWidth="8" defaultColWidth="8.7109375" defaultRowHeight="12.75"/>
  <cols>
    <col width="18.5703125" customWidth="1" style="143" min="1" max="1"/>
    <col width="10.140625" customWidth="1" style="143" min="2" max="14"/>
    <col width="8.7109375" customWidth="1" style="143" min="15" max="16384"/>
  </cols>
  <sheetData>
    <row r="1">
      <c r="B1" s="524">
        <f>'Data Sheet'!B1</f>
        <v/>
      </c>
      <c r="C1" s="143">
        <f>VLOOKUP(B1,Lookup!A:C,3,FALSE)</f>
        <v/>
      </c>
      <c r="D1" s="383" t="inlineStr">
        <is>
          <t>https://goindiastocks.com/GIA/stockDashboard?Fincode=</t>
        </is>
      </c>
      <c r="E1" s="143">
        <f>CONCATENATE(D1,C1)</f>
        <v/>
      </c>
    </row>
    <row r="2">
      <c r="C2" s="143">
        <f>VLOOKUP(B1,Lookup!A:C,2,FALSE)</f>
        <v/>
      </c>
    </row>
    <row r="3">
      <c r="A3" s="143">
        <f>[1]Sheet1!A2</f>
        <v/>
      </c>
      <c r="B3" s="384">
        <f>[1]Sheet1!B2</f>
        <v/>
      </c>
      <c r="C3" s="384">
        <f>[1]Sheet1!C2</f>
        <v/>
      </c>
      <c r="D3" s="384">
        <f>[1]Sheet1!D2</f>
        <v/>
      </c>
      <c r="E3" s="384">
        <f>[1]Sheet1!E2</f>
        <v/>
      </c>
      <c r="F3" s="384">
        <f>[1]Sheet1!F2</f>
        <v/>
      </c>
      <c r="G3" s="384">
        <f>[1]Sheet1!G2</f>
        <v/>
      </c>
      <c r="H3" s="384">
        <f>[1]Sheet1!H2</f>
        <v/>
      </c>
      <c r="I3" s="384">
        <f>[1]Sheet1!I2</f>
        <v/>
      </c>
      <c r="J3" s="384">
        <f>[1]Sheet1!J2</f>
        <v/>
      </c>
      <c r="K3" s="384">
        <f>[1]Sheet1!K2</f>
        <v/>
      </c>
      <c r="L3" s="384">
        <f>[1]Sheet1!L2</f>
        <v/>
      </c>
      <c r="M3" s="384">
        <f>[1]Sheet1!M2</f>
        <v/>
      </c>
      <c r="N3" s="384">
        <f>[1]Sheet1!N2</f>
        <v/>
      </c>
    </row>
    <row r="4">
      <c r="A4" s="143">
        <f>[1]Sheet1!A3</f>
        <v/>
      </c>
      <c r="B4" s="384">
        <f>[1]Sheet1!B3</f>
        <v/>
      </c>
      <c r="C4" s="384">
        <f>[1]Sheet1!C3</f>
        <v/>
      </c>
      <c r="D4" s="384">
        <f>[1]Sheet1!D3</f>
        <v/>
      </c>
      <c r="E4" s="384">
        <f>[1]Sheet1!E3</f>
        <v/>
      </c>
      <c r="F4" s="384">
        <f>[1]Sheet1!F3</f>
        <v/>
      </c>
      <c r="G4" s="384">
        <f>[1]Sheet1!G3</f>
        <v/>
      </c>
      <c r="H4" s="384">
        <f>[1]Sheet1!H3</f>
        <v/>
      </c>
      <c r="I4" s="384">
        <f>[1]Sheet1!I3</f>
        <v/>
      </c>
      <c r="J4" s="384">
        <f>[1]Sheet1!J3</f>
        <v/>
      </c>
      <c r="K4" s="384">
        <f>[1]Sheet1!K3</f>
        <v/>
      </c>
      <c r="L4" s="384">
        <f>[1]Sheet1!L3</f>
        <v/>
      </c>
      <c r="M4" s="384">
        <f>[1]Sheet1!M3</f>
        <v/>
      </c>
      <c r="N4" s="384">
        <f>[1]Sheet1!N3</f>
        <v/>
      </c>
    </row>
    <row r="5">
      <c r="A5" s="143">
        <f>[1]Sheet1!A4</f>
        <v/>
      </c>
      <c r="B5" s="385">
        <f>[1]Sheet1!B4</f>
        <v/>
      </c>
      <c r="C5" s="385">
        <f>[1]Sheet1!C4</f>
        <v/>
      </c>
      <c r="D5" s="385">
        <f>[1]Sheet1!D4</f>
        <v/>
      </c>
      <c r="E5" s="385">
        <f>[1]Sheet1!E4</f>
        <v/>
      </c>
      <c r="F5" s="385">
        <f>[1]Sheet1!F4</f>
        <v/>
      </c>
      <c r="G5" s="385">
        <f>[1]Sheet1!G4</f>
        <v/>
      </c>
      <c r="H5" s="385">
        <f>[1]Sheet1!H4</f>
        <v/>
      </c>
      <c r="I5" s="385">
        <f>[1]Sheet1!I4</f>
        <v/>
      </c>
      <c r="J5" s="385">
        <f>[1]Sheet1!J4</f>
        <v/>
      </c>
      <c r="K5" s="385">
        <f>[1]Sheet1!K4</f>
        <v/>
      </c>
      <c r="L5" s="385">
        <f>[1]Sheet1!L4</f>
        <v/>
      </c>
      <c r="M5" s="385">
        <f>[1]Sheet1!M4</f>
        <v/>
      </c>
      <c r="N5" s="385">
        <f>[1]Sheet1!N4</f>
        <v/>
      </c>
    </row>
    <row r="6">
      <c r="A6" s="143">
        <f>[1]Sheet1!A5</f>
        <v/>
      </c>
      <c r="B6" s="384">
        <f>[1]Sheet1!B5</f>
        <v/>
      </c>
      <c r="C6" s="384">
        <f>[1]Sheet1!C5</f>
        <v/>
      </c>
      <c r="D6" s="384">
        <f>[1]Sheet1!D5</f>
        <v/>
      </c>
      <c r="E6" s="384">
        <f>[1]Sheet1!E5</f>
        <v/>
      </c>
      <c r="F6" s="384">
        <f>[1]Sheet1!F5</f>
        <v/>
      </c>
      <c r="G6" s="384">
        <f>[1]Sheet1!G5</f>
        <v/>
      </c>
      <c r="H6" s="384">
        <f>[1]Sheet1!H5</f>
        <v/>
      </c>
      <c r="I6" s="384">
        <f>[1]Sheet1!I5</f>
        <v/>
      </c>
      <c r="J6" s="384">
        <f>[1]Sheet1!J5</f>
        <v/>
      </c>
      <c r="K6" s="384">
        <f>[1]Sheet1!K5</f>
        <v/>
      </c>
      <c r="L6" s="384">
        <f>[1]Sheet1!L5</f>
        <v/>
      </c>
      <c r="M6" s="384">
        <f>[1]Sheet1!M5</f>
        <v/>
      </c>
      <c r="N6" s="384">
        <f>[1]Sheet1!N5</f>
        <v/>
      </c>
    </row>
    <row r="7">
      <c r="A7" s="143">
        <f>[1]Sheet1!A6</f>
        <v/>
      </c>
      <c r="B7" s="385">
        <f>[1]Sheet1!B6</f>
        <v/>
      </c>
      <c r="C7" s="385">
        <f>[1]Sheet1!C6</f>
        <v/>
      </c>
      <c r="D7" s="385">
        <f>[1]Sheet1!D6</f>
        <v/>
      </c>
      <c r="E7" s="385">
        <f>[1]Sheet1!E6</f>
        <v/>
      </c>
      <c r="F7" s="385">
        <f>[1]Sheet1!F6</f>
        <v/>
      </c>
      <c r="G7" s="385">
        <f>[1]Sheet1!G6</f>
        <v/>
      </c>
      <c r="H7" s="385">
        <f>[1]Sheet1!H6</f>
        <v/>
      </c>
      <c r="I7" s="385">
        <f>[1]Sheet1!I6</f>
        <v/>
      </c>
      <c r="J7" s="385">
        <f>[1]Sheet1!J6</f>
        <v/>
      </c>
      <c r="K7" s="385">
        <f>[1]Sheet1!K6</f>
        <v/>
      </c>
      <c r="L7" s="385">
        <f>[1]Sheet1!L6</f>
        <v/>
      </c>
      <c r="M7" s="385">
        <f>[1]Sheet1!M6</f>
        <v/>
      </c>
      <c r="N7" s="385">
        <f>[1]Sheet1!N6</f>
        <v/>
      </c>
    </row>
    <row r="8">
      <c r="A8" s="143">
        <f>[1]Sheet1!A7</f>
        <v/>
      </c>
      <c r="B8" s="386">
        <f>[1]Sheet1!B7</f>
        <v/>
      </c>
      <c r="C8" s="386">
        <f>[1]Sheet1!C7</f>
        <v/>
      </c>
      <c r="D8" s="386">
        <f>[1]Sheet1!D7</f>
        <v/>
      </c>
      <c r="E8" s="386">
        <f>[1]Sheet1!E7</f>
        <v/>
      </c>
      <c r="F8" s="386">
        <f>[1]Sheet1!F7</f>
        <v/>
      </c>
      <c r="G8" s="386">
        <f>[1]Sheet1!G7</f>
        <v/>
      </c>
      <c r="H8" s="386">
        <f>[1]Sheet1!H7</f>
        <v/>
      </c>
      <c r="I8" s="386">
        <f>[1]Sheet1!I7</f>
        <v/>
      </c>
      <c r="J8" s="386">
        <f>[1]Sheet1!J7</f>
        <v/>
      </c>
      <c r="K8" s="386">
        <f>[1]Sheet1!K7</f>
        <v/>
      </c>
      <c r="L8" s="386">
        <f>[1]Sheet1!L7</f>
        <v/>
      </c>
      <c r="M8" s="386">
        <f>[1]Sheet1!M7</f>
        <v/>
      </c>
      <c r="N8" s="386">
        <f>[1]Sheet1!N7</f>
        <v/>
      </c>
    </row>
    <row r="9">
      <c r="A9" s="143">
        <f>[1]Sheet1!A8</f>
        <v/>
      </c>
      <c r="B9" s="384">
        <f>[1]Sheet1!B8</f>
        <v/>
      </c>
      <c r="C9" s="384">
        <f>[1]Sheet1!C8</f>
        <v/>
      </c>
      <c r="D9" s="384">
        <f>[1]Sheet1!D8</f>
        <v/>
      </c>
      <c r="E9" s="384">
        <f>[1]Sheet1!E8</f>
        <v/>
      </c>
      <c r="F9" s="384">
        <f>[1]Sheet1!F8</f>
        <v/>
      </c>
      <c r="G9" s="384">
        <f>[1]Sheet1!G8</f>
        <v/>
      </c>
      <c r="H9" s="384">
        <f>[1]Sheet1!H8</f>
        <v/>
      </c>
      <c r="I9" s="384">
        <f>[1]Sheet1!I8</f>
        <v/>
      </c>
      <c r="J9" s="384">
        <f>[1]Sheet1!J8</f>
        <v/>
      </c>
      <c r="K9" s="384">
        <f>[1]Sheet1!K8</f>
        <v/>
      </c>
      <c r="L9" s="384">
        <f>[1]Sheet1!L8</f>
        <v/>
      </c>
      <c r="M9" s="384">
        <f>[1]Sheet1!M8</f>
        <v/>
      </c>
      <c r="N9" s="384">
        <f>[1]Sheet1!N8</f>
        <v/>
      </c>
    </row>
    <row r="10">
      <c r="A10" s="143">
        <f>[1]Sheet1!A9</f>
        <v/>
      </c>
      <c r="B10" s="385">
        <f>[1]Sheet1!B9</f>
        <v/>
      </c>
      <c r="C10" s="385">
        <f>[1]Sheet1!C9</f>
        <v/>
      </c>
      <c r="D10" s="385">
        <f>[1]Sheet1!D9</f>
        <v/>
      </c>
      <c r="E10" s="385">
        <f>[1]Sheet1!E9</f>
        <v/>
      </c>
      <c r="F10" s="385">
        <f>[1]Sheet1!F9</f>
        <v/>
      </c>
      <c r="G10" s="385">
        <f>[1]Sheet1!G9</f>
        <v/>
      </c>
      <c r="H10" s="385">
        <f>[1]Sheet1!H9</f>
        <v/>
      </c>
      <c r="I10" s="385">
        <f>[1]Sheet1!I9</f>
        <v/>
      </c>
      <c r="J10" s="385">
        <f>[1]Sheet1!J9</f>
        <v/>
      </c>
      <c r="K10" s="385">
        <f>[1]Sheet1!K9</f>
        <v/>
      </c>
      <c r="L10" s="385">
        <f>[1]Sheet1!L9</f>
        <v/>
      </c>
      <c r="M10" s="385">
        <f>[1]Sheet1!M9</f>
        <v/>
      </c>
      <c r="N10" s="385">
        <f>[1]Sheet1!N9</f>
        <v/>
      </c>
    </row>
    <row r="11">
      <c r="A11" s="143">
        <f>[1]Sheet1!A10</f>
        <v/>
      </c>
      <c r="B11" s="386">
        <f>[1]Sheet1!B10</f>
        <v/>
      </c>
      <c r="C11" s="386">
        <f>[1]Sheet1!C10</f>
        <v/>
      </c>
      <c r="D11" s="386">
        <f>[1]Sheet1!D10</f>
        <v/>
      </c>
      <c r="E11" s="386">
        <f>[1]Sheet1!E10</f>
        <v/>
      </c>
      <c r="F11" s="386">
        <f>[1]Sheet1!F10</f>
        <v/>
      </c>
      <c r="G11" s="386">
        <f>[1]Sheet1!G10</f>
        <v/>
      </c>
      <c r="H11" s="386">
        <f>[1]Sheet1!H10</f>
        <v/>
      </c>
      <c r="I11" s="386">
        <f>[1]Sheet1!I10</f>
        <v/>
      </c>
      <c r="J11" s="386">
        <f>[1]Sheet1!J10</f>
        <v/>
      </c>
      <c r="K11" s="386">
        <f>[1]Sheet1!K10</f>
        <v/>
      </c>
      <c r="L11" s="386">
        <f>[1]Sheet1!L10</f>
        <v/>
      </c>
      <c r="M11" s="386">
        <f>[1]Sheet1!M10</f>
        <v/>
      </c>
      <c r="N11" s="386">
        <f>[1]Sheet1!N10</f>
        <v/>
      </c>
    </row>
    <row r="12">
      <c r="A12" s="143">
        <f>[1]Sheet1!A11</f>
        <v/>
      </c>
      <c r="B12" s="384">
        <f>[1]Sheet1!B11</f>
        <v/>
      </c>
      <c r="C12" s="384">
        <f>[1]Sheet1!C11</f>
        <v/>
      </c>
      <c r="D12" s="384">
        <f>[1]Sheet1!D11</f>
        <v/>
      </c>
      <c r="E12" s="384">
        <f>[1]Sheet1!E11</f>
        <v/>
      </c>
      <c r="F12" s="384">
        <f>[1]Sheet1!F11</f>
        <v/>
      </c>
      <c r="G12" s="384">
        <f>[1]Sheet1!G11</f>
        <v/>
      </c>
      <c r="H12" s="384">
        <f>[1]Sheet1!H11</f>
        <v/>
      </c>
      <c r="I12" s="384">
        <f>[1]Sheet1!I11</f>
        <v/>
      </c>
      <c r="J12" s="384">
        <f>[1]Sheet1!J11</f>
        <v/>
      </c>
      <c r="K12" s="384">
        <f>[1]Sheet1!K11</f>
        <v/>
      </c>
      <c r="L12" s="384">
        <f>[1]Sheet1!L11</f>
        <v/>
      </c>
      <c r="M12" s="384">
        <f>[1]Sheet1!M11</f>
        <v/>
      </c>
      <c r="N12" s="384">
        <f>[1]Sheet1!N11</f>
        <v/>
      </c>
    </row>
    <row r="13">
      <c r="A13" s="143">
        <f>[1]Sheet1!A12</f>
        <v/>
      </c>
      <c r="B13" s="385">
        <f>[1]Sheet1!B12</f>
        <v/>
      </c>
      <c r="C13" s="385">
        <f>[1]Sheet1!C12</f>
        <v/>
      </c>
      <c r="D13" s="385">
        <f>[1]Sheet1!D12</f>
        <v/>
      </c>
      <c r="E13" s="385">
        <f>[1]Sheet1!E12</f>
        <v/>
      </c>
      <c r="F13" s="385">
        <f>[1]Sheet1!F12</f>
        <v/>
      </c>
      <c r="G13" s="385">
        <f>[1]Sheet1!G12</f>
        <v/>
      </c>
      <c r="H13" s="385">
        <f>[1]Sheet1!H12</f>
        <v/>
      </c>
      <c r="I13" s="385">
        <f>[1]Sheet1!I12</f>
        <v/>
      </c>
      <c r="J13" s="385">
        <f>[1]Sheet1!J12</f>
        <v/>
      </c>
      <c r="K13" s="385">
        <f>[1]Sheet1!K12</f>
        <v/>
      </c>
      <c r="L13" s="385">
        <f>[1]Sheet1!L12</f>
        <v/>
      </c>
      <c r="M13" s="385">
        <f>[1]Sheet1!M12</f>
        <v/>
      </c>
      <c r="N13" s="385">
        <f>[1]Sheet1!N12</f>
        <v/>
      </c>
    </row>
    <row r="14">
      <c r="A14" s="143">
        <f>[1]Sheet1!A13</f>
        <v/>
      </c>
      <c r="B14" s="384">
        <f>[1]Sheet1!B13</f>
        <v/>
      </c>
      <c r="C14" s="384">
        <f>[1]Sheet1!C13</f>
        <v/>
      </c>
      <c r="D14" s="384">
        <f>[1]Sheet1!D13</f>
        <v/>
      </c>
      <c r="E14" s="384">
        <f>[1]Sheet1!E13</f>
        <v/>
      </c>
      <c r="F14" s="384">
        <f>[1]Sheet1!F13</f>
        <v/>
      </c>
      <c r="G14" s="384">
        <f>[1]Sheet1!G13</f>
        <v/>
      </c>
      <c r="H14" s="384">
        <f>[1]Sheet1!H13</f>
        <v/>
      </c>
      <c r="I14" s="384">
        <f>[1]Sheet1!I13</f>
        <v/>
      </c>
      <c r="J14" s="384">
        <f>[1]Sheet1!J13</f>
        <v/>
      </c>
      <c r="K14" s="384">
        <f>[1]Sheet1!K13</f>
        <v/>
      </c>
      <c r="L14" s="384">
        <f>[1]Sheet1!L13</f>
        <v/>
      </c>
      <c r="M14" s="384">
        <f>[1]Sheet1!M13</f>
        <v/>
      </c>
      <c r="N14" s="384">
        <f>[1]Sheet1!N13</f>
        <v/>
      </c>
    </row>
    <row r="15">
      <c r="A15" s="143">
        <f>[1]Sheet1!A14</f>
        <v/>
      </c>
      <c r="B15" s="385">
        <f>[1]Sheet1!B14</f>
        <v/>
      </c>
      <c r="C15" s="385">
        <f>[1]Sheet1!C14</f>
        <v/>
      </c>
      <c r="D15" s="385">
        <f>[1]Sheet1!D14</f>
        <v/>
      </c>
      <c r="E15" s="385">
        <f>[1]Sheet1!E14</f>
        <v/>
      </c>
      <c r="F15" s="385">
        <f>[1]Sheet1!F14</f>
        <v/>
      </c>
      <c r="G15" s="385">
        <f>[1]Sheet1!G14</f>
        <v/>
      </c>
      <c r="H15" s="385">
        <f>[1]Sheet1!H14</f>
        <v/>
      </c>
      <c r="I15" s="385">
        <f>[1]Sheet1!I14</f>
        <v/>
      </c>
      <c r="J15" s="385">
        <f>[1]Sheet1!J14</f>
        <v/>
      </c>
      <c r="K15" s="385">
        <f>[1]Sheet1!K14</f>
        <v/>
      </c>
      <c r="L15" s="385">
        <f>[1]Sheet1!L14</f>
        <v/>
      </c>
      <c r="M15" s="385">
        <f>[1]Sheet1!M14</f>
        <v/>
      </c>
      <c r="N15" s="385">
        <f>[1]Sheet1!N14</f>
        <v/>
      </c>
    </row>
    <row r="16">
      <c r="A16" s="143">
        <f>[1]Sheet1!A15</f>
        <v/>
      </c>
      <c r="B16" s="384">
        <f>[1]Sheet1!B15</f>
        <v/>
      </c>
      <c r="C16" s="384">
        <f>[1]Sheet1!C15</f>
        <v/>
      </c>
      <c r="D16" s="384">
        <f>[1]Sheet1!D15</f>
        <v/>
      </c>
      <c r="E16" s="384">
        <f>[1]Sheet1!E15</f>
        <v/>
      </c>
      <c r="F16" s="384">
        <f>[1]Sheet1!F15</f>
        <v/>
      </c>
      <c r="G16" s="384">
        <f>[1]Sheet1!G15</f>
        <v/>
      </c>
      <c r="H16" s="384">
        <f>[1]Sheet1!H15</f>
        <v/>
      </c>
      <c r="I16" s="384">
        <f>[1]Sheet1!I15</f>
        <v/>
      </c>
      <c r="J16" s="384">
        <f>[1]Sheet1!J15</f>
        <v/>
      </c>
      <c r="K16" s="384">
        <f>[1]Sheet1!K15</f>
        <v/>
      </c>
      <c r="L16" s="384">
        <f>[1]Sheet1!L15</f>
        <v/>
      </c>
      <c r="M16" s="384">
        <f>[1]Sheet1!M15</f>
        <v/>
      </c>
      <c r="N16" s="384">
        <f>[1]Sheet1!N15</f>
        <v/>
      </c>
    </row>
    <row r="17">
      <c r="A17" s="143">
        <f>[1]Sheet1!A16</f>
        <v/>
      </c>
      <c r="B17" s="384">
        <f>[1]Sheet1!B16</f>
        <v/>
      </c>
      <c r="C17" s="384">
        <f>[1]Sheet1!C16</f>
        <v/>
      </c>
      <c r="D17" s="384">
        <f>[1]Sheet1!D16</f>
        <v/>
      </c>
      <c r="E17" s="384">
        <f>[1]Sheet1!E16</f>
        <v/>
      </c>
      <c r="F17" s="384">
        <f>[1]Sheet1!F16</f>
        <v/>
      </c>
      <c r="G17" s="384">
        <f>[1]Sheet1!G16</f>
        <v/>
      </c>
      <c r="H17" s="384">
        <f>[1]Sheet1!H16</f>
        <v/>
      </c>
      <c r="I17" s="384">
        <f>[1]Sheet1!I16</f>
        <v/>
      </c>
      <c r="J17" s="384">
        <f>[1]Sheet1!J16</f>
        <v/>
      </c>
      <c r="K17" s="384">
        <f>[1]Sheet1!K16</f>
        <v/>
      </c>
      <c r="L17" s="384">
        <f>[1]Sheet1!L16</f>
        <v/>
      </c>
      <c r="M17" s="384">
        <f>[1]Sheet1!M16</f>
        <v/>
      </c>
      <c r="N17" s="384">
        <f>[1]Sheet1!N16</f>
        <v/>
      </c>
    </row>
    <row r="18">
      <c r="A18" s="143">
        <f>[1]Sheet1!A17</f>
        <v/>
      </c>
      <c r="B18" s="385">
        <f>[1]Sheet1!B17</f>
        <v/>
      </c>
      <c r="C18" s="385">
        <f>[1]Sheet1!C17</f>
        <v/>
      </c>
      <c r="D18" s="385">
        <f>[1]Sheet1!D17</f>
        <v/>
      </c>
      <c r="E18" s="385">
        <f>[1]Sheet1!E17</f>
        <v/>
      </c>
      <c r="F18" s="385">
        <f>[1]Sheet1!F17</f>
        <v/>
      </c>
      <c r="G18" s="385">
        <f>[1]Sheet1!G17</f>
        <v/>
      </c>
      <c r="H18" s="385">
        <f>[1]Sheet1!H17</f>
        <v/>
      </c>
      <c r="I18" s="385">
        <f>[1]Sheet1!I17</f>
        <v/>
      </c>
      <c r="J18" s="385">
        <f>[1]Sheet1!J17</f>
        <v/>
      </c>
      <c r="K18" s="385">
        <f>[1]Sheet1!K17</f>
        <v/>
      </c>
      <c r="L18" s="385">
        <f>[1]Sheet1!L17</f>
        <v/>
      </c>
      <c r="M18" s="385">
        <f>[1]Sheet1!M17</f>
        <v/>
      </c>
      <c r="N18" s="385">
        <f>[1]Sheet1!N17</f>
        <v/>
      </c>
    </row>
    <row r="20">
      <c r="A20" s="143" t="inlineStr">
        <is>
          <t xml:space="preserve">Revenue </t>
        </is>
      </c>
      <c r="B20" s="376">
        <f>B4/Financial!C9-1</f>
        <v/>
      </c>
      <c r="C20" s="376">
        <f>C4/Financial!D9-1</f>
        <v/>
      </c>
      <c r="D20" s="376">
        <f>D4/Financial!E9-1</f>
        <v/>
      </c>
      <c r="E20" s="376">
        <f>E4/Financial!F9-1</f>
        <v/>
      </c>
      <c r="F20" s="376">
        <f>F4/Financial!G9-1</f>
        <v/>
      </c>
      <c r="G20" s="376">
        <f>G4/Financial!H9-1</f>
        <v/>
      </c>
      <c r="H20" s="376">
        <f>H4/Financial!I9-1</f>
        <v/>
      </c>
      <c r="I20" s="376">
        <f>I4/Financial!J9-1</f>
        <v/>
      </c>
      <c r="J20" s="376">
        <f>J4/Financial!K9-1</f>
        <v/>
      </c>
      <c r="K20" s="376">
        <f>K4/Financial!L9-1</f>
        <v/>
      </c>
      <c r="L20" s="376">
        <f>L4/Financial!M9-1</f>
        <v/>
      </c>
      <c r="M20" s="376">
        <f>M4/Financial!N9-1</f>
        <v/>
      </c>
      <c r="N20" s="376">
        <f>N4/Financial!O9-1</f>
        <v/>
      </c>
    </row>
    <row r="21">
      <c r="A21" s="143" t="inlineStr">
        <is>
          <t>EBITDA</t>
        </is>
      </c>
      <c r="B21" s="376">
        <f>B6/Financial!C13-1</f>
        <v/>
      </c>
      <c r="C21" s="376">
        <f>C6/Financial!D13-1</f>
        <v/>
      </c>
      <c r="D21" s="376">
        <f>D6/Financial!E13-1</f>
        <v/>
      </c>
      <c r="E21" s="376">
        <f>E6/Financial!F13-1</f>
        <v/>
      </c>
      <c r="F21" s="376">
        <f>F6/Financial!G13-1</f>
        <v/>
      </c>
      <c r="G21" s="376">
        <f>G6/Financial!H13-1</f>
        <v/>
      </c>
      <c r="H21" s="376">
        <f>H6/Financial!I13-1</f>
        <v/>
      </c>
      <c r="I21" s="376">
        <f>I6/Financial!J13-1</f>
        <v/>
      </c>
      <c r="J21" s="376">
        <f>J6/Financial!K13-1</f>
        <v/>
      </c>
      <c r="K21" s="376">
        <f>K6/Financial!L13-1</f>
        <v/>
      </c>
      <c r="L21" s="376">
        <f>L6/Financial!M13-1</f>
        <v/>
      </c>
      <c r="M21" s="376">
        <f>M6/Financial!N13-1</f>
        <v/>
      </c>
      <c r="N21" s="376">
        <f>N6/Financial!O13-1</f>
        <v/>
      </c>
    </row>
    <row r="22">
      <c r="A22" s="143" t="inlineStr">
        <is>
          <t>PAT</t>
        </is>
      </c>
      <c r="B22" s="376">
        <f>B9/Financial!C20-1</f>
        <v/>
      </c>
      <c r="C22" s="376">
        <f>C9/Financial!D20-1</f>
        <v/>
      </c>
      <c r="D22" s="376">
        <f>D9/Financial!E20-1</f>
        <v/>
      </c>
      <c r="E22" s="376">
        <f>E9/Financial!F20-1</f>
        <v/>
      </c>
      <c r="F22" s="376">
        <f>F9/Financial!G20-1</f>
        <v/>
      </c>
      <c r="G22" s="376">
        <f>G9/Financial!H20-1</f>
        <v/>
      </c>
      <c r="H22" s="376">
        <f>H9/Financial!I20-1</f>
        <v/>
      </c>
      <c r="I22" s="376">
        <f>I9/Financial!J20-1</f>
        <v/>
      </c>
      <c r="J22" s="376">
        <f>J9/Financial!K20-1</f>
        <v/>
      </c>
      <c r="K22" s="376">
        <f>K9/Financial!L20-1</f>
        <v/>
      </c>
      <c r="L22" s="376">
        <f>L9/Financial!M20-1</f>
        <v/>
      </c>
      <c r="M22" s="376">
        <f>M9/Financial!N20-1</f>
        <v/>
      </c>
      <c r="N22" s="376">
        <f>N9/Financial!O20-1</f>
        <v/>
      </c>
    </row>
    <row r="23">
      <c r="A23" s="143" t="inlineStr">
        <is>
          <t>BVPS</t>
        </is>
      </c>
      <c r="B23" s="387">
        <f>B17/Financial!C86-1</f>
        <v/>
      </c>
      <c r="C23" s="387">
        <f>C17/Financial!D86-1</f>
        <v/>
      </c>
      <c r="D23" s="387">
        <f>D17/Financial!E86-1</f>
        <v/>
      </c>
      <c r="E23" s="387">
        <f>E17/Financial!F86-1</f>
        <v/>
      </c>
      <c r="F23" s="387">
        <f>F17/Financial!G86-1</f>
        <v/>
      </c>
      <c r="G23" s="387">
        <f>G17/Financial!H86-1</f>
        <v/>
      </c>
      <c r="H23" s="387">
        <f>H17/Financial!I86-1</f>
        <v/>
      </c>
      <c r="I23" s="387">
        <f>I17/Financial!J86-1</f>
        <v/>
      </c>
      <c r="J23" s="387">
        <f>J17/Financial!K86-1</f>
        <v/>
      </c>
      <c r="K23" s="387">
        <f>K17/Financial!L86-1</f>
        <v/>
      </c>
      <c r="L23" s="387">
        <f>L17/Financial!M86-1</f>
        <v/>
      </c>
      <c r="M23" s="387">
        <f>M17/Financial!N86-1</f>
        <v/>
      </c>
      <c r="N23" s="387">
        <f>N17/Financial!O86-1</f>
        <v/>
      </c>
    </row>
  </sheetData>
  <conditionalFormatting sqref="L20:N23">
    <cfRule type="cellIs" priority="1" operator="lessThan" dxfId="3">
      <formula>0</formula>
    </cfRule>
    <cfRule type="colorScale" priority="2">
      <colorScale>
        <cfvo type="min"/>
        <cfvo type="max"/>
        <color rgb="FFF8696B"/>
        <color rgb="FFFCFCFF"/>
      </colorScale>
    </cfRule>
  </conditionalFormatting>
  <hyperlinks>
    <hyperlink xmlns:r="http://schemas.openxmlformats.org/officeDocument/2006/relationships" ref="D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C8" sqref="C8"/>
    </sheetView>
  </sheetViews>
  <sheetFormatPr baseColWidth="8" defaultColWidth="8.85546875" defaultRowHeight="15"/>
  <cols>
    <col width="8.85546875" customWidth="1" style="3" min="1" max="1"/>
    <col width="10.42578125" customWidth="1" min="2" max="2"/>
    <col width="13.42578125" customWidth="1" style="9" min="3" max="3"/>
    <col width="6.85546875" customWidth="1" min="6" max="6"/>
  </cols>
  <sheetData>
    <row r="1" ht="21" customHeight="1">
      <c r="A1" s="8" t="inlineStr">
        <is>
          <t>How to use it?</t>
        </is>
      </c>
    </row>
    <row r="3">
      <c r="A3" s="3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" t="inlineStr">
        <is>
          <t>After customization, you can upload this back on Screener.</t>
        </is>
      </c>
    </row>
    <row r="8">
      <c r="B8" t="inlineStr">
        <is>
          <t>Upload on:</t>
        </is>
      </c>
      <c r="C8" s="10" t="inlineStr">
        <is>
          <t xml:space="preserve"> https://www.screener.in/excel/</t>
        </is>
      </c>
    </row>
    <row r="10">
      <c r="A10" s="3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</t>
        </is>
      </c>
      <c r="G16" s="11" t="inlineStr">
        <is>
          <t xml:space="preserve"> screener.feedback@dalal-street.in</t>
        </is>
      </c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K93"/>
  <sheetViews>
    <sheetView zoomScale="85" zoomScaleNormal="85" zoomScalePageLayoutView="120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A6" sqref="A6"/>
    </sheetView>
  </sheetViews>
  <sheetFormatPr baseColWidth="8" defaultColWidth="8.85546875" defaultRowHeight="15"/>
  <cols>
    <col width="27.5703125" bestFit="1" customWidth="1" style="527" min="1" max="1"/>
    <col width="13.42578125" bestFit="1" customWidth="1" style="527" min="2" max="11"/>
    <col width="8.85546875" customWidth="1" style="527" min="12" max="16384"/>
  </cols>
  <sheetData>
    <row r="1" customFormat="1" s="528">
      <c r="A1" s="528" t="inlineStr">
        <is>
          <t>COMPANY NAME</t>
        </is>
      </c>
      <c r="B1" s="528" t="inlineStr">
        <is>
          <t>GRAVITA INDIA LTD</t>
        </is>
      </c>
      <c r="E1" s="529">
        <f>IF(B2&lt;&gt;B3, "A NEW VERSION OF THE WORKSHEET IS AVAILABLE", "")</f>
        <v/>
      </c>
    </row>
    <row r="2">
      <c r="A2" s="528" t="inlineStr">
        <is>
          <t>LATEST VERSION</t>
        </is>
      </c>
      <c r="B2" s="527" t="n">
        <v>2.1</v>
      </c>
      <c r="E2" s="530" t="inlineStr">
        <is>
          <t>PLEASE DO NOT MAKE ANY CHANGES TO THIS SHEET</t>
        </is>
      </c>
    </row>
    <row r="3">
      <c r="A3" s="528" t="inlineStr">
        <is>
          <t>CURRENT VERSION</t>
        </is>
      </c>
      <c r="B3" s="527" t="n">
        <v>2.1</v>
      </c>
    </row>
    <row r="4">
      <c r="A4" s="528" t="n"/>
    </row>
    <row r="5">
      <c r="A5" s="528" t="inlineStr">
        <is>
          <t>META</t>
        </is>
      </c>
    </row>
    <row r="6">
      <c r="A6" s="527" t="inlineStr">
        <is>
          <t>Number of shares</t>
        </is>
      </c>
      <c r="B6" s="527">
        <f>IF(B9&gt;0, B9/B8, 0)</f>
        <v/>
      </c>
    </row>
    <row r="7">
      <c r="A7" s="527" t="inlineStr">
        <is>
          <t>Face Value</t>
        </is>
      </c>
      <c r="B7" t="n">
        <v>2</v>
      </c>
    </row>
    <row r="8">
      <c r="A8" s="527" t="inlineStr">
        <is>
          <t>Current Price</t>
        </is>
      </c>
      <c r="B8" t="n">
        <v>1777</v>
      </c>
    </row>
    <row r="9">
      <c r="A9" s="527" t="inlineStr">
        <is>
          <t>Market Capitalization</t>
        </is>
      </c>
      <c r="B9" t="n">
        <v>13112.41</v>
      </c>
    </row>
    <row r="15">
      <c r="A15" s="528" t="inlineStr">
        <is>
          <t>PROFIT &amp; LOSS</t>
        </is>
      </c>
    </row>
    <row r="16" customFormat="1" s="7">
      <c r="A16" s="6" t="inlineStr">
        <is>
          <t>Report Date</t>
        </is>
      </c>
      <c r="B16" s="5" t="n">
        <v>42825</v>
      </c>
      <c r="C16" s="5" t="n">
        <v>43190</v>
      </c>
      <c r="D16" s="5" t="n">
        <v>43555</v>
      </c>
      <c r="E16" s="5" t="n">
        <v>43921</v>
      </c>
      <c r="F16" s="5" t="n">
        <v>44286</v>
      </c>
      <c r="G16" s="5" t="n">
        <v>44651</v>
      </c>
      <c r="H16" s="5" t="n">
        <v>45016</v>
      </c>
      <c r="I16" s="5" t="n">
        <v>45382</v>
      </c>
      <c r="J16" s="5" t="n">
        <v>45747</v>
      </c>
      <c r="K16" s="5" t="n">
        <v>46112</v>
      </c>
    </row>
    <row r="17" customFormat="1" s="531">
      <c r="A17" s="531" t="inlineStr">
        <is>
          <t>Sales</t>
        </is>
      </c>
      <c r="B17" t="n">
        <v>654.84</v>
      </c>
      <c r="C17" t="n">
        <v>1017.4</v>
      </c>
      <c r="D17" t="n">
        <v>1241.73</v>
      </c>
      <c r="E17" t="n">
        <v>1347.8</v>
      </c>
      <c r="F17" t="n">
        <v>1409.75</v>
      </c>
      <c r="G17" t="n">
        <v>2215.87</v>
      </c>
      <c r="H17" t="n">
        <v>2800.6</v>
      </c>
      <c r="I17" t="n">
        <v>3160.75</v>
      </c>
      <c r="J17" t="n">
        <v>3868.77</v>
      </c>
      <c r="K17" t="n">
        <v>4265.27</v>
      </c>
    </row>
    <row r="18" customFormat="1" s="531">
      <c r="A18" s="527" t="inlineStr">
        <is>
          <t>Raw Material Cost</t>
        </is>
      </c>
      <c r="B18" t="n">
        <v>519.38</v>
      </c>
      <c r="C18" t="n">
        <v>852.76</v>
      </c>
      <c r="D18" t="n">
        <v>1023.13</v>
      </c>
      <c r="E18" t="n">
        <v>1114.82</v>
      </c>
      <c r="F18" t="n">
        <v>1214.89</v>
      </c>
      <c r="G18" t="n">
        <v>1798.12</v>
      </c>
      <c r="H18" t="n">
        <v>2316.19</v>
      </c>
      <c r="I18" t="n">
        <v>2572.29</v>
      </c>
      <c r="J18" t="n">
        <v>3189.73</v>
      </c>
      <c r="K18" t="n">
        <v>3591.87</v>
      </c>
    </row>
    <row r="19" customFormat="1" s="531">
      <c r="A19" s="527" t="inlineStr">
        <is>
          <t>Change in Inventory</t>
        </is>
      </c>
      <c r="B19" t="n">
        <v>4.17</v>
      </c>
      <c r="C19" t="n">
        <v>44.22</v>
      </c>
      <c r="D19" t="n">
        <v>-12.31</v>
      </c>
      <c r="E19" t="n">
        <v>23.75</v>
      </c>
      <c r="F19" t="n">
        <v>82.48</v>
      </c>
      <c r="G19" t="n">
        <v>54.59</v>
      </c>
      <c r="H19" t="n">
        <v>34.17</v>
      </c>
      <c r="I19" t="n">
        <v>11.1</v>
      </c>
      <c r="J19" t="n">
        <v>16.93</v>
      </c>
      <c r="K19" t="n">
        <v>173.92</v>
      </c>
    </row>
    <row r="20" customFormat="1" s="531">
      <c r="A20" s="527" t="inlineStr">
        <is>
          <t>Power and Fuel</t>
        </is>
      </c>
      <c r="B20" t="n">
        <v>5.05</v>
      </c>
      <c r="C20" t="n">
        <v>8.27</v>
      </c>
      <c r="D20" t="n">
        <v>10.83</v>
      </c>
      <c r="E20" t="n">
        <v>13.37</v>
      </c>
      <c r="F20" t="n">
        <v>14.49</v>
      </c>
      <c r="G20" t="n">
        <v>16.77</v>
      </c>
      <c r="H20" t="n">
        <v>17.8</v>
      </c>
      <c r="I20" t="n">
        <v>23.98</v>
      </c>
      <c r="J20" t="n">
        <v>25.73</v>
      </c>
    </row>
    <row r="21" customFormat="1" s="531">
      <c r="A21" s="527" t="inlineStr">
        <is>
          <t>Other Mfr. Exp</t>
        </is>
      </c>
      <c r="B21" t="n">
        <v>18.06</v>
      </c>
      <c r="C21" t="n">
        <v>26.34</v>
      </c>
      <c r="D21" t="n">
        <v>36.08</v>
      </c>
      <c r="E21" t="n">
        <v>39.34</v>
      </c>
      <c r="F21" t="n">
        <v>44.07</v>
      </c>
      <c r="G21" t="n">
        <v>71.7</v>
      </c>
      <c r="H21" t="n">
        <v>97.42</v>
      </c>
      <c r="I21" t="n">
        <v>96.29000000000001</v>
      </c>
      <c r="J21" t="n">
        <v>114.36</v>
      </c>
    </row>
    <row r="22" customFormat="1" s="531">
      <c r="A22" s="527" t="inlineStr">
        <is>
          <t>Employee Cost</t>
        </is>
      </c>
      <c r="B22" t="n">
        <v>35.81</v>
      </c>
      <c r="C22" t="n">
        <v>52.06</v>
      </c>
      <c r="D22" t="n">
        <v>63.47</v>
      </c>
      <c r="E22" t="n">
        <v>65.94</v>
      </c>
      <c r="F22" t="n">
        <v>72.90000000000001</v>
      </c>
      <c r="G22" t="n">
        <v>102.75</v>
      </c>
      <c r="H22" t="n">
        <v>133.56</v>
      </c>
      <c r="I22" t="n">
        <v>131.24</v>
      </c>
      <c r="J22" t="n">
        <v>159.49</v>
      </c>
      <c r="K22" t="n">
        <v>181.77</v>
      </c>
    </row>
    <row r="23" customFormat="1" s="531">
      <c r="A23" s="527" t="inlineStr">
        <is>
          <t>Selling and admin</t>
        </is>
      </c>
      <c r="B23" t="n">
        <v>14.05</v>
      </c>
      <c r="C23" t="n">
        <v>21.77</v>
      </c>
      <c r="D23" t="n">
        <v>22.25</v>
      </c>
      <c r="E23" t="n">
        <v>16.23</v>
      </c>
      <c r="F23" t="n">
        <v>19.15</v>
      </c>
      <c r="G23" t="n">
        <v>30.78</v>
      </c>
      <c r="H23" t="n">
        <v>39.39</v>
      </c>
      <c r="I23" t="n">
        <v>39.72</v>
      </c>
      <c r="J23" t="n">
        <v>46.99</v>
      </c>
    </row>
    <row r="24" customFormat="1" s="531">
      <c r="A24" s="527" t="inlineStr">
        <is>
          <t>Other Expenses</t>
        </is>
      </c>
      <c r="B24" t="n">
        <v>8.15</v>
      </c>
      <c r="C24" t="n">
        <v>8.81</v>
      </c>
      <c r="D24" t="n">
        <v>11.8</v>
      </c>
      <c r="E24" t="n">
        <v>13.12</v>
      </c>
      <c r="F24" t="n">
        <v>5.46</v>
      </c>
      <c r="G24" t="n">
        <v>32.86</v>
      </c>
      <c r="H24" t="n">
        <v>23.42</v>
      </c>
      <c r="I24" t="n">
        <v>20.88</v>
      </c>
      <c r="J24" t="n">
        <v>21.15</v>
      </c>
      <c r="K24" t="n">
        <v>230.62</v>
      </c>
    </row>
    <row r="25" customFormat="1" s="531">
      <c r="A25" s="531" t="inlineStr">
        <is>
          <t>Other Income</t>
        </is>
      </c>
      <c r="B25" t="n">
        <v>1.45</v>
      </c>
      <c r="C25" t="n">
        <v>1.59</v>
      </c>
      <c r="D25" t="n">
        <v>5.45</v>
      </c>
      <c r="E25" t="n">
        <v>-12.24</v>
      </c>
      <c r="F25" t="n">
        <v>0.9</v>
      </c>
      <c r="G25" t="n">
        <v>5.71</v>
      </c>
      <c r="H25" t="n">
        <v>88.06</v>
      </c>
      <c r="I25" t="n">
        <v>76.45</v>
      </c>
      <c r="J25" t="n">
        <v>110.73</v>
      </c>
      <c r="K25" t="n">
        <v>76.93000000000001</v>
      </c>
    </row>
    <row r="26" customFormat="1" s="531">
      <c r="A26" s="531" t="inlineStr">
        <is>
          <t>Depreciation</t>
        </is>
      </c>
      <c r="B26" t="n">
        <v>5.85</v>
      </c>
      <c r="C26" t="n">
        <v>8.69</v>
      </c>
      <c r="D26" t="n">
        <v>11.56</v>
      </c>
      <c r="E26" t="n">
        <v>18.13</v>
      </c>
      <c r="F26" t="n">
        <v>20.3</v>
      </c>
      <c r="G26" t="n">
        <v>20.56</v>
      </c>
      <c r="H26" t="n">
        <v>23.96</v>
      </c>
      <c r="I26" t="n">
        <v>37.99</v>
      </c>
      <c r="J26" t="n">
        <v>29.09</v>
      </c>
      <c r="K26" t="n">
        <v>38.83</v>
      </c>
    </row>
    <row r="27" customFormat="1" s="531">
      <c r="A27" s="531" t="inlineStr">
        <is>
          <t>Interest</t>
        </is>
      </c>
      <c r="B27" t="n">
        <v>10.58</v>
      </c>
      <c r="C27" t="n">
        <v>20.32</v>
      </c>
      <c r="D27" t="n">
        <v>26.16</v>
      </c>
      <c r="E27" t="n">
        <v>31.43</v>
      </c>
      <c r="F27" t="n">
        <v>30.97</v>
      </c>
      <c r="G27" t="n">
        <v>37.99</v>
      </c>
      <c r="H27" t="n">
        <v>43.5</v>
      </c>
      <c r="I27" t="n">
        <v>51.76</v>
      </c>
      <c r="J27" t="n">
        <v>46.43</v>
      </c>
      <c r="K27" t="n">
        <v>24.78</v>
      </c>
    </row>
    <row r="28" customFormat="1" s="531">
      <c r="A28" s="531" t="inlineStr">
        <is>
          <t>Profit before tax</t>
        </is>
      </c>
      <c r="B28" t="n">
        <v>43.53</v>
      </c>
      <c r="C28" t="n">
        <v>64.19</v>
      </c>
      <c r="D28" t="n">
        <v>29.59</v>
      </c>
      <c r="E28" t="n">
        <v>46.93</v>
      </c>
      <c r="F28" t="n">
        <v>70.90000000000001</v>
      </c>
      <c r="G28" t="n">
        <v>164.64</v>
      </c>
      <c r="H28" t="n">
        <v>227.59</v>
      </c>
      <c r="I28" t="n">
        <v>274.15</v>
      </c>
      <c r="J28" t="n">
        <v>363.46</v>
      </c>
      <c r="K28" t="n">
        <v>448.25</v>
      </c>
    </row>
    <row r="29" customFormat="1" s="531">
      <c r="A29" s="531" t="inlineStr">
        <is>
          <t>Tax</t>
        </is>
      </c>
      <c r="B29" t="n">
        <v>8.380000000000001</v>
      </c>
      <c r="C29" t="n">
        <v>16.55</v>
      </c>
      <c r="D29" t="n">
        <v>10.2</v>
      </c>
      <c r="E29" t="n">
        <v>10.35</v>
      </c>
      <c r="F29" t="n">
        <v>14.08</v>
      </c>
      <c r="G29" t="n">
        <v>16.19</v>
      </c>
      <c r="H29" t="n">
        <v>23.5</v>
      </c>
      <c r="I29" t="n">
        <v>31.87</v>
      </c>
      <c r="J29" t="n">
        <v>50.56</v>
      </c>
      <c r="K29" t="n">
        <v>69.92</v>
      </c>
    </row>
    <row r="30" customFormat="1" s="531">
      <c r="A30" s="531" t="inlineStr">
        <is>
          <t>Net profit</t>
        </is>
      </c>
      <c r="B30" t="n">
        <v>32.7</v>
      </c>
      <c r="C30" t="n">
        <v>44.09</v>
      </c>
      <c r="D30" t="n">
        <v>15.49</v>
      </c>
      <c r="E30" t="n">
        <v>33.18</v>
      </c>
      <c r="F30" t="n">
        <v>52.47</v>
      </c>
      <c r="G30" t="n">
        <v>139.39</v>
      </c>
      <c r="H30" t="n">
        <v>201.1</v>
      </c>
      <c r="I30" t="n">
        <v>239.19</v>
      </c>
      <c r="J30" t="n">
        <v>312.39</v>
      </c>
      <c r="K30" t="n">
        <v>378.8</v>
      </c>
    </row>
    <row r="31" customFormat="1" s="531">
      <c r="A31" s="531" t="inlineStr">
        <is>
          <t>Dividend Amount</t>
        </is>
      </c>
      <c r="B31" t="n">
        <v>4.11</v>
      </c>
      <c r="C31" t="n">
        <v>4.81</v>
      </c>
      <c r="D31" t="n">
        <v>2.06</v>
      </c>
      <c r="E31" t="n">
        <v>4.83</v>
      </c>
      <c r="F31" t="n">
        <v>7.6</v>
      </c>
      <c r="G31" t="n">
        <v>20.72</v>
      </c>
      <c r="H31" t="n">
        <v>30.04</v>
      </c>
      <c r="I31" t="n">
        <v>35.91</v>
      </c>
      <c r="J31" t="n">
        <v>46.86</v>
      </c>
    </row>
    <row r="32" customFormat="1" s="531"/>
    <row r="33">
      <c r="A33" s="531" t="n"/>
    </row>
    <row r="34">
      <c r="A34" s="531" t="n"/>
    </row>
    <row r="35">
      <c r="A35" s="531" t="n"/>
    </row>
    <row r="36">
      <c r="A36" s="531" t="n"/>
    </row>
    <row r="37">
      <c r="A37" s="531" t="n"/>
    </row>
    <row r="38">
      <c r="A38" s="531" t="n"/>
    </row>
    <row r="39">
      <c r="A39" s="531" t="n"/>
    </row>
    <row r="40">
      <c r="A40" s="528" t="inlineStr">
        <is>
          <t>Quarters</t>
        </is>
      </c>
    </row>
    <row r="41" customFormat="1" s="7">
      <c r="A41" s="6" t="inlineStr">
        <is>
          <t>Report Date</t>
        </is>
      </c>
      <c r="B41" s="5" t="n">
        <v>45291</v>
      </c>
      <c r="C41" s="5" t="n">
        <v>45382</v>
      </c>
      <c r="D41" s="5" t="n">
        <v>45473</v>
      </c>
      <c r="E41" s="5" t="n">
        <v>45565</v>
      </c>
      <c r="F41" s="5" t="n">
        <v>45657</v>
      </c>
      <c r="G41" s="5" t="n">
        <v>45747</v>
      </c>
      <c r="H41" s="5" t="n">
        <v>45838</v>
      </c>
      <c r="I41" s="5" t="n">
        <v>45930</v>
      </c>
      <c r="J41" s="5" t="n">
        <v>46022</v>
      </c>
      <c r="K41" s="5" t="n">
        <v>46112</v>
      </c>
    </row>
    <row r="42" customFormat="1" s="531">
      <c r="A42" s="531" t="inlineStr">
        <is>
          <t>Sales</t>
        </is>
      </c>
      <c r="B42" t="n">
        <v>757.77</v>
      </c>
      <c r="C42" t="n">
        <v>863.41</v>
      </c>
      <c r="D42" t="n">
        <v>907.86</v>
      </c>
      <c r="E42" t="n">
        <v>927.42</v>
      </c>
      <c r="F42" t="n">
        <v>996.42</v>
      </c>
      <c r="G42" t="n">
        <v>1037.07</v>
      </c>
      <c r="H42" t="n">
        <v>1039.94</v>
      </c>
      <c r="I42" t="n">
        <v>1035.5</v>
      </c>
      <c r="J42" t="n">
        <v>1017.07</v>
      </c>
      <c r="K42" t="n">
        <v>1172.76</v>
      </c>
    </row>
    <row r="43" customFormat="1" s="531">
      <c r="A43" s="531" t="inlineStr">
        <is>
          <t>Expenses</t>
        </is>
      </c>
      <c r="B43" t="n">
        <v>677.42</v>
      </c>
      <c r="C43" t="n">
        <v>791.25</v>
      </c>
      <c r="D43" t="n">
        <v>820.1900000000001</v>
      </c>
      <c r="E43" t="n">
        <v>863.9299999999999</v>
      </c>
      <c r="F43" t="n">
        <v>915.6900000000001</v>
      </c>
      <c r="G43" t="n">
        <v>944.88</v>
      </c>
      <c r="H43" t="n">
        <v>939.3099999999999</v>
      </c>
      <c r="I43" t="n">
        <v>933.49</v>
      </c>
      <c r="J43" t="n">
        <v>897.29</v>
      </c>
      <c r="K43" t="n">
        <v>1060.25</v>
      </c>
    </row>
    <row r="44" customFormat="1" s="531">
      <c r="A44" s="531" t="inlineStr">
        <is>
          <t>Other Income</t>
        </is>
      </c>
      <c r="B44" t="n">
        <v>15.44</v>
      </c>
      <c r="C44" t="n">
        <v>24.89</v>
      </c>
      <c r="D44" t="n">
        <v>6.87</v>
      </c>
      <c r="E44" t="n">
        <v>40.36</v>
      </c>
      <c r="F44" t="n">
        <v>28.86</v>
      </c>
      <c r="G44" t="n">
        <v>35.75</v>
      </c>
      <c r="H44" t="n">
        <v>30.06</v>
      </c>
      <c r="I44" t="n">
        <v>26.32</v>
      </c>
      <c r="J44" t="n">
        <v>11.69</v>
      </c>
      <c r="K44" t="n">
        <v>8.859999999999999</v>
      </c>
    </row>
    <row r="45" customFormat="1" s="531">
      <c r="A45" s="531" t="inlineStr">
        <is>
          <t>Depreciation</t>
        </is>
      </c>
      <c r="B45" t="n">
        <v>9.02</v>
      </c>
      <c r="C45" t="n">
        <v>12.48</v>
      </c>
      <c r="D45" t="n">
        <v>6.52</v>
      </c>
      <c r="E45" t="n">
        <v>7.18</v>
      </c>
      <c r="F45" t="n">
        <v>7.64</v>
      </c>
      <c r="G45" t="n">
        <v>7.75</v>
      </c>
      <c r="H45" t="n">
        <v>8.710000000000001</v>
      </c>
      <c r="I45" t="n">
        <v>9.23</v>
      </c>
      <c r="J45" t="n">
        <v>9.84</v>
      </c>
      <c r="K45" t="n">
        <v>11.05</v>
      </c>
    </row>
    <row r="46" customFormat="1" s="531">
      <c r="A46" s="531" t="inlineStr">
        <is>
          <t>Interest</t>
        </is>
      </c>
      <c r="B46" t="n">
        <v>13</v>
      </c>
      <c r="C46" t="n">
        <v>12.35</v>
      </c>
      <c r="D46" t="n">
        <v>12.96</v>
      </c>
      <c r="E46" t="n">
        <v>11.95</v>
      </c>
      <c r="F46" t="n">
        <v>12.84</v>
      </c>
      <c r="G46" t="n">
        <v>5.62</v>
      </c>
      <c r="H46" t="n">
        <v>6.05</v>
      </c>
      <c r="I46" t="n">
        <v>7.82</v>
      </c>
      <c r="J46" t="n">
        <v>6.54</v>
      </c>
      <c r="K46" t="n">
        <v>4.37</v>
      </c>
    </row>
    <row r="47" customFormat="1" s="531">
      <c r="A47" s="531" t="inlineStr">
        <is>
          <t>Profit before tax</t>
        </is>
      </c>
      <c r="B47" t="n">
        <v>73.77</v>
      </c>
      <c r="C47" t="n">
        <v>72.22</v>
      </c>
      <c r="D47" t="n">
        <v>75.06</v>
      </c>
      <c r="E47" t="n">
        <v>84.72</v>
      </c>
      <c r="F47" t="n">
        <v>89.11</v>
      </c>
      <c r="G47" t="n">
        <v>114.57</v>
      </c>
      <c r="H47" t="n">
        <v>115.93</v>
      </c>
      <c r="I47" t="n">
        <v>111.28</v>
      </c>
      <c r="J47" t="n">
        <v>115.09</v>
      </c>
      <c r="K47" t="n">
        <v>105.95</v>
      </c>
    </row>
    <row r="48" customFormat="1" s="531">
      <c r="A48" s="531" t="inlineStr">
        <is>
          <t>Tax</t>
        </is>
      </c>
      <c r="B48" t="n">
        <v>12.3</v>
      </c>
      <c r="C48" t="n">
        <v>2.8</v>
      </c>
      <c r="D48" t="n">
        <v>7.06</v>
      </c>
      <c r="E48" t="n">
        <v>12.8</v>
      </c>
      <c r="F48" t="n">
        <v>11.05</v>
      </c>
      <c r="G48" t="n">
        <v>19.65</v>
      </c>
      <c r="H48" t="n">
        <v>22.87</v>
      </c>
      <c r="I48" t="n">
        <v>15.31</v>
      </c>
      <c r="J48" t="n">
        <v>17.6</v>
      </c>
      <c r="K48" t="n">
        <v>14.14</v>
      </c>
    </row>
    <row r="49" customFormat="1" s="531">
      <c r="A49" s="531" t="inlineStr">
        <is>
          <t>Net profit</t>
        </is>
      </c>
      <c r="B49" t="n">
        <v>60.27</v>
      </c>
      <c r="C49" t="n">
        <v>68.98</v>
      </c>
      <c r="D49" t="n">
        <v>67.33</v>
      </c>
      <c r="E49" t="n">
        <v>72</v>
      </c>
      <c r="F49" t="n">
        <v>77.93000000000001</v>
      </c>
      <c r="G49" t="n">
        <v>95.13</v>
      </c>
      <c r="H49" t="n">
        <v>93.26000000000001</v>
      </c>
      <c r="I49" t="n">
        <v>95.98999999999999</v>
      </c>
      <c r="J49" t="n">
        <v>97.67</v>
      </c>
      <c r="K49" t="n">
        <v>91.88</v>
      </c>
    </row>
    <row r="50">
      <c r="A50" s="531" t="inlineStr">
        <is>
          <t>Operating Profit</t>
        </is>
      </c>
      <c r="B50" t="n">
        <v>80.34999999999999</v>
      </c>
      <c r="C50" t="n">
        <v>72.16</v>
      </c>
      <c r="D50" t="n">
        <v>87.67</v>
      </c>
      <c r="E50" t="n">
        <v>63.49</v>
      </c>
      <c r="F50" t="n">
        <v>80.73</v>
      </c>
      <c r="G50" t="n">
        <v>92.19</v>
      </c>
      <c r="H50" t="n">
        <v>100.63</v>
      </c>
      <c r="I50" t="n">
        <v>102.01</v>
      </c>
      <c r="J50" t="n">
        <v>119.78</v>
      </c>
      <c r="K50" t="n">
        <v>112.51</v>
      </c>
    </row>
    <row r="51">
      <c r="A51" s="531" t="n"/>
    </row>
    <row r="52">
      <c r="A52" s="531" t="n"/>
    </row>
    <row r="53">
      <c r="A53" s="531" t="n"/>
    </row>
    <row r="54">
      <c r="A54" s="531" t="n"/>
    </row>
    <row r="55">
      <c r="A55" s="528" t="inlineStr">
        <is>
          <t>BALANCE SHEET</t>
        </is>
      </c>
    </row>
    <row r="56" customFormat="1" s="7">
      <c r="A56" s="6" t="inlineStr">
        <is>
          <t>Report Date</t>
        </is>
      </c>
      <c r="B56" s="5" t="n">
        <v>42825</v>
      </c>
      <c r="C56" s="5" t="n">
        <v>43190</v>
      </c>
      <c r="D56" s="5" t="n">
        <v>43555</v>
      </c>
      <c r="E56" s="5" t="n">
        <v>43921</v>
      </c>
      <c r="F56" s="5" t="n">
        <v>44286</v>
      </c>
      <c r="G56" s="5" t="n">
        <v>44651</v>
      </c>
      <c r="H56" s="5" t="n">
        <v>45016</v>
      </c>
      <c r="I56" s="5" t="n">
        <v>45382</v>
      </c>
      <c r="J56" s="5" t="n">
        <v>45747</v>
      </c>
      <c r="K56" s="5" t="n">
        <v>46112</v>
      </c>
    </row>
    <row r="57">
      <c r="A57" s="531" t="inlineStr">
        <is>
          <t>Equity Share Capital</t>
        </is>
      </c>
      <c r="B57" t="n">
        <v>13.69</v>
      </c>
      <c r="C57" t="n">
        <v>13.74</v>
      </c>
      <c r="D57" t="n">
        <v>13.75</v>
      </c>
      <c r="E57" t="n">
        <v>13.81</v>
      </c>
      <c r="F57" t="n">
        <v>13.81</v>
      </c>
      <c r="G57" t="n">
        <v>13.81</v>
      </c>
      <c r="H57" t="n">
        <v>13.81</v>
      </c>
      <c r="I57" t="n">
        <v>13.81</v>
      </c>
      <c r="J57" t="n">
        <v>14.76</v>
      </c>
      <c r="K57" t="n">
        <v>14.76</v>
      </c>
    </row>
    <row r="58">
      <c r="A58" s="531" t="inlineStr">
        <is>
          <t>Reserves</t>
        </is>
      </c>
      <c r="B58" t="n">
        <v>136.45</v>
      </c>
      <c r="C58" t="n">
        <v>175.94</v>
      </c>
      <c r="D58" t="n">
        <v>185.57</v>
      </c>
      <c r="E58" t="n">
        <v>211.37</v>
      </c>
      <c r="F58" t="n">
        <v>255.12</v>
      </c>
      <c r="G58" t="n">
        <v>373.04</v>
      </c>
      <c r="H58" t="n">
        <v>575.12</v>
      </c>
      <c r="I58" t="n">
        <v>823.59</v>
      </c>
      <c r="J58" t="n">
        <v>2055.15</v>
      </c>
      <c r="K58" t="n">
        <v>2436.87</v>
      </c>
    </row>
    <row r="59">
      <c r="A59" s="531" t="inlineStr">
        <is>
          <t>Borrowings</t>
        </is>
      </c>
      <c r="B59" t="n">
        <v>165.63</v>
      </c>
      <c r="C59" t="n">
        <v>232.52</v>
      </c>
      <c r="D59" t="n">
        <v>250.28</v>
      </c>
      <c r="E59" t="n">
        <v>279.3</v>
      </c>
      <c r="F59" t="n">
        <v>261.09</v>
      </c>
      <c r="G59" t="n">
        <v>391.52</v>
      </c>
      <c r="H59" t="n">
        <v>347.72</v>
      </c>
      <c r="I59" t="n">
        <v>547.59</v>
      </c>
      <c r="J59" t="n">
        <v>285.95</v>
      </c>
      <c r="K59" t="n">
        <v>735.9</v>
      </c>
    </row>
    <row r="60">
      <c r="A60" s="531" t="inlineStr">
        <is>
          <t>Other Liabilities</t>
        </is>
      </c>
      <c r="B60" t="n">
        <v>39.39</v>
      </c>
      <c r="C60" t="n">
        <v>69.59</v>
      </c>
      <c r="D60" t="n">
        <v>122.93</v>
      </c>
      <c r="E60" t="n">
        <v>109.88</v>
      </c>
      <c r="F60" t="n">
        <v>196.31</v>
      </c>
      <c r="G60" t="n">
        <v>219.13</v>
      </c>
      <c r="H60" t="n">
        <v>268.25</v>
      </c>
      <c r="I60" t="n">
        <v>217.12</v>
      </c>
      <c r="J60" t="n">
        <v>158.86</v>
      </c>
      <c r="K60" t="n">
        <v>229.42</v>
      </c>
    </row>
    <row r="61" customFormat="1" s="528">
      <c r="A61" s="528" t="inlineStr">
        <is>
          <t>Total</t>
        </is>
      </c>
      <c r="B61" t="n">
        <v>355.16</v>
      </c>
      <c r="C61" t="n">
        <v>491.79</v>
      </c>
      <c r="D61" t="n">
        <v>572.53</v>
      </c>
      <c r="E61" t="n">
        <v>614.36</v>
      </c>
      <c r="F61" t="n">
        <v>726.33</v>
      </c>
      <c r="G61" t="n">
        <v>997.5</v>
      </c>
      <c r="H61" t="n">
        <v>1204.9</v>
      </c>
      <c r="I61" t="n">
        <v>1602.11</v>
      </c>
      <c r="J61" t="n">
        <v>2514.72</v>
      </c>
      <c r="K61" t="n">
        <v>3416.95</v>
      </c>
    </row>
    <row r="62">
      <c r="A62" s="531" t="inlineStr">
        <is>
          <t>Net Block</t>
        </is>
      </c>
      <c r="B62" t="n">
        <v>68.09</v>
      </c>
      <c r="C62" t="n">
        <v>108.91</v>
      </c>
      <c r="D62" t="n">
        <v>136.52</v>
      </c>
      <c r="E62" t="n">
        <v>181.64</v>
      </c>
      <c r="F62" t="n">
        <v>172.37</v>
      </c>
      <c r="G62" t="n">
        <v>191.26</v>
      </c>
      <c r="H62" t="n">
        <v>273.32</v>
      </c>
      <c r="I62" t="n">
        <v>348.5</v>
      </c>
      <c r="J62" t="n">
        <v>435.71</v>
      </c>
      <c r="K62" t="n">
        <v>939.26</v>
      </c>
    </row>
    <row r="63">
      <c r="A63" s="531" t="inlineStr">
        <is>
          <t>Capital Work in Progress</t>
        </is>
      </c>
      <c r="B63" t="n">
        <v>32.44</v>
      </c>
      <c r="C63" t="n">
        <v>23.88</v>
      </c>
      <c r="D63" t="n">
        <v>46.22</v>
      </c>
      <c r="E63" t="n">
        <v>14.65</v>
      </c>
      <c r="F63" t="n">
        <v>13.49</v>
      </c>
      <c r="G63" t="n">
        <v>42.49</v>
      </c>
      <c r="H63" t="n">
        <v>45.5</v>
      </c>
      <c r="I63" t="n">
        <v>42.76</v>
      </c>
      <c r="J63" t="n">
        <v>39.29</v>
      </c>
      <c r="K63" t="n">
        <v>47.54</v>
      </c>
    </row>
    <row r="64">
      <c r="A64" s="531" t="inlineStr">
        <is>
          <t>Investments</t>
        </is>
      </c>
      <c r="B64" t="n">
        <v>0.04</v>
      </c>
      <c r="C64" t="n">
        <v>0.04</v>
      </c>
      <c r="D64" t="n">
        <v>0.02</v>
      </c>
      <c r="E64" t="n">
        <v>0.01</v>
      </c>
      <c r="H64" t="n">
        <v>1.11</v>
      </c>
      <c r="I64" t="n">
        <v>16.5</v>
      </c>
      <c r="J64" t="n">
        <v>527.9400000000001</v>
      </c>
      <c r="K64" t="n">
        <v>412.71</v>
      </c>
    </row>
    <row r="65">
      <c r="A65" s="531" t="inlineStr">
        <is>
          <t>Other Assets</t>
        </is>
      </c>
      <c r="B65" t="n">
        <v>254.59</v>
      </c>
      <c r="C65" t="n">
        <v>358.96</v>
      </c>
      <c r="D65" t="n">
        <v>389.77</v>
      </c>
      <c r="E65" t="n">
        <v>418.06</v>
      </c>
      <c r="F65" t="n">
        <v>540.47</v>
      </c>
      <c r="G65" t="n">
        <v>763.75</v>
      </c>
      <c r="H65" t="n">
        <v>884.97</v>
      </c>
      <c r="I65" t="n">
        <v>1194.35</v>
      </c>
      <c r="J65" t="n">
        <v>1511.78</v>
      </c>
      <c r="K65" t="n">
        <v>2017.44</v>
      </c>
    </row>
    <row r="66" customFormat="1" s="528">
      <c r="A66" s="528" t="inlineStr">
        <is>
          <t>Total</t>
        </is>
      </c>
      <c r="B66" t="n">
        <v>355.16</v>
      </c>
      <c r="C66" t="n">
        <v>491.79</v>
      </c>
      <c r="D66" t="n">
        <v>572.53</v>
      </c>
      <c r="E66" t="n">
        <v>614.36</v>
      </c>
      <c r="F66" t="n">
        <v>726.33</v>
      </c>
      <c r="G66" t="n">
        <v>997.5</v>
      </c>
      <c r="H66" t="n">
        <v>1204.9</v>
      </c>
      <c r="I66" t="n">
        <v>1602.11</v>
      </c>
      <c r="J66" t="n">
        <v>2514.72</v>
      </c>
      <c r="K66" t="n">
        <v>3416.95</v>
      </c>
    </row>
    <row r="67" customFormat="1" s="531">
      <c r="A67" s="531" t="inlineStr">
        <is>
          <t>Receivables</t>
        </is>
      </c>
      <c r="B67" t="n">
        <v>60.27</v>
      </c>
      <c r="C67" t="n">
        <v>113.15</v>
      </c>
      <c r="D67" t="n">
        <v>96.45999999999999</v>
      </c>
      <c r="E67" t="n">
        <v>67.53</v>
      </c>
      <c r="F67" t="n">
        <v>59.38</v>
      </c>
      <c r="G67" t="n">
        <v>109.65</v>
      </c>
      <c r="H67" t="n">
        <v>137.02</v>
      </c>
      <c r="I67" t="n">
        <v>264.33</v>
      </c>
      <c r="J67" t="n">
        <v>275.08</v>
      </c>
      <c r="K67" t="n">
        <v>430.92</v>
      </c>
    </row>
    <row r="68">
      <c r="A68" s="531" t="inlineStr">
        <is>
          <t>Inventory</t>
        </is>
      </c>
      <c r="B68" t="n">
        <v>109.37</v>
      </c>
      <c r="C68" t="n">
        <v>158.48</v>
      </c>
      <c r="D68" t="n">
        <v>182.61</v>
      </c>
      <c r="E68" t="n">
        <v>224.36</v>
      </c>
      <c r="F68" t="n">
        <v>357.7</v>
      </c>
      <c r="G68" t="n">
        <v>513.45</v>
      </c>
      <c r="H68" t="n">
        <v>596.47</v>
      </c>
      <c r="I68" t="n">
        <v>674.63</v>
      </c>
      <c r="J68" t="n">
        <v>616.8</v>
      </c>
      <c r="K68" t="n">
        <v>1023.27</v>
      </c>
    </row>
    <row r="69">
      <c r="A69" s="527" t="inlineStr">
        <is>
          <t>Cash &amp; Bank</t>
        </is>
      </c>
      <c r="B69" t="n">
        <v>17.76</v>
      </c>
      <c r="C69" t="n">
        <v>16.58</v>
      </c>
      <c r="D69" t="n">
        <v>21.87</v>
      </c>
      <c r="E69" t="n">
        <v>20.32</v>
      </c>
      <c r="F69" t="n">
        <v>19.86</v>
      </c>
      <c r="G69" t="n">
        <v>32.52</v>
      </c>
      <c r="H69" t="n">
        <v>38.12</v>
      </c>
      <c r="I69" t="n">
        <v>98.78</v>
      </c>
      <c r="J69" t="n">
        <v>407.27</v>
      </c>
      <c r="K69" t="n">
        <v>201.81</v>
      </c>
    </row>
    <row r="70">
      <c r="A70" s="527" t="inlineStr">
        <is>
          <t>No. of Equity Shares</t>
        </is>
      </c>
      <c r="B70" t="n">
        <v>68467514</v>
      </c>
      <c r="C70" t="n">
        <v>68704614</v>
      </c>
      <c r="D70" t="n">
        <v>68746714</v>
      </c>
      <c r="E70" t="n">
        <v>69037914</v>
      </c>
      <c r="F70" t="n">
        <v>69037914</v>
      </c>
      <c r="G70" t="n">
        <v>69037914</v>
      </c>
      <c r="H70" t="n">
        <v>69037914</v>
      </c>
      <c r="I70" t="n">
        <v>69037914</v>
      </c>
      <c r="J70" t="n">
        <v>73808451</v>
      </c>
    </row>
    <row r="71">
      <c r="A71" s="527" t="inlineStr">
        <is>
          <t>New Bonus Shares</t>
        </is>
      </c>
    </row>
    <row r="72">
      <c r="A72" s="527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531" t="n"/>
    </row>
    <row r="75">
      <c r="A75" s="531" t="n"/>
    </row>
    <row r="76">
      <c r="A76" s="531" t="n"/>
    </row>
    <row r="77">
      <c r="A77" s="531" t="n"/>
    </row>
    <row r="78">
      <c r="A78" s="531" t="n"/>
    </row>
    <row r="79">
      <c r="A79" s="531" t="n"/>
    </row>
    <row r="80">
      <c r="A80" s="528" t="inlineStr">
        <is>
          <t>CASH FLOW:</t>
        </is>
      </c>
    </row>
    <row r="81" customFormat="1" s="7">
      <c r="A81" s="6" t="inlineStr">
        <is>
          <t>Report Date</t>
        </is>
      </c>
      <c r="B81" s="5" t="n">
        <v>42825</v>
      </c>
      <c r="C81" s="5" t="n">
        <v>43190</v>
      </c>
      <c r="D81" s="5" t="n">
        <v>43555</v>
      </c>
      <c r="E81" s="5" t="n">
        <v>43921</v>
      </c>
      <c r="F81" s="5" t="n">
        <v>44286</v>
      </c>
      <c r="G81" s="5" t="n">
        <v>44651</v>
      </c>
      <c r="H81" s="5" t="n">
        <v>45016</v>
      </c>
      <c r="I81" s="5" t="n">
        <v>45382</v>
      </c>
      <c r="J81" s="5" t="n">
        <v>45747</v>
      </c>
      <c r="K81" s="5" t="n">
        <v>46112</v>
      </c>
    </row>
    <row r="82" customFormat="1" s="528">
      <c r="A82" s="531" t="inlineStr">
        <is>
          <t>Cash from Operating Activity</t>
        </is>
      </c>
      <c r="B82" t="n">
        <v>1</v>
      </c>
      <c r="C82" t="n">
        <v>-2.55</v>
      </c>
      <c r="D82" t="n">
        <v>89.02</v>
      </c>
      <c r="E82" t="n">
        <v>33.87</v>
      </c>
      <c r="F82" t="n">
        <v>76.51000000000001</v>
      </c>
      <c r="G82" t="n">
        <v>9.609999999999999</v>
      </c>
      <c r="H82" t="n">
        <v>199.66</v>
      </c>
      <c r="I82" t="n">
        <v>42.4</v>
      </c>
      <c r="J82" t="n">
        <v>282.18</v>
      </c>
      <c r="K82" t="n">
        <v>169.29</v>
      </c>
    </row>
    <row r="83" customFormat="1" s="531">
      <c r="A83" s="531" t="inlineStr">
        <is>
          <t>Cash from Investing Activity</t>
        </is>
      </c>
      <c r="B83" t="n">
        <v>-48.64</v>
      </c>
      <c r="C83" t="n">
        <v>-41.92</v>
      </c>
      <c r="D83" t="n">
        <v>-66.34999999999999</v>
      </c>
      <c r="E83" t="n">
        <v>-14.3</v>
      </c>
      <c r="F83" t="n">
        <v>-19.35</v>
      </c>
      <c r="G83" t="n">
        <v>-69.45</v>
      </c>
      <c r="H83" t="n">
        <v>-105.35</v>
      </c>
      <c r="I83" t="n">
        <v>-157.81</v>
      </c>
      <c r="J83" t="n">
        <v>-863.63</v>
      </c>
      <c r="K83" t="n">
        <v>-363.89</v>
      </c>
    </row>
    <row r="84" customFormat="1" s="531">
      <c r="A84" s="531" t="inlineStr">
        <is>
          <t>Cash from Financing Activity</t>
        </is>
      </c>
      <c r="B84" t="n">
        <v>49.36</v>
      </c>
      <c r="C84" t="n">
        <v>40.48</v>
      </c>
      <c r="D84" t="n">
        <v>-16.66</v>
      </c>
      <c r="E84" t="n">
        <v>-21.18</v>
      </c>
      <c r="F84" t="n">
        <v>-56.51</v>
      </c>
      <c r="G84" t="n">
        <v>71.94</v>
      </c>
      <c r="H84" t="n">
        <v>-87.36</v>
      </c>
      <c r="I84" t="n">
        <v>120.85</v>
      </c>
      <c r="J84" t="n">
        <v>640.25</v>
      </c>
      <c r="K84" t="n">
        <v>177.86</v>
      </c>
    </row>
    <row r="85" customFormat="1" s="528">
      <c r="A85" s="531" t="inlineStr">
        <is>
          <t>Net Cash Flow</t>
        </is>
      </c>
      <c r="B85" t="n">
        <v>1.72</v>
      </c>
      <c r="C85" t="n">
        <v>-3.99</v>
      </c>
      <c r="D85" t="n">
        <v>6.01</v>
      </c>
      <c r="E85" t="n">
        <v>-1.61</v>
      </c>
      <c r="F85" t="n">
        <v>0.65</v>
      </c>
      <c r="G85" t="n">
        <v>12.1</v>
      </c>
      <c r="H85" t="n">
        <v>6.95</v>
      </c>
      <c r="I85" t="n">
        <v>5.44</v>
      </c>
      <c r="J85" t="n">
        <v>58.8</v>
      </c>
      <c r="K85" t="n">
        <v>-16.74</v>
      </c>
    </row>
    <row r="86">
      <c r="A86" s="531" t="n"/>
    </row>
    <row r="87">
      <c r="A87" s="531" t="n"/>
    </row>
    <row r="88">
      <c r="A88" s="531" t="n"/>
    </row>
    <row r="89">
      <c r="A89" s="531" t="n"/>
    </row>
    <row r="90" customFormat="1" s="528">
      <c r="A90" s="528" t="inlineStr">
        <is>
          <t>PRICE:</t>
        </is>
      </c>
      <c r="B90" t="n">
        <v>50.95</v>
      </c>
      <c r="C90" t="n">
        <v>155.85</v>
      </c>
      <c r="D90" t="n">
        <v>81.15000000000001</v>
      </c>
      <c r="E90" t="n">
        <v>33.45</v>
      </c>
      <c r="F90" t="n">
        <v>90.5</v>
      </c>
      <c r="G90" t="n">
        <v>317.75</v>
      </c>
      <c r="H90" t="n">
        <v>484.65</v>
      </c>
      <c r="I90" t="n">
        <v>998.75</v>
      </c>
      <c r="J90" t="n">
        <v>1831.95</v>
      </c>
      <c r="K90" t="n">
        <v>1318.1</v>
      </c>
    </row>
    <row r="92" customFormat="1" s="528">
      <c r="A92" s="528" t="inlineStr">
        <is>
          <t>DERIVED:</t>
        </is>
      </c>
    </row>
    <row r="93">
      <c r="A93" s="527" t="inlineStr">
        <is>
          <t>Adjusted Equity Shares in Cr</t>
        </is>
      </c>
      <c r="B93" s="532" t="n">
        <v>6.85</v>
      </c>
      <c r="C93" s="532" t="n">
        <v>6.87</v>
      </c>
      <c r="D93" s="532" t="n">
        <v>6.87</v>
      </c>
      <c r="E93" s="532" t="n">
        <v>6.9</v>
      </c>
      <c r="F93" s="532" t="n">
        <v>6.9</v>
      </c>
      <c r="G93" s="532" t="n">
        <v>6.9</v>
      </c>
      <c r="H93" s="532" t="n">
        <v>6.9</v>
      </c>
      <c r="I93" s="532" t="n">
        <v>6.9</v>
      </c>
      <c r="J93" s="532" t="n">
        <v>7.38</v>
      </c>
      <c r="K93" s="532" t="n">
        <v>7.38</v>
      </c>
    </row>
  </sheetData>
  <mergeCells count="2">
    <mergeCell ref="E2:K2"/>
    <mergeCell ref="E1:K1"/>
  </mergeCells>
  <conditionalFormatting sqref="E1:K1">
    <cfRule type="cellIs" priority="1" operator="notEqual" dxfId="2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E1243"/>
  <sheetViews>
    <sheetView workbookViewId="0">
      <selection activeCell="E2" sqref="E2"/>
    </sheetView>
  </sheetViews>
  <sheetFormatPr baseColWidth="8" defaultRowHeight="15"/>
  <cols>
    <col width="30.140625" customWidth="1" style="380" min="1" max="1"/>
    <col width="14.140625" customWidth="1" style="380" min="2" max="2"/>
    <col width="11.85546875" bestFit="1" customWidth="1" style="380" min="3" max="3"/>
    <col width="11" customWidth="1" style="380" min="4" max="4"/>
    <col width="13.5703125" customWidth="1" style="380" min="5" max="5"/>
  </cols>
  <sheetData>
    <row r="1">
      <c r="A1" s="377" t="inlineStr">
        <is>
          <t>Company Name</t>
        </is>
      </c>
      <c r="B1" s="377" t="inlineStr">
        <is>
          <t>CD_NSE Symbol</t>
        </is>
      </c>
      <c r="C1" s="378" t="inlineStr">
        <is>
          <t>Accord Code</t>
        </is>
      </c>
      <c r="D1" s="377" t="inlineStr">
        <is>
          <t>CD_Bloomberg Code</t>
        </is>
      </c>
      <c r="E1" s="377" t="inlineStr">
        <is>
          <t>CD_ISIN No</t>
        </is>
      </c>
    </row>
    <row r="2">
      <c r="A2" s="379" t="inlineStr">
        <is>
          <t>3I Infotech Ltd</t>
        </is>
      </c>
      <c r="B2" s="379" t="inlineStr">
        <is>
          <t>3IINFOLTD</t>
        </is>
      </c>
      <c r="C2" s="380" t="n">
        <v>132628</v>
      </c>
      <c r="D2" s="379" t="inlineStr">
        <is>
          <t>III IN</t>
        </is>
      </c>
      <c r="E2" s="379" t="inlineStr">
        <is>
          <t>INE748C01038</t>
        </is>
      </c>
    </row>
    <row r="3">
      <c r="A3" s="379" t="inlineStr">
        <is>
          <t>3M India Ltd</t>
        </is>
      </c>
      <c r="B3" s="379" t="inlineStr">
        <is>
          <t>3MINDIA</t>
        </is>
      </c>
      <c r="C3" s="380" t="n">
        <v>123395</v>
      </c>
      <c r="D3" s="379" t="inlineStr">
        <is>
          <t>3M IN</t>
        </is>
      </c>
      <c r="E3" s="379" t="inlineStr">
        <is>
          <t>INE470A01017</t>
        </is>
      </c>
    </row>
    <row r="4">
      <c r="A4" s="379" t="inlineStr">
        <is>
          <t>5Paisa Capital Ltd</t>
        </is>
      </c>
      <c r="B4" s="379" t="inlineStr">
        <is>
          <t>5PAISA</t>
        </is>
      </c>
      <c r="C4" s="380" t="n">
        <v>228972</v>
      </c>
      <c r="D4" s="379" t="inlineStr">
        <is>
          <t>5PAISA IN</t>
        </is>
      </c>
      <c r="E4" s="379" t="inlineStr">
        <is>
          <t>INE618L01018</t>
        </is>
      </c>
    </row>
    <row r="5">
      <c r="A5" s="379" t="inlineStr">
        <is>
          <t>63 Moons Technologies Ltd</t>
        </is>
      </c>
      <c r="B5" s="379" t="inlineStr">
        <is>
          <t>63MOONS</t>
        </is>
      </c>
      <c r="C5" s="380" t="n">
        <v>126881</v>
      </c>
      <c r="D5" s="379" t="inlineStr">
        <is>
          <t>63MOONS IN</t>
        </is>
      </c>
      <c r="E5" s="379" t="inlineStr">
        <is>
          <t>INE111B01023</t>
        </is>
      </c>
    </row>
    <row r="6">
      <c r="A6" s="379" t="inlineStr">
        <is>
          <t>Aarti Drugs Ltd</t>
        </is>
      </c>
      <c r="B6" s="379" t="inlineStr">
        <is>
          <t>AARTIDRUGS</t>
        </is>
      </c>
      <c r="C6" s="380" t="n">
        <v>124348</v>
      </c>
      <c r="D6" s="379" t="inlineStr">
        <is>
          <t>ARTD IN</t>
        </is>
      </c>
      <c r="E6" s="379" t="inlineStr">
        <is>
          <t>INE767A01016</t>
        </is>
      </c>
    </row>
    <row r="7">
      <c r="A7" s="379" t="inlineStr">
        <is>
          <t>Aarti Industries Ltd</t>
        </is>
      </c>
      <c r="B7" s="379" t="inlineStr">
        <is>
          <t>AARTIIND</t>
        </is>
      </c>
      <c r="C7" s="380" t="n">
        <v>124208</v>
      </c>
      <c r="D7" s="379" t="inlineStr">
        <is>
          <t>ARTO IN</t>
        </is>
      </c>
      <c r="E7" s="379" t="inlineStr">
        <is>
          <t>INE769A01020</t>
        </is>
      </c>
    </row>
    <row r="8">
      <c r="A8" s="379" t="inlineStr">
        <is>
          <t>Aarti Surfactants Ltd</t>
        </is>
      </c>
      <c r="B8" s="379" t="inlineStr">
        <is>
          <t>AARTISURF</t>
        </is>
      </c>
      <c r="C8" s="380" t="n">
        <v>299121</v>
      </c>
      <c r="D8" s="379" t="inlineStr">
        <is>
          <t>AARTISUR IN</t>
        </is>
      </c>
      <c r="E8" s="379" t="inlineStr">
        <is>
          <t>INE09EO01013</t>
        </is>
      </c>
    </row>
    <row r="9">
      <c r="A9" s="379" t="inlineStr">
        <is>
          <t>Aavas Financiers Ltd</t>
        </is>
      </c>
      <c r="B9" s="379" t="inlineStr">
        <is>
          <t>AAVAS</t>
        </is>
      </c>
      <c r="C9" s="380" t="n">
        <v>267615</v>
      </c>
      <c r="D9" s="379" t="inlineStr">
        <is>
          <t>AAVAS IN</t>
        </is>
      </c>
      <c r="E9" s="379" t="inlineStr">
        <is>
          <t>INE216P01012</t>
        </is>
      </c>
    </row>
    <row r="10">
      <c r="A10" s="379" t="inlineStr">
        <is>
          <t>ABB India Ltd</t>
        </is>
      </c>
      <c r="B10" s="379" t="inlineStr">
        <is>
          <t>ABB</t>
        </is>
      </c>
      <c r="C10" s="380" t="n">
        <v>100002</v>
      </c>
      <c r="D10" s="379" t="inlineStr">
        <is>
          <t>ABB IN</t>
        </is>
      </c>
      <c r="E10" s="379" t="inlineStr">
        <is>
          <t>INE117A01022</t>
        </is>
      </c>
    </row>
    <row r="11">
      <c r="A11" s="379" t="inlineStr">
        <is>
          <t>Abbott India Ltd</t>
        </is>
      </c>
      <c r="B11" s="379" t="inlineStr">
        <is>
          <t>ABBOTINDIA</t>
        </is>
      </c>
      <c r="C11" s="380" t="n">
        <v>100488</v>
      </c>
      <c r="D11" s="379" t="inlineStr">
        <is>
          <t>BOOT IN</t>
        </is>
      </c>
      <c r="E11" s="379" t="inlineStr">
        <is>
          <t>INE358A01014</t>
        </is>
      </c>
    </row>
    <row r="12">
      <c r="A12" s="379" t="inlineStr">
        <is>
          <t>ACC Ltd</t>
        </is>
      </c>
      <c r="B12" s="379" t="inlineStr">
        <is>
          <t>ACC</t>
        </is>
      </c>
      <c r="C12" s="380" t="n">
        <v>100410</v>
      </c>
      <c r="D12" s="379" t="inlineStr">
        <is>
          <t>ACC IN</t>
        </is>
      </c>
      <c r="E12" s="379" t="inlineStr">
        <is>
          <t>INE012A01025</t>
        </is>
      </c>
    </row>
    <row r="13">
      <c r="A13" s="379" t="inlineStr">
        <is>
          <t>Accelya Solutions India Ltd</t>
        </is>
      </c>
      <c r="B13" s="379" t="inlineStr">
        <is>
          <t>ACCELYA</t>
        </is>
      </c>
      <c r="C13" s="380" t="n">
        <v>132268</v>
      </c>
      <c r="D13" s="379" t="inlineStr">
        <is>
          <t>ACCELYA IN</t>
        </is>
      </c>
      <c r="E13" s="379" t="inlineStr">
        <is>
          <t>INE793A01012</t>
        </is>
      </c>
    </row>
    <row r="14">
      <c r="A14" s="379" t="inlineStr">
        <is>
          <t>Acrysil Ltd</t>
        </is>
      </c>
      <c r="B14" s="379" t="inlineStr">
        <is>
          <t>ACRYSIL</t>
        </is>
      </c>
      <c r="C14" s="380" t="n">
        <v>124091</v>
      </c>
      <c r="D14" s="379" t="inlineStr">
        <is>
          <t>ACRY IN</t>
        </is>
      </c>
      <c r="E14" s="379" t="inlineStr">
        <is>
          <t>INE482D01024</t>
        </is>
      </c>
    </row>
    <row r="15">
      <c r="A15" s="379" t="inlineStr">
        <is>
          <t>Action Construction Equipment Ltd</t>
        </is>
      </c>
      <c r="B15" s="379" t="inlineStr">
        <is>
          <t>ACE</t>
        </is>
      </c>
      <c r="C15" s="380" t="n">
        <v>132762</v>
      </c>
      <c r="D15" s="379" t="inlineStr">
        <is>
          <t>ACCE IN</t>
        </is>
      </c>
      <c r="E15" s="379" t="inlineStr">
        <is>
          <t>INE731H01025</t>
        </is>
      </c>
    </row>
    <row r="16">
      <c r="A16" s="379" t="inlineStr">
        <is>
          <t>Adani Enterprises Ltd</t>
        </is>
      </c>
      <c r="B16" s="379" t="inlineStr">
        <is>
          <t>ADANIENT</t>
        </is>
      </c>
      <c r="C16" s="380" t="n">
        <v>112599</v>
      </c>
      <c r="D16" s="379" t="inlineStr">
        <is>
          <t>ADE IN</t>
        </is>
      </c>
      <c r="E16" s="379" t="inlineStr">
        <is>
          <t>INE423A01024</t>
        </is>
      </c>
    </row>
    <row r="17">
      <c r="A17" s="379" t="inlineStr">
        <is>
          <t>Adani Green Energy Ltd</t>
        </is>
      </c>
      <c r="B17" s="379" t="inlineStr">
        <is>
          <t>ADANIGREEN</t>
        </is>
      </c>
      <c r="C17" s="380" t="n">
        <v>289554</v>
      </c>
      <c r="D17" s="379" t="inlineStr">
        <is>
          <t>ADANIGR IN</t>
        </is>
      </c>
      <c r="E17" s="379" t="inlineStr">
        <is>
          <t>INE364U01010</t>
        </is>
      </c>
    </row>
    <row r="18">
      <c r="A18" s="379" t="inlineStr">
        <is>
          <t>Adani Ports and Special Economic Zone Ltd</t>
        </is>
      </c>
      <c r="B18" s="379" t="inlineStr">
        <is>
          <t>ADANIPORTS</t>
        </is>
      </c>
      <c r="C18" s="380" t="n">
        <v>132921</v>
      </c>
      <c r="D18" s="379" t="inlineStr">
        <is>
          <t>ADSEZ IN</t>
        </is>
      </c>
      <c r="E18" s="379" t="inlineStr">
        <is>
          <t>INE742F01042</t>
        </is>
      </c>
    </row>
    <row r="19">
      <c r="A19" s="379" t="inlineStr">
        <is>
          <t>Adani Power Ltd</t>
        </is>
      </c>
      <c r="B19" s="379" t="inlineStr">
        <is>
          <t>ADANIPOWER</t>
        </is>
      </c>
      <c r="C19" s="380" t="n">
        <v>209867</v>
      </c>
      <c r="D19" s="379" t="inlineStr">
        <is>
          <t>ADANI IN</t>
        </is>
      </c>
      <c r="E19" s="379" t="inlineStr">
        <is>
          <t>INE814H01011</t>
        </is>
      </c>
    </row>
    <row r="20">
      <c r="A20" s="379" t="inlineStr">
        <is>
          <t>Adani Total Gas Ltd</t>
        </is>
      </c>
      <c r="B20" s="379" t="inlineStr">
        <is>
          <t>ATGL</t>
        </is>
      </c>
      <c r="C20" s="380" t="n">
        <v>228347</v>
      </c>
      <c r="D20" s="379" t="inlineStr">
        <is>
          <t>ATGL IN</t>
        </is>
      </c>
      <c r="E20" s="379" t="inlineStr">
        <is>
          <t>INE399L01023</t>
        </is>
      </c>
    </row>
    <row r="21">
      <c r="A21" s="379" t="inlineStr">
        <is>
          <t>Adani Transmission Ltd</t>
        </is>
      </c>
      <c r="B21" s="379" t="inlineStr">
        <is>
          <t>ADANITRANS</t>
        </is>
      </c>
      <c r="C21" s="380" t="n">
        <v>271875</v>
      </c>
      <c r="D21" s="379" t="inlineStr">
        <is>
          <t>ADANIT IN</t>
        </is>
      </c>
      <c r="E21" s="379" t="inlineStr">
        <is>
          <t>INE931S01010</t>
        </is>
      </c>
    </row>
    <row r="22">
      <c r="A22" s="379" t="inlineStr">
        <is>
          <t>ADF Foods Ltd</t>
        </is>
      </c>
      <c r="B22" s="379" t="inlineStr">
        <is>
          <t>ADFFOODS</t>
        </is>
      </c>
      <c r="C22" s="380" t="n">
        <v>119183</v>
      </c>
      <c r="D22" s="379" t="inlineStr">
        <is>
          <t>ADFL IN</t>
        </is>
      </c>
      <c r="E22" s="379" t="inlineStr">
        <is>
          <t>INE982B01019</t>
        </is>
      </c>
    </row>
    <row r="23">
      <c r="A23" s="379" t="inlineStr">
        <is>
          <t>Aditya Birla Capital Ltd</t>
        </is>
      </c>
      <c r="B23" s="379" t="inlineStr">
        <is>
          <t>ABCAPITAL</t>
        </is>
      </c>
      <c r="C23" s="380" t="n">
        <v>242461</v>
      </c>
      <c r="D23" s="379" t="inlineStr">
        <is>
          <t>ABCAP IN</t>
        </is>
      </c>
      <c r="E23" s="379" t="inlineStr">
        <is>
          <t>INE674K01013</t>
        </is>
      </c>
    </row>
    <row r="24">
      <c r="A24" s="379" t="inlineStr">
        <is>
          <t>Aditya Birla Fashion and Retail Ltd</t>
        </is>
      </c>
      <c r="B24" s="379" t="inlineStr">
        <is>
          <t>ABFRL</t>
        </is>
      </c>
      <c r="C24" s="380" t="n">
        <v>210591</v>
      </c>
      <c r="D24" s="379" t="inlineStr">
        <is>
          <t>ABFRL IN</t>
        </is>
      </c>
      <c r="E24" s="379" t="inlineStr">
        <is>
          <t>INE647O01011</t>
        </is>
      </c>
    </row>
    <row r="25">
      <c r="A25" s="379" t="inlineStr">
        <is>
          <t>Aditya Birla Sun Life AMC Ltd</t>
        </is>
      </c>
      <c r="B25" s="379" t="inlineStr">
        <is>
          <t>ABSLAMC</t>
        </is>
      </c>
      <c r="C25" s="380" t="n">
        <v>209979</v>
      </c>
      <c r="D25" s="379" t="inlineStr">
        <is>
          <t>ABSLAMC IN</t>
        </is>
      </c>
      <c r="E25" s="379" t="inlineStr">
        <is>
          <t>INE404A01024</t>
        </is>
      </c>
    </row>
    <row r="26">
      <c r="A26" s="379" t="inlineStr">
        <is>
          <t>Aditya Vision Ltd</t>
        </is>
      </c>
      <c r="B26" s="379" t="n"/>
      <c r="C26" s="380" t="n">
        <v>283206</v>
      </c>
      <c r="D26" s="379" t="inlineStr">
        <is>
          <t>AVL IN</t>
        </is>
      </c>
      <c r="E26" s="379" t="inlineStr">
        <is>
          <t>INE679V01019</t>
        </is>
      </c>
    </row>
    <row r="27">
      <c r="A27" s="379" t="inlineStr">
        <is>
          <t>Ador Welding Ltd</t>
        </is>
      </c>
      <c r="B27" s="379" t="inlineStr">
        <is>
          <t>ADORWELD</t>
        </is>
      </c>
      <c r="C27" s="380" t="n">
        <v>117041</v>
      </c>
      <c r="D27" s="379" t="inlineStr">
        <is>
          <t>AWL IN</t>
        </is>
      </c>
      <c r="E27" s="379" t="inlineStr">
        <is>
          <t>INE045A01017</t>
        </is>
      </c>
    </row>
    <row r="28">
      <c r="A28" s="379" t="inlineStr">
        <is>
          <t>Advanced Enzyme Technologies Ltd</t>
        </is>
      </c>
      <c r="B28" s="379" t="inlineStr">
        <is>
          <t>ADVENZYMES</t>
        </is>
      </c>
      <c r="C28" s="380" t="n">
        <v>207679</v>
      </c>
      <c r="D28" s="379" t="inlineStr">
        <is>
          <t>ADVENZY IN</t>
        </is>
      </c>
      <c r="E28" s="379" t="inlineStr">
        <is>
          <t>INE837H01020</t>
        </is>
      </c>
    </row>
    <row r="29">
      <c r="A29" s="379" t="inlineStr">
        <is>
          <t>Aegis Logistics Ltd</t>
        </is>
      </c>
      <c r="B29" s="379" t="inlineStr">
        <is>
          <t>AEGISCHEM</t>
        </is>
      </c>
      <c r="C29" s="380" t="n">
        <v>100003</v>
      </c>
      <c r="D29" s="379" t="inlineStr">
        <is>
          <t>AGIS IN</t>
        </is>
      </c>
      <c r="E29" s="379" t="inlineStr">
        <is>
          <t>INE208C01025</t>
        </is>
      </c>
    </row>
    <row r="30">
      <c r="A30" s="379" t="inlineStr">
        <is>
          <t>Affle (India) Ltd</t>
        </is>
      </c>
      <c r="B30" s="379" t="inlineStr">
        <is>
          <t>AFFLE</t>
        </is>
      </c>
      <c r="C30" s="380" t="n">
        <v>229238</v>
      </c>
      <c r="D30" s="379" t="inlineStr">
        <is>
          <t>AFFLE IN</t>
        </is>
      </c>
      <c r="E30" s="379" t="inlineStr">
        <is>
          <t>INE00WC01027</t>
        </is>
      </c>
    </row>
    <row r="31">
      <c r="A31" s="379" t="inlineStr">
        <is>
          <t>Agarwal Industrial Corporation Ltd</t>
        </is>
      </c>
      <c r="B31" s="379" t="inlineStr">
        <is>
          <t>AGARIND</t>
        </is>
      </c>
      <c r="C31" s="380" t="n">
        <v>131921</v>
      </c>
      <c r="D31" s="379" t="inlineStr">
        <is>
          <t>AGAR IN</t>
        </is>
      </c>
      <c r="E31" s="379" t="inlineStr">
        <is>
          <t>INE204E01012</t>
        </is>
      </c>
    </row>
    <row r="32">
      <c r="A32" s="379" t="inlineStr">
        <is>
          <t>Agro Tech Foods Ltd</t>
        </is>
      </c>
      <c r="B32" s="379" t="inlineStr">
        <is>
          <t>ATFL</t>
        </is>
      </c>
      <c r="C32" s="380" t="n">
        <v>100215</v>
      </c>
      <c r="D32" s="379" t="inlineStr">
        <is>
          <t>ATFL IN</t>
        </is>
      </c>
      <c r="E32" s="379" t="inlineStr">
        <is>
          <t>INE209A01019</t>
        </is>
      </c>
    </row>
    <row r="33">
      <c r="A33" s="379" t="inlineStr">
        <is>
          <t>Ahluwalia Contracts (India) Ltd</t>
        </is>
      </c>
      <c r="B33" s="379" t="inlineStr">
        <is>
          <t>AHLUCONT</t>
        </is>
      </c>
      <c r="C33" s="380" t="n">
        <v>132811</v>
      </c>
      <c r="D33" s="379" t="inlineStr">
        <is>
          <t>AHLU IN</t>
        </is>
      </c>
      <c r="E33" s="379" t="inlineStr">
        <is>
          <t>INE758C01029</t>
        </is>
      </c>
    </row>
    <row r="34">
      <c r="A34" s="379" t="inlineStr">
        <is>
          <t>AIA Engineering Ltd</t>
        </is>
      </c>
      <c r="B34" s="379" t="inlineStr">
        <is>
          <t>AIAENG</t>
        </is>
      </c>
      <c r="C34" s="380" t="n">
        <v>132683</v>
      </c>
      <c r="D34" s="379" t="inlineStr">
        <is>
          <t>AIAE IN</t>
        </is>
      </c>
      <c r="E34" s="379" t="inlineStr">
        <is>
          <t>INE212H01026</t>
        </is>
      </c>
    </row>
    <row r="35">
      <c r="A35" s="379" t="inlineStr">
        <is>
          <t>Ajanta Pharma Ltd</t>
        </is>
      </c>
      <c r="B35" s="379" t="inlineStr">
        <is>
          <t>AJANTPHARM</t>
        </is>
      </c>
      <c r="C35" s="380" t="n">
        <v>132331</v>
      </c>
      <c r="D35" s="379" t="inlineStr">
        <is>
          <t>AJP IN</t>
        </is>
      </c>
      <c r="E35" s="379" t="inlineStr">
        <is>
          <t>INE031B01049</t>
        </is>
      </c>
    </row>
    <row r="36">
      <c r="A36" s="379" t="inlineStr">
        <is>
          <t>Ajmera Realty &amp; Infra India Ltd</t>
        </is>
      </c>
      <c r="B36" s="379" t="inlineStr">
        <is>
          <t>AJMERA</t>
        </is>
      </c>
      <c r="C36" s="380" t="n">
        <v>113349</v>
      </c>
      <c r="D36" s="379" t="inlineStr">
        <is>
          <t>AREAL IN</t>
        </is>
      </c>
      <c r="E36" s="379" t="inlineStr">
        <is>
          <t>INE298G01027</t>
        </is>
      </c>
    </row>
    <row r="37">
      <c r="A37" s="379" t="inlineStr">
        <is>
          <t>Akzo Nobel India Ltd</t>
        </is>
      </c>
      <c r="B37" s="379" t="inlineStr">
        <is>
          <t>AKZOINDIA</t>
        </is>
      </c>
      <c r="C37" s="380" t="n">
        <v>100710</v>
      </c>
      <c r="D37" s="379" t="inlineStr">
        <is>
          <t>AKZO IN</t>
        </is>
      </c>
      <c r="E37" s="379" t="inlineStr">
        <is>
          <t>INE133A01011</t>
        </is>
      </c>
    </row>
    <row r="38">
      <c r="A38" s="379" t="inlineStr">
        <is>
          <t>Alembic Ltd</t>
        </is>
      </c>
      <c r="B38" s="379" t="inlineStr">
        <is>
          <t>ALEMBICLTD</t>
        </is>
      </c>
      <c r="C38" s="380" t="n">
        <v>106235</v>
      </c>
      <c r="D38" s="379" t="inlineStr">
        <is>
          <t>ALBC IN</t>
        </is>
      </c>
      <c r="E38" s="379" t="inlineStr">
        <is>
          <t>INE426A01027</t>
        </is>
      </c>
    </row>
    <row r="39">
      <c r="A39" s="379" t="inlineStr">
        <is>
          <t>Alembic Pharmaceuticals Ltd</t>
        </is>
      </c>
      <c r="B39" s="379" t="inlineStr">
        <is>
          <t>APLLTD</t>
        </is>
      </c>
      <c r="C39" s="380" t="n">
        <v>224849</v>
      </c>
      <c r="D39" s="379" t="inlineStr">
        <is>
          <t>ALPM IN</t>
        </is>
      </c>
      <c r="E39" s="379" t="inlineStr">
        <is>
          <t>INE901L01018</t>
        </is>
      </c>
    </row>
    <row r="40">
      <c r="A40" s="379" t="inlineStr">
        <is>
          <t>Alicon Castalloy Ltd</t>
        </is>
      </c>
      <c r="B40" s="379" t="inlineStr">
        <is>
          <t>ALICON</t>
        </is>
      </c>
      <c r="C40" s="380" t="n">
        <v>131147</v>
      </c>
      <c r="D40" s="379" t="inlineStr">
        <is>
          <t>ALIC IN</t>
        </is>
      </c>
      <c r="E40" s="379" t="inlineStr">
        <is>
          <t>INE062D01024</t>
        </is>
      </c>
    </row>
    <row r="41">
      <c r="A41" s="379" t="inlineStr">
        <is>
          <t>Alkem Laboratories Ltd</t>
        </is>
      </c>
      <c r="B41" s="379" t="inlineStr">
        <is>
          <t>ALKEM</t>
        </is>
      </c>
      <c r="C41" s="380" t="n">
        <v>212427</v>
      </c>
      <c r="D41" s="379" t="inlineStr">
        <is>
          <t>ALKEM IN</t>
        </is>
      </c>
      <c r="E41" s="379" t="inlineStr">
        <is>
          <t>INE540L01014</t>
        </is>
      </c>
    </row>
    <row r="42">
      <c r="A42" s="379" t="inlineStr">
        <is>
          <t>Alkyl Amines Chemicals Ltd</t>
        </is>
      </c>
      <c r="B42" s="379" t="inlineStr">
        <is>
          <t>ALKYLAMINE</t>
        </is>
      </c>
      <c r="C42" s="380" t="n">
        <v>106767</v>
      </c>
      <c r="D42" s="379" t="inlineStr">
        <is>
          <t>AACL IN</t>
        </is>
      </c>
      <c r="E42" s="379" t="inlineStr">
        <is>
          <t>INE150B01039</t>
        </is>
      </c>
    </row>
    <row r="43">
      <c r="A43" s="379" t="inlineStr">
        <is>
          <t>Allcargo Logistics Ltd</t>
        </is>
      </c>
      <c r="B43" s="379" t="inlineStr">
        <is>
          <t>ALLCARGO</t>
        </is>
      </c>
      <c r="C43" s="380" t="n">
        <v>132749</v>
      </c>
      <c r="D43" s="379" t="inlineStr">
        <is>
          <t>AGLL IN</t>
        </is>
      </c>
      <c r="E43" s="379" t="inlineStr">
        <is>
          <t>INE418H01029</t>
        </is>
      </c>
    </row>
    <row r="44">
      <c r="A44" s="379" t="inlineStr">
        <is>
          <t>Allied Digital Services Ltd</t>
        </is>
      </c>
      <c r="B44" s="379" t="inlineStr">
        <is>
          <t>ADSL</t>
        </is>
      </c>
      <c r="C44" s="380" t="n">
        <v>132875</v>
      </c>
      <c r="D44" s="379" t="inlineStr">
        <is>
          <t>ALDS IN</t>
        </is>
      </c>
      <c r="E44" s="379" t="inlineStr">
        <is>
          <t>INE102I01027</t>
        </is>
      </c>
    </row>
    <row r="45">
      <c r="A45" s="379" t="inlineStr">
        <is>
          <t>Allsec Technologies Ltd</t>
        </is>
      </c>
      <c r="B45" s="379" t="inlineStr">
        <is>
          <t>ALLSEC</t>
        </is>
      </c>
      <c r="C45" s="380" t="n">
        <v>132633</v>
      </c>
      <c r="D45" s="379" t="inlineStr">
        <is>
          <t>ALLT IN</t>
        </is>
      </c>
      <c r="E45" s="379" t="inlineStr">
        <is>
          <t>INE835G01018</t>
        </is>
      </c>
    </row>
    <row r="46">
      <c r="A46" s="379" t="inlineStr">
        <is>
          <t>Alok Industries Ltd</t>
        </is>
      </c>
      <c r="B46" s="379" t="inlineStr">
        <is>
          <t>ALOKINDS</t>
        </is>
      </c>
      <c r="C46" s="380" t="n">
        <v>121070</v>
      </c>
      <c r="D46" s="379" t="inlineStr">
        <is>
          <t>ALOK IN</t>
        </is>
      </c>
      <c r="E46" s="379" t="inlineStr">
        <is>
          <t>INE270A01029</t>
        </is>
      </c>
    </row>
    <row r="47">
      <c r="A47" s="379" t="inlineStr">
        <is>
          <t>Amara Raja Batteries Ltd</t>
        </is>
      </c>
      <c r="B47" s="379" t="inlineStr">
        <is>
          <t>AMARAJABAT</t>
        </is>
      </c>
      <c r="C47" s="380" t="n">
        <v>100008</v>
      </c>
      <c r="D47" s="379" t="inlineStr">
        <is>
          <t>AMRJ IN</t>
        </is>
      </c>
      <c r="E47" s="379" t="inlineStr">
        <is>
          <t>INE885A01032</t>
        </is>
      </c>
    </row>
    <row r="48">
      <c r="A48" s="379" t="inlineStr">
        <is>
          <t>Amber Enterprises India Ltd</t>
        </is>
      </c>
      <c r="B48" s="379" t="inlineStr">
        <is>
          <t>AMBER</t>
        </is>
      </c>
      <c r="C48" s="380" t="n">
        <v>225154</v>
      </c>
      <c r="D48" s="379" t="inlineStr">
        <is>
          <t>AMBER IN</t>
        </is>
      </c>
      <c r="E48" s="379" t="inlineStr">
        <is>
          <t>INE371P01015</t>
        </is>
      </c>
    </row>
    <row r="49">
      <c r="A49" s="379" t="inlineStr">
        <is>
          <t>Ambika Cotton Mills Ltd</t>
        </is>
      </c>
      <c r="B49" s="379" t="inlineStr">
        <is>
          <t>AMBIKCO</t>
        </is>
      </c>
      <c r="C49" s="380" t="n">
        <v>131978</v>
      </c>
      <c r="D49" s="379" t="inlineStr">
        <is>
          <t>ACML IN</t>
        </is>
      </c>
      <c r="E49" s="379" t="inlineStr">
        <is>
          <t>INE540G01014</t>
        </is>
      </c>
    </row>
    <row r="50">
      <c r="A50" s="379" t="inlineStr">
        <is>
          <t>Ambuja Cements Ltd</t>
        </is>
      </c>
      <c r="B50" s="379" t="inlineStr">
        <is>
          <t>AMBUJACEM</t>
        </is>
      </c>
      <c r="C50" s="380" t="n">
        <v>100425</v>
      </c>
      <c r="D50" s="379" t="inlineStr">
        <is>
          <t>ACEM IN</t>
        </is>
      </c>
      <c r="E50" s="379" t="inlineStr">
        <is>
          <t>INE079A01024</t>
        </is>
      </c>
    </row>
    <row r="51">
      <c r="A51" s="379" t="inlineStr">
        <is>
          <t>AMI Organics Ltd</t>
        </is>
      </c>
      <c r="B51" s="379" t="inlineStr">
        <is>
          <t>AMIORG</t>
        </is>
      </c>
      <c r="C51" s="380" t="n">
        <v>232793</v>
      </c>
      <c r="D51" s="379" t="inlineStr">
        <is>
          <t>AMIORG IN</t>
        </is>
      </c>
      <c r="E51" s="379" t="inlineStr">
        <is>
          <t>INE00FF01017</t>
        </is>
      </c>
    </row>
    <row r="52">
      <c r="A52" s="379" t="inlineStr">
        <is>
          <t>Amines &amp; Plasticizers Ltd</t>
        </is>
      </c>
      <c r="B52" s="379" t="n"/>
      <c r="C52" s="380" t="n">
        <v>106248</v>
      </c>
      <c r="D52" s="379" t="inlineStr">
        <is>
          <t>ANPL IN</t>
        </is>
      </c>
      <c r="E52" s="379" t="inlineStr">
        <is>
          <t>INE275D01022</t>
        </is>
      </c>
    </row>
    <row r="53">
      <c r="A53" s="379" t="inlineStr">
        <is>
          <t>Amrutanjan Health Care Ltd</t>
        </is>
      </c>
      <c r="B53" s="379" t="inlineStr">
        <is>
          <t>AMRUTANJAN</t>
        </is>
      </c>
      <c r="C53" s="380" t="n">
        <v>190006</v>
      </c>
      <c r="D53" s="379" t="inlineStr">
        <is>
          <t>ARJN IN</t>
        </is>
      </c>
      <c r="E53" s="379" t="inlineStr">
        <is>
          <t>INE098F01031</t>
        </is>
      </c>
    </row>
    <row r="54">
      <c r="A54" s="379" t="inlineStr">
        <is>
          <t>Anand Rathi Wealth Ltd</t>
        </is>
      </c>
      <c r="B54" s="379" t="inlineStr">
        <is>
          <t>ANANDRATHI</t>
        </is>
      </c>
      <c r="C54" s="380" t="n">
        <v>226156</v>
      </c>
      <c r="D54" s="379" t="inlineStr">
        <is>
          <t>ANANDRAT IN</t>
        </is>
      </c>
      <c r="E54" s="379" t="inlineStr">
        <is>
          <t>INE463V01026</t>
        </is>
      </c>
    </row>
    <row r="55">
      <c r="A55" s="379" t="inlineStr">
        <is>
          <t>Anant Raj Ltd</t>
        </is>
      </c>
      <c r="B55" s="379" t="inlineStr">
        <is>
          <t>ANANTRAJ</t>
        </is>
      </c>
      <c r="C55" s="380" t="n">
        <v>115055</v>
      </c>
      <c r="D55" s="379" t="inlineStr">
        <is>
          <t>ARCP IN</t>
        </is>
      </c>
      <c r="E55" s="379" t="inlineStr">
        <is>
          <t>INE242C01024</t>
        </is>
      </c>
    </row>
    <row r="56">
      <c r="A56" s="379" t="inlineStr">
        <is>
          <t>Andhra Paper Ltd</t>
        </is>
      </c>
      <c r="B56" s="379" t="inlineStr">
        <is>
          <t>ANDHRAPAP</t>
        </is>
      </c>
      <c r="C56" s="380" t="n">
        <v>102330</v>
      </c>
      <c r="D56" s="379" t="inlineStr">
        <is>
          <t>ANHPR IN</t>
        </is>
      </c>
      <c r="E56" s="379" t="inlineStr">
        <is>
          <t>INE435A01028</t>
        </is>
      </c>
    </row>
    <row r="57">
      <c r="A57" s="379" t="inlineStr">
        <is>
          <t>Andhra Petrochemicals Ltd</t>
        </is>
      </c>
      <c r="B57" s="379" t="inlineStr">
        <is>
          <t>ANDHRAPET</t>
        </is>
      </c>
      <c r="C57" s="380" t="n">
        <v>100012</v>
      </c>
      <c r="D57" s="379" t="inlineStr">
        <is>
          <t>ANDP IN</t>
        </is>
      </c>
      <c r="E57" s="379" t="inlineStr">
        <is>
          <t>INE714B01016</t>
        </is>
      </c>
    </row>
    <row r="58">
      <c r="A58" s="379" t="inlineStr">
        <is>
          <t>Andrew Yule &amp; Company Ltd</t>
        </is>
      </c>
      <c r="B58" s="379" t="inlineStr">
        <is>
          <t>ANDREWYU</t>
        </is>
      </c>
      <c r="C58" s="380" t="n">
        <v>126173</v>
      </c>
      <c r="D58" s="379" t="inlineStr">
        <is>
          <t>ANY IN</t>
        </is>
      </c>
      <c r="E58" s="379" t="inlineStr">
        <is>
          <t>INE449C01025</t>
        </is>
      </c>
    </row>
    <row r="59">
      <c r="A59" s="379" t="inlineStr">
        <is>
          <t>Angel One Ltd</t>
        </is>
      </c>
      <c r="B59" s="379" t="inlineStr">
        <is>
          <t>ANGELONE</t>
        </is>
      </c>
      <c r="C59" s="380" t="n">
        <v>209902</v>
      </c>
      <c r="D59" s="379" t="inlineStr">
        <is>
          <t>ANGELONE IN</t>
        </is>
      </c>
      <c r="E59" s="379" t="inlineStr">
        <is>
          <t>INE732I01013</t>
        </is>
      </c>
    </row>
    <row r="60">
      <c r="A60" s="379" t="inlineStr">
        <is>
          <t>Anjani Portland Cement Ltd</t>
        </is>
      </c>
      <c r="B60" s="379" t="inlineStr">
        <is>
          <t>APCL</t>
        </is>
      </c>
      <c r="C60" s="380" t="n">
        <v>118091</v>
      </c>
      <c r="D60" s="379" t="inlineStr">
        <is>
          <t>SHZC IN</t>
        </is>
      </c>
      <c r="E60" s="379" t="inlineStr">
        <is>
          <t>INE071F01012</t>
        </is>
      </c>
    </row>
    <row r="61">
      <c r="A61" s="379" t="inlineStr">
        <is>
          <t>Antony Waste Handling Cell Ltd</t>
        </is>
      </c>
      <c r="B61" s="379" t="inlineStr">
        <is>
          <t>AWHCL</t>
        </is>
      </c>
      <c r="C61" s="380" t="n">
        <v>277374</v>
      </c>
      <c r="D61" s="379" t="inlineStr">
        <is>
          <t>AWHCL IN</t>
        </is>
      </c>
      <c r="E61" s="379" t="inlineStr">
        <is>
          <t>INE01BK01022</t>
        </is>
      </c>
    </row>
    <row r="62">
      <c r="A62" s="379" t="inlineStr">
        <is>
          <t>Anuh Pharma Ltd</t>
        </is>
      </c>
      <c r="B62" s="379" t="n"/>
      <c r="C62" s="380" t="n">
        <v>106260</v>
      </c>
      <c r="D62" s="379" t="inlineStr">
        <is>
          <t>ANUH IN</t>
        </is>
      </c>
      <c r="E62" s="379" t="inlineStr">
        <is>
          <t>INE489G01022</t>
        </is>
      </c>
    </row>
    <row r="63">
      <c r="A63" s="379" t="inlineStr">
        <is>
          <t>Anupam Rasayan India Ltd</t>
        </is>
      </c>
      <c r="B63" s="379" t="inlineStr">
        <is>
          <t>ANURAS</t>
        </is>
      </c>
      <c r="C63" s="380" t="n">
        <v>226328</v>
      </c>
      <c r="D63" s="379" t="inlineStr">
        <is>
          <t>ANURAS IN</t>
        </is>
      </c>
      <c r="E63" s="379" t="inlineStr">
        <is>
          <t>INE930P01018</t>
        </is>
      </c>
    </row>
    <row r="64">
      <c r="A64" s="379" t="inlineStr">
        <is>
          <t>Apar Industries Ltd</t>
        </is>
      </c>
      <c r="B64" s="379" t="inlineStr">
        <is>
          <t>APARINDS</t>
        </is>
      </c>
      <c r="C64" s="380" t="n">
        <v>132259</v>
      </c>
      <c r="D64" s="379" t="inlineStr">
        <is>
          <t>APR IN</t>
        </is>
      </c>
      <c r="E64" s="379" t="inlineStr">
        <is>
          <t>INE372A01015</t>
        </is>
      </c>
    </row>
    <row r="65">
      <c r="A65" s="379" t="inlineStr">
        <is>
          <t>Apcotex Industries Ltd</t>
        </is>
      </c>
      <c r="B65" s="379" t="inlineStr">
        <is>
          <t>APCOTEXIND</t>
        </is>
      </c>
      <c r="C65" s="380" t="n">
        <v>123694</v>
      </c>
      <c r="D65" s="379" t="inlineStr">
        <is>
          <t>APCO IN</t>
        </is>
      </c>
      <c r="E65" s="379" t="inlineStr">
        <is>
          <t>INE116A01032</t>
        </is>
      </c>
    </row>
    <row r="66">
      <c r="A66" s="379" t="inlineStr">
        <is>
          <t>Apex Frozen Foods Ltd</t>
        </is>
      </c>
      <c r="B66" s="379" t="inlineStr">
        <is>
          <t>APEX</t>
        </is>
      </c>
      <c r="C66" s="380" t="n">
        <v>285359</v>
      </c>
      <c r="D66" s="379" t="inlineStr">
        <is>
          <t>APEX IN</t>
        </is>
      </c>
      <c r="E66" s="379" t="inlineStr">
        <is>
          <t>INE346W01013</t>
        </is>
      </c>
    </row>
    <row r="67">
      <c r="A67" s="379" t="inlineStr">
        <is>
          <t>APL Apollo Tubes Ltd</t>
        </is>
      </c>
      <c r="B67" s="379" t="inlineStr">
        <is>
          <t>APLAPOLLO</t>
        </is>
      </c>
      <c r="C67" s="380" t="n">
        <v>190059</v>
      </c>
      <c r="D67" s="379" t="inlineStr">
        <is>
          <t>APAT IN</t>
        </is>
      </c>
      <c r="E67" s="379" t="inlineStr">
        <is>
          <t>INE702C01027</t>
        </is>
      </c>
    </row>
    <row r="68">
      <c r="A68" s="379" t="inlineStr">
        <is>
          <t>Apollo Hospitals Enterprise Ltd</t>
        </is>
      </c>
      <c r="B68" s="379" t="inlineStr">
        <is>
          <t>APOLLOHOSP</t>
        </is>
      </c>
      <c r="C68" s="380" t="n">
        <v>108869</v>
      </c>
      <c r="D68" s="379" t="inlineStr">
        <is>
          <t>APHS IN</t>
        </is>
      </c>
      <c r="E68" s="379" t="inlineStr">
        <is>
          <t>INE437A01024</t>
        </is>
      </c>
    </row>
    <row r="69">
      <c r="A69" s="379" t="inlineStr">
        <is>
          <t>Apollo Pipes Ltd</t>
        </is>
      </c>
      <c r="B69" s="379" t="inlineStr">
        <is>
          <t>APOLLOPIPE</t>
        </is>
      </c>
      <c r="C69" s="380" t="n">
        <v>131761</v>
      </c>
      <c r="D69" s="379" t="inlineStr">
        <is>
          <t>APOLP IN</t>
        </is>
      </c>
      <c r="E69" s="379" t="inlineStr">
        <is>
          <t>INE126J01016</t>
        </is>
      </c>
    </row>
    <row r="70">
      <c r="A70" s="379" t="inlineStr">
        <is>
          <t>Apollo Tricoat Tubes Ltd</t>
        </is>
      </c>
      <c r="B70" s="379" t="n"/>
      <c r="C70" s="380" t="n">
        <v>267529</v>
      </c>
      <c r="D70" s="379" t="inlineStr">
        <is>
          <t>APOLTRI IN</t>
        </is>
      </c>
      <c r="E70" s="379" t="inlineStr">
        <is>
          <t>INE919P01029</t>
        </is>
      </c>
    </row>
    <row r="71">
      <c r="A71" s="379" t="inlineStr">
        <is>
          <t>Apollo Tyres Ltd</t>
        </is>
      </c>
      <c r="B71" s="379" t="inlineStr">
        <is>
          <t>APOLLOTYRE</t>
        </is>
      </c>
      <c r="C71" s="380" t="n">
        <v>100877</v>
      </c>
      <c r="D71" s="379" t="inlineStr">
        <is>
          <t>APTY IN</t>
        </is>
      </c>
      <c r="E71" s="379" t="inlineStr">
        <is>
          <t>INE438A01022</t>
        </is>
      </c>
    </row>
    <row r="72">
      <c r="A72" s="379" t="inlineStr">
        <is>
          <t>Aptech Ltd</t>
        </is>
      </c>
      <c r="B72" s="379" t="inlineStr">
        <is>
          <t>APTECHT</t>
        </is>
      </c>
      <c r="C72" s="380" t="n">
        <v>132475</v>
      </c>
      <c r="D72" s="379" t="inlineStr">
        <is>
          <t>APTR IN</t>
        </is>
      </c>
      <c r="E72" s="379" t="inlineStr">
        <is>
          <t>INE266F01018</t>
        </is>
      </c>
    </row>
    <row r="73">
      <c r="A73" s="379" t="inlineStr">
        <is>
          <t>Aptus Value Housing Finance India Ltd</t>
        </is>
      </c>
      <c r="B73" s="379" t="inlineStr">
        <is>
          <t>APTUS</t>
        </is>
      </c>
      <c r="C73" s="380" t="n">
        <v>251791</v>
      </c>
      <c r="D73" s="379" t="inlineStr">
        <is>
          <t>APTUS IN</t>
        </is>
      </c>
      <c r="E73" s="379" t="inlineStr">
        <is>
          <t>INE852O01025</t>
        </is>
      </c>
    </row>
    <row r="74">
      <c r="A74" s="379" t="inlineStr">
        <is>
          <t>Arihant Superstructures Ltd</t>
        </is>
      </c>
      <c r="B74" s="379" t="inlineStr">
        <is>
          <t>ARIHANTSUP</t>
        </is>
      </c>
      <c r="C74" s="380" t="n">
        <v>106194</v>
      </c>
      <c r="D74" s="379" t="inlineStr">
        <is>
          <t>ARSU IN</t>
        </is>
      </c>
      <c r="E74" s="379" t="inlineStr">
        <is>
          <t>INE643K01018</t>
        </is>
      </c>
    </row>
    <row r="75">
      <c r="A75" s="379" t="inlineStr">
        <is>
          <t>Arman Financial Services Ltd</t>
        </is>
      </c>
      <c r="B75" s="379" t="inlineStr">
        <is>
          <t>ARMANFIN</t>
        </is>
      </c>
      <c r="C75" s="380" t="n">
        <v>131179</v>
      </c>
      <c r="D75" s="379" t="inlineStr">
        <is>
          <t>ARLF IN</t>
        </is>
      </c>
      <c r="E75" s="379" t="inlineStr">
        <is>
          <t>INE109C01017</t>
        </is>
      </c>
    </row>
    <row r="76">
      <c r="A76" s="379" t="inlineStr">
        <is>
          <t>Arshiya Ltd</t>
        </is>
      </c>
      <c r="B76" s="379" t="inlineStr">
        <is>
          <t>ARSHIYA</t>
        </is>
      </c>
      <c r="C76" s="380" t="n">
        <v>106074</v>
      </c>
      <c r="D76" s="379" t="inlineStr">
        <is>
          <t>ARSL IN</t>
        </is>
      </c>
      <c r="E76" s="379" t="inlineStr">
        <is>
          <t>INE968D01022</t>
        </is>
      </c>
    </row>
    <row r="77">
      <c r="A77" s="379" t="inlineStr">
        <is>
          <t>Artemis Medicare Services Ltd</t>
        </is>
      </c>
      <c r="B77" s="379" t="inlineStr">
        <is>
          <t>ARTEMISMED</t>
        </is>
      </c>
      <c r="C77" s="380" t="n">
        <v>236257</v>
      </c>
      <c r="D77" s="379" t="inlineStr">
        <is>
          <t>ARTMSL IN</t>
        </is>
      </c>
      <c r="E77" s="379" t="inlineStr">
        <is>
          <t>INE025R01021</t>
        </is>
      </c>
    </row>
    <row r="78">
      <c r="A78" s="379" t="inlineStr">
        <is>
          <t>Arvind Fashions Ltd</t>
        </is>
      </c>
      <c r="B78" s="379" t="inlineStr">
        <is>
          <t>ARVINDFASN</t>
        </is>
      </c>
      <c r="C78" s="380" t="n">
        <v>293665</v>
      </c>
      <c r="D78" s="379" t="inlineStr">
        <is>
          <t>ARVINDFA IN</t>
        </is>
      </c>
      <c r="E78" s="379" t="inlineStr">
        <is>
          <t>INE955V01021</t>
        </is>
      </c>
    </row>
    <row r="79">
      <c r="A79" s="379" t="inlineStr">
        <is>
          <t>Arvind Ltd</t>
        </is>
      </c>
      <c r="B79" s="379" t="inlineStr">
        <is>
          <t>ARVIND</t>
        </is>
      </c>
      <c r="C79" s="380" t="n">
        <v>100101</v>
      </c>
      <c r="D79" s="379" t="inlineStr">
        <is>
          <t>ARVND IN</t>
        </is>
      </c>
      <c r="E79" s="379" t="inlineStr">
        <is>
          <t>INE034A01011</t>
        </is>
      </c>
    </row>
    <row r="80">
      <c r="A80" s="379" t="inlineStr">
        <is>
          <t>Arvind Smartspaces Ltd</t>
        </is>
      </c>
      <c r="B80" s="379" t="inlineStr">
        <is>
          <t>ARVSMART</t>
        </is>
      </c>
      <c r="C80" s="380" t="n">
        <v>228011</v>
      </c>
      <c r="D80" s="379" t="inlineStr">
        <is>
          <t>ARIL IN</t>
        </is>
      </c>
      <c r="E80" s="379" t="inlineStr">
        <is>
          <t>INE034S01021</t>
        </is>
      </c>
    </row>
    <row r="81">
      <c r="A81" s="379" t="inlineStr">
        <is>
          <t>Asahi India Glass Ltd</t>
        </is>
      </c>
      <c r="B81" s="379" t="inlineStr">
        <is>
          <t>ASAHIINDIA</t>
        </is>
      </c>
      <c r="C81" s="380" t="n">
        <v>115030</v>
      </c>
      <c r="D81" s="379" t="inlineStr">
        <is>
          <t>AISG IN</t>
        </is>
      </c>
      <c r="E81" s="379" t="inlineStr">
        <is>
          <t>INE439A01020</t>
        </is>
      </c>
    </row>
    <row r="82">
      <c r="A82" s="379" t="inlineStr">
        <is>
          <t>Ashapura Minechem Ltd</t>
        </is>
      </c>
      <c r="B82" s="379" t="inlineStr">
        <is>
          <t>ASHAPURMIN</t>
        </is>
      </c>
      <c r="C82" s="380" t="n">
        <v>127001</v>
      </c>
      <c r="D82" s="379" t="inlineStr">
        <is>
          <t>ASMN IN</t>
        </is>
      </c>
      <c r="E82" s="379" t="inlineStr">
        <is>
          <t>INE348A01023</t>
        </is>
      </c>
    </row>
    <row r="83">
      <c r="A83" s="379" t="inlineStr">
        <is>
          <t>Ashiana Housing Ltd</t>
        </is>
      </c>
      <c r="B83" s="379" t="inlineStr">
        <is>
          <t>ASHIANA</t>
        </is>
      </c>
      <c r="C83" s="380" t="n">
        <v>123716</v>
      </c>
      <c r="D83" s="379" t="inlineStr">
        <is>
          <t>ASFI IN</t>
        </is>
      </c>
      <c r="E83" s="379" t="inlineStr">
        <is>
          <t>INE365D01021</t>
        </is>
      </c>
    </row>
    <row r="84">
      <c r="A84" s="379" t="inlineStr">
        <is>
          <t>Ashok Leyland Ltd</t>
        </is>
      </c>
      <c r="B84" s="379" t="inlineStr">
        <is>
          <t>ASHOKLEY</t>
        </is>
      </c>
      <c r="C84" s="380" t="n">
        <v>100477</v>
      </c>
      <c r="D84" s="379" t="inlineStr">
        <is>
          <t>AL IN</t>
        </is>
      </c>
      <c r="E84" s="379" t="inlineStr">
        <is>
          <t>INE208A01029</t>
        </is>
      </c>
    </row>
    <row r="85">
      <c r="A85" s="379" t="inlineStr">
        <is>
          <t>Ashoka Buildcon Ltd</t>
        </is>
      </c>
      <c r="B85" s="379" t="inlineStr">
        <is>
          <t>ASHOKA</t>
        </is>
      </c>
      <c r="C85" s="380" t="n">
        <v>207778</v>
      </c>
      <c r="D85" s="379" t="inlineStr">
        <is>
          <t>ASBL IN</t>
        </is>
      </c>
      <c r="E85" s="379" t="inlineStr">
        <is>
          <t>INE442H01029</t>
        </is>
      </c>
    </row>
    <row r="86">
      <c r="A86" s="379" t="inlineStr">
        <is>
          <t>Asian Energy Services Ltd</t>
        </is>
      </c>
      <c r="B86" s="379" t="inlineStr">
        <is>
          <t>ASIANENE</t>
        </is>
      </c>
      <c r="C86" s="380" t="n">
        <v>130355</v>
      </c>
      <c r="D86" s="379" t="inlineStr">
        <is>
          <t>AOS IN</t>
        </is>
      </c>
      <c r="E86" s="379" t="inlineStr">
        <is>
          <t>INE276G01015</t>
        </is>
      </c>
    </row>
    <row r="87">
      <c r="A87" s="379" t="inlineStr">
        <is>
          <t>Asian Granito India Ltd</t>
        </is>
      </c>
      <c r="B87" s="379" t="inlineStr">
        <is>
          <t>ASIANTILES</t>
        </is>
      </c>
      <c r="C87" s="380" t="n">
        <v>132888</v>
      </c>
      <c r="D87" s="379" t="inlineStr">
        <is>
          <t>ASIAN IN</t>
        </is>
      </c>
      <c r="E87" s="379" t="inlineStr">
        <is>
          <t>INE022I01019</t>
        </is>
      </c>
    </row>
    <row r="88">
      <c r="A88" s="379" t="inlineStr">
        <is>
          <t>Asian Paints Ltd</t>
        </is>
      </c>
      <c r="B88" s="379" t="inlineStr">
        <is>
          <t>ASIANPAINT</t>
        </is>
      </c>
      <c r="C88" s="380" t="n">
        <v>100820</v>
      </c>
      <c r="D88" s="379" t="inlineStr">
        <is>
          <t>APNT IN</t>
        </is>
      </c>
      <c r="E88" s="379" t="inlineStr">
        <is>
          <t>INE021A01026</t>
        </is>
      </c>
    </row>
    <row r="89">
      <c r="A89" s="379" t="inlineStr">
        <is>
          <t>Asian Star Company Ltd</t>
        </is>
      </c>
      <c r="B89" s="379" t="n"/>
      <c r="C89" s="380" t="n">
        <v>131847</v>
      </c>
      <c r="D89" s="379" t="inlineStr">
        <is>
          <t>ASN IN</t>
        </is>
      </c>
      <c r="E89" s="379" t="inlineStr">
        <is>
          <t>INE194D01017</t>
        </is>
      </c>
    </row>
    <row r="90">
      <c r="A90" s="379" t="inlineStr">
        <is>
          <t>ASM Technologies Ltd</t>
        </is>
      </c>
      <c r="B90" s="379" t="n"/>
      <c r="C90" s="380" t="n">
        <v>126433</v>
      </c>
      <c r="D90" s="379" t="inlineStr">
        <is>
          <t>ASM IN</t>
        </is>
      </c>
      <c r="E90" s="379" t="inlineStr">
        <is>
          <t>INE867C01010</t>
        </is>
      </c>
    </row>
    <row r="91">
      <c r="A91" s="379" t="inlineStr">
        <is>
          <t>Associated Alcohols &amp; Breweries Ltd</t>
        </is>
      </c>
      <c r="B91" s="379" t="inlineStr">
        <is>
          <t>ASALCBR</t>
        </is>
      </c>
      <c r="C91" s="380" t="n">
        <v>107526</v>
      </c>
      <c r="D91" s="379" t="inlineStr">
        <is>
          <t>AAB IN</t>
        </is>
      </c>
      <c r="E91" s="379" t="inlineStr">
        <is>
          <t>INE073G01016</t>
        </is>
      </c>
    </row>
    <row r="92">
      <c r="A92" s="379" t="inlineStr">
        <is>
          <t>Astec Lifesciences Ltd</t>
        </is>
      </c>
      <c r="B92" s="379" t="inlineStr">
        <is>
          <t>ASTEC</t>
        </is>
      </c>
      <c r="C92" s="380" t="n">
        <v>212609</v>
      </c>
      <c r="D92" s="379" t="inlineStr">
        <is>
          <t>ASTEL IN</t>
        </is>
      </c>
      <c r="E92" s="379" t="inlineStr">
        <is>
          <t>INE563J01010</t>
        </is>
      </c>
    </row>
    <row r="93">
      <c r="A93" s="379" t="inlineStr">
        <is>
          <t>Aster DM Healthcare Ltd</t>
        </is>
      </c>
      <c r="B93" s="379" t="inlineStr">
        <is>
          <t>ASTERDM</t>
        </is>
      </c>
      <c r="C93" s="380" t="n">
        <v>221033</v>
      </c>
      <c r="D93" s="379" t="inlineStr">
        <is>
          <t>ASTERDM IN</t>
        </is>
      </c>
      <c r="E93" s="379" t="inlineStr">
        <is>
          <t>INE914M01019</t>
        </is>
      </c>
    </row>
    <row r="94">
      <c r="A94" s="379" t="inlineStr">
        <is>
          <t>Astra Microwave Products Ltd</t>
        </is>
      </c>
      <c r="B94" s="379" t="inlineStr">
        <is>
          <t>ASTRAMICRO</t>
        </is>
      </c>
      <c r="C94" s="380" t="n">
        <v>132493</v>
      </c>
      <c r="D94" s="379" t="inlineStr">
        <is>
          <t>ASTM IN</t>
        </is>
      </c>
      <c r="E94" s="379" t="inlineStr">
        <is>
          <t>INE386C01029</t>
        </is>
      </c>
    </row>
    <row r="95">
      <c r="A95" s="379" t="inlineStr">
        <is>
          <t>Astral Ltd</t>
        </is>
      </c>
      <c r="B95" s="379" t="inlineStr">
        <is>
          <t>ASTRAL</t>
        </is>
      </c>
      <c r="C95" s="380" t="n">
        <v>132830</v>
      </c>
      <c r="D95" s="379" t="inlineStr">
        <is>
          <t>ASTRA IN</t>
        </is>
      </c>
      <c r="E95" s="379" t="inlineStr">
        <is>
          <t>INE006I01046</t>
        </is>
      </c>
    </row>
    <row r="96">
      <c r="A96" s="379" t="inlineStr">
        <is>
          <t>Astrazeneca Pharma India Ltd</t>
        </is>
      </c>
      <c r="B96" s="379" t="inlineStr">
        <is>
          <t>ASTRAZEN</t>
        </is>
      </c>
      <c r="C96" s="380" t="n">
        <v>106820</v>
      </c>
      <c r="D96" s="379" t="inlineStr">
        <is>
          <t>ASTR IN</t>
        </is>
      </c>
      <c r="E96" s="379" t="inlineStr">
        <is>
          <t>INE203A01020</t>
        </is>
      </c>
    </row>
    <row r="97">
      <c r="A97" s="379" t="inlineStr">
        <is>
          <t>Atul Ltd</t>
        </is>
      </c>
      <c r="B97" s="379" t="inlineStr">
        <is>
          <t>ATUL</t>
        </is>
      </c>
      <c r="C97" s="380" t="n">
        <v>100027</v>
      </c>
      <c r="D97" s="379" t="inlineStr">
        <is>
          <t>ATLP IN</t>
        </is>
      </c>
      <c r="E97" s="379" t="inlineStr">
        <is>
          <t>INE100A01010</t>
        </is>
      </c>
    </row>
    <row r="98">
      <c r="A98" s="379" t="inlineStr">
        <is>
          <t>AU Small Finance Bank Ltd</t>
        </is>
      </c>
      <c r="B98" s="379" t="inlineStr">
        <is>
          <t>AUBANK</t>
        </is>
      </c>
      <c r="C98" s="380" t="n">
        <v>286335</v>
      </c>
      <c r="D98" s="379" t="inlineStr">
        <is>
          <t>AUBANK IN</t>
        </is>
      </c>
      <c r="E98" s="379" t="inlineStr">
        <is>
          <t>INE949L01017</t>
        </is>
      </c>
    </row>
    <row r="99">
      <c r="A99" s="379" t="inlineStr">
        <is>
          <t>Aurionpro Solutions Ltd</t>
        </is>
      </c>
      <c r="B99" s="379" t="inlineStr">
        <is>
          <t>AURIONPRO</t>
        </is>
      </c>
      <c r="C99" s="380" t="n">
        <v>132668</v>
      </c>
      <c r="D99" s="379" t="inlineStr">
        <is>
          <t>AUPS IN</t>
        </is>
      </c>
      <c r="E99" s="379" t="inlineStr">
        <is>
          <t>INE132H01018</t>
        </is>
      </c>
    </row>
    <row r="100">
      <c r="A100" s="379" t="inlineStr">
        <is>
          <t>Aurobindo Pharma Ltd</t>
        </is>
      </c>
      <c r="B100" s="379" t="inlineStr">
        <is>
          <t>AUROPHARMA</t>
        </is>
      </c>
      <c r="C100" s="380" t="n">
        <v>124804</v>
      </c>
      <c r="D100" s="379" t="inlineStr">
        <is>
          <t>ARBP IN</t>
        </is>
      </c>
      <c r="E100" s="379" t="inlineStr">
        <is>
          <t>INE406A01037</t>
        </is>
      </c>
    </row>
    <row r="101">
      <c r="A101" s="379" t="inlineStr">
        <is>
          <t>Authum Investment &amp; Infrastructure Ltd</t>
        </is>
      </c>
      <c r="B101" s="379" t="n"/>
      <c r="C101" s="380" t="n">
        <v>243036</v>
      </c>
      <c r="D101" s="379" t="inlineStr">
        <is>
          <t>AUIN IN</t>
        </is>
      </c>
      <c r="E101" s="379" t="inlineStr">
        <is>
          <t>INE206F01022</t>
        </is>
      </c>
    </row>
    <row r="102">
      <c r="A102" s="379" t="inlineStr">
        <is>
          <t>Automobile Corporation of Goa Ltd</t>
        </is>
      </c>
      <c r="B102" s="379" t="inlineStr">
        <is>
          <t>AUTOCORP</t>
        </is>
      </c>
      <c r="C102" s="380" t="n">
        <v>105036</v>
      </c>
      <c r="D102" s="379" t="inlineStr">
        <is>
          <t>ACGL IN</t>
        </is>
      </c>
      <c r="E102" s="379" t="inlineStr">
        <is>
          <t>INE451C01013</t>
        </is>
      </c>
    </row>
    <row r="103">
      <c r="A103" s="379" t="inlineStr">
        <is>
          <t>Automotive Axles Ltd</t>
        </is>
      </c>
      <c r="B103" s="379" t="inlineStr">
        <is>
          <t>AUTOAXLES</t>
        </is>
      </c>
      <c r="C103" s="380" t="n">
        <v>105010</v>
      </c>
      <c r="D103" s="379" t="inlineStr">
        <is>
          <t>ATXL IN</t>
        </is>
      </c>
      <c r="E103" s="379" t="inlineStr">
        <is>
          <t>INE449A01011</t>
        </is>
      </c>
    </row>
    <row r="104">
      <c r="A104" s="379" t="inlineStr">
        <is>
          <t>Automotive Stampings and Assemblies Ltd</t>
        </is>
      </c>
      <c r="B104" s="379" t="inlineStr">
        <is>
          <t>ASAL</t>
        </is>
      </c>
      <c r="C104" s="380" t="n">
        <v>120119</v>
      </c>
      <c r="D104" s="379" t="inlineStr">
        <is>
          <t>ATSA IN</t>
        </is>
      </c>
      <c r="E104" s="379" t="inlineStr">
        <is>
          <t>INE900C01027</t>
        </is>
      </c>
    </row>
    <row r="105">
      <c r="A105" s="379" t="inlineStr">
        <is>
          <t>Avadh Sugar &amp; Energy Ltd</t>
        </is>
      </c>
      <c r="B105" s="379" t="inlineStr">
        <is>
          <t>AVADHSUGAR</t>
        </is>
      </c>
      <c r="C105" s="380" t="n">
        <v>286952</v>
      </c>
      <c r="D105" s="379" t="inlineStr">
        <is>
          <t>AVADHSUG IN</t>
        </is>
      </c>
      <c r="E105" s="379" t="inlineStr">
        <is>
          <t>INE349W01017</t>
        </is>
      </c>
    </row>
    <row r="106">
      <c r="A106" s="379" t="inlineStr">
        <is>
          <t>Avanti Feeds Ltd</t>
        </is>
      </c>
      <c r="B106" s="379" t="inlineStr">
        <is>
          <t>AVANTIFEED</t>
        </is>
      </c>
      <c r="C106" s="380" t="n">
        <v>112573</v>
      </c>
      <c r="D106" s="379" t="inlineStr">
        <is>
          <t>AVNT IN</t>
        </is>
      </c>
      <c r="E106" s="379" t="inlineStr">
        <is>
          <t>INE871C01038</t>
        </is>
      </c>
    </row>
    <row r="107">
      <c r="A107" s="379" t="inlineStr">
        <is>
          <t>Avenue Supermarts Ltd</t>
        </is>
      </c>
      <c r="B107" s="379" t="inlineStr">
        <is>
          <t>DMART</t>
        </is>
      </c>
      <c r="C107" s="380" t="n">
        <v>223595</v>
      </c>
      <c r="D107" s="379" t="inlineStr">
        <is>
          <t>DMART IN</t>
        </is>
      </c>
      <c r="E107" s="379" t="inlineStr">
        <is>
          <t>INE192R01011</t>
        </is>
      </c>
    </row>
    <row r="108">
      <c r="A108" s="379" t="inlineStr">
        <is>
          <t>AVT Natural Products Ltd</t>
        </is>
      </c>
      <c r="B108" s="379" t="inlineStr">
        <is>
          <t>AVTNPL</t>
        </is>
      </c>
      <c r="C108" s="380" t="n">
        <v>119105</v>
      </c>
      <c r="D108" s="379" t="inlineStr">
        <is>
          <t>AVTH IN</t>
        </is>
      </c>
      <c r="E108" s="379" t="inlineStr">
        <is>
          <t>INE488D01021</t>
        </is>
      </c>
    </row>
    <row r="109">
      <c r="A109" s="379" t="inlineStr">
        <is>
          <t>Axis Bank Ltd</t>
        </is>
      </c>
      <c r="B109" s="379" t="inlineStr">
        <is>
          <t>AXISBANK</t>
        </is>
      </c>
      <c r="C109" s="380" t="n">
        <v>132215</v>
      </c>
      <c r="D109" s="379" t="inlineStr">
        <is>
          <t>AXSB IN</t>
        </is>
      </c>
      <c r="E109" s="379" t="inlineStr">
        <is>
          <t>INE238A01034</t>
        </is>
      </c>
    </row>
    <row r="110">
      <c r="A110" s="379" t="inlineStr">
        <is>
          <t>Axtel Industries Ltd</t>
        </is>
      </c>
      <c r="B110" s="379" t="n"/>
      <c r="C110" s="380" t="n">
        <v>123850</v>
      </c>
      <c r="D110" s="379" t="inlineStr">
        <is>
          <t>ADVX IN</t>
        </is>
      </c>
      <c r="E110" s="379" t="inlineStr">
        <is>
          <t>INE767C01012</t>
        </is>
      </c>
    </row>
    <row r="111">
      <c r="A111" s="379" t="inlineStr">
        <is>
          <t>BLKashyap and Sons Ltd</t>
        </is>
      </c>
      <c r="B111" s="379" t="inlineStr">
        <is>
          <t>BLKASHYAP</t>
        </is>
      </c>
      <c r="C111" s="380" t="n">
        <v>132719</v>
      </c>
      <c r="D111" s="379" t="inlineStr">
        <is>
          <t>KASH IN</t>
        </is>
      </c>
      <c r="E111" s="379" t="inlineStr">
        <is>
          <t>INE350H01032</t>
        </is>
      </c>
    </row>
    <row r="112">
      <c r="A112" s="379" t="inlineStr">
        <is>
          <t>Bajaj Auto Ltd</t>
        </is>
      </c>
      <c r="B112" s="379" t="inlineStr">
        <is>
          <t>BAJAJ-AUTO</t>
        </is>
      </c>
      <c r="C112" s="380" t="n">
        <v>200132</v>
      </c>
      <c r="D112" s="379" t="inlineStr">
        <is>
          <t>BJAUT IN</t>
        </is>
      </c>
      <c r="E112" s="379" t="inlineStr">
        <is>
          <t>INE917I01010</t>
        </is>
      </c>
    </row>
    <row r="113">
      <c r="A113" s="379" t="inlineStr">
        <is>
          <t>Bajaj Consumer Care Ltd</t>
        </is>
      </c>
      <c r="B113" s="379" t="inlineStr">
        <is>
          <t>BAJAJCON</t>
        </is>
      </c>
      <c r="C113" s="380" t="n">
        <v>220519</v>
      </c>
      <c r="D113" s="379" t="inlineStr">
        <is>
          <t>BAJAJCON IN</t>
        </is>
      </c>
      <c r="E113" s="379" t="inlineStr">
        <is>
          <t>INE933K01021</t>
        </is>
      </c>
    </row>
    <row r="114">
      <c r="A114" s="379" t="inlineStr">
        <is>
          <t>Bajaj Electricals Ltd</t>
        </is>
      </c>
      <c r="B114" s="379" t="inlineStr">
        <is>
          <t>BAJAJELEC</t>
        </is>
      </c>
      <c r="C114" s="380" t="n">
        <v>100031</v>
      </c>
      <c r="D114" s="379" t="inlineStr">
        <is>
          <t>BJE IN</t>
        </is>
      </c>
      <c r="E114" s="379" t="inlineStr">
        <is>
          <t>INE193E01025</t>
        </is>
      </c>
    </row>
    <row r="115">
      <c r="A115" s="379" t="inlineStr">
        <is>
          <t>Bajaj Finance Ltd</t>
        </is>
      </c>
      <c r="B115" s="379" t="inlineStr">
        <is>
          <t>BAJFINANCE</t>
        </is>
      </c>
      <c r="C115" s="380" t="n">
        <v>100034</v>
      </c>
      <c r="D115" s="379" t="inlineStr">
        <is>
          <t>BAF IN</t>
        </is>
      </c>
      <c r="E115" s="379" t="inlineStr">
        <is>
          <t>INE296A01024</t>
        </is>
      </c>
    </row>
    <row r="116">
      <c r="A116" s="379" t="inlineStr">
        <is>
          <t>Bajaj Finserv Ltd</t>
        </is>
      </c>
      <c r="B116" s="379" t="inlineStr">
        <is>
          <t>BAJAJFINSV</t>
        </is>
      </c>
      <c r="C116" s="380" t="n">
        <v>205198</v>
      </c>
      <c r="D116" s="379" t="inlineStr">
        <is>
          <t>BJFIN IN</t>
        </is>
      </c>
      <c r="E116" s="379" t="inlineStr">
        <is>
          <t>INE918I01018</t>
        </is>
      </c>
    </row>
    <row r="117">
      <c r="A117" s="379" t="inlineStr">
        <is>
          <t>Bajaj Healthcare Ltd</t>
        </is>
      </c>
      <c r="B117" s="379" t="inlineStr">
        <is>
          <t>BAJAJHCARE</t>
        </is>
      </c>
      <c r="C117" s="380" t="n">
        <v>212661</v>
      </c>
      <c r="D117" s="379" t="inlineStr">
        <is>
          <t>BAJAJHEA IN</t>
        </is>
      </c>
      <c r="E117" s="379" t="inlineStr">
        <is>
          <t>INE411U01027</t>
        </is>
      </c>
    </row>
    <row r="118">
      <c r="A118" s="379" t="inlineStr">
        <is>
          <t>Bajaj Hindusthan Sugar Ltd</t>
        </is>
      </c>
      <c r="B118" s="379" t="inlineStr">
        <is>
          <t>BAJAJHIND</t>
        </is>
      </c>
      <c r="C118" s="380" t="n">
        <v>100032</v>
      </c>
      <c r="D118" s="379" t="inlineStr">
        <is>
          <t>BJH IN</t>
        </is>
      </c>
      <c r="E118" s="379" t="inlineStr">
        <is>
          <t>INE306A01021</t>
        </is>
      </c>
    </row>
    <row r="119">
      <c r="A119" s="379" t="inlineStr">
        <is>
          <t>Bajaj Holdings &amp; Investment Ltd</t>
        </is>
      </c>
      <c r="B119" s="379" t="inlineStr">
        <is>
          <t>BAJAJHLDNG</t>
        </is>
      </c>
      <c r="C119" s="380" t="n">
        <v>100490</v>
      </c>
      <c r="D119" s="379" t="inlineStr">
        <is>
          <t>BJHI IN</t>
        </is>
      </c>
      <c r="E119" s="379" t="inlineStr">
        <is>
          <t>INE118A01012</t>
        </is>
      </c>
    </row>
    <row r="120">
      <c r="A120" s="379" t="inlineStr">
        <is>
          <t>Balaji Amines Ltd</t>
        </is>
      </c>
      <c r="B120" s="379" t="inlineStr">
        <is>
          <t>BALAMINES</t>
        </is>
      </c>
      <c r="C120" s="380" t="n">
        <v>130999</v>
      </c>
      <c r="D120" s="379" t="inlineStr">
        <is>
          <t>BLA IN</t>
        </is>
      </c>
      <c r="E120" s="379" t="inlineStr">
        <is>
          <t>INE050E01027</t>
        </is>
      </c>
    </row>
    <row r="121">
      <c r="A121" s="379" t="inlineStr">
        <is>
          <t>Balaji Telefilms Ltd</t>
        </is>
      </c>
      <c r="B121" s="379" t="inlineStr">
        <is>
          <t>BALAJITELE</t>
        </is>
      </c>
      <c r="C121" s="380" t="n">
        <v>132382</v>
      </c>
      <c r="D121" s="379" t="inlineStr">
        <is>
          <t>BLJT IN</t>
        </is>
      </c>
      <c r="E121" s="379" t="inlineStr">
        <is>
          <t>INE794B01026</t>
        </is>
      </c>
    </row>
    <row r="122">
      <c r="A122" s="379" t="inlineStr">
        <is>
          <t>Balkrishna Industries Ltd</t>
        </is>
      </c>
      <c r="B122" s="379" t="inlineStr">
        <is>
          <t>BALKRISIND</t>
        </is>
      </c>
      <c r="C122" s="380" t="n">
        <v>102355</v>
      </c>
      <c r="D122" s="379" t="inlineStr">
        <is>
          <t>BIL IN</t>
        </is>
      </c>
      <c r="E122" s="379" t="inlineStr">
        <is>
          <t>INE787D01026</t>
        </is>
      </c>
    </row>
    <row r="123">
      <c r="A123" s="379" t="inlineStr">
        <is>
          <t>Balmer Lawrie &amp; Company Ltd</t>
        </is>
      </c>
      <c r="B123" s="379" t="inlineStr">
        <is>
          <t>BALMLAWRIE</t>
        </is>
      </c>
      <c r="C123" s="380" t="n">
        <v>123319</v>
      </c>
      <c r="D123" s="379" t="inlineStr">
        <is>
          <t>BLCL IN</t>
        </is>
      </c>
      <c r="E123" s="379" t="inlineStr">
        <is>
          <t>INE164A01016</t>
        </is>
      </c>
    </row>
    <row r="124">
      <c r="A124" s="379" t="inlineStr">
        <is>
          <t>Balmer Lawrie Investments Ltd</t>
        </is>
      </c>
      <c r="B124" s="379" t="n"/>
      <c r="C124" s="380" t="n">
        <v>132485</v>
      </c>
      <c r="D124" s="379" t="inlineStr">
        <is>
          <t>BALM IN</t>
        </is>
      </c>
      <c r="E124" s="379" t="inlineStr">
        <is>
          <t>INE525F01017</t>
        </is>
      </c>
    </row>
    <row r="125">
      <c r="A125" s="379" t="inlineStr">
        <is>
          <t>Balrampur Chini Mills Ltd</t>
        </is>
      </c>
      <c r="B125" s="379" t="inlineStr">
        <is>
          <t>BALRAMCHIN</t>
        </is>
      </c>
      <c r="C125" s="380" t="n">
        <v>100038</v>
      </c>
      <c r="D125" s="379" t="inlineStr">
        <is>
          <t>BRCM IN</t>
        </is>
      </c>
      <c r="E125" s="379" t="inlineStr">
        <is>
          <t>INE119A01028</t>
        </is>
      </c>
    </row>
    <row r="126">
      <c r="A126" s="379" t="inlineStr">
        <is>
          <t>Balu Forge Industries Ltd</t>
        </is>
      </c>
      <c r="B126" s="379" t="n"/>
      <c r="C126" s="380" t="n">
        <v>131112</v>
      </c>
      <c r="D126" s="379" t="inlineStr">
        <is>
          <t>BLAM IN</t>
        </is>
      </c>
      <c r="E126" s="379" t="inlineStr">
        <is>
          <t>INE011E01029</t>
        </is>
      </c>
    </row>
    <row r="127">
      <c r="A127" s="379" t="inlineStr">
        <is>
          <t>Banco Products (India) Ltd</t>
        </is>
      </c>
      <c r="B127" s="379" t="inlineStr">
        <is>
          <t>BANCOINDIA</t>
        </is>
      </c>
      <c r="C127" s="380" t="n">
        <v>100039</v>
      </c>
      <c r="D127" s="379" t="inlineStr">
        <is>
          <t>BNCO IN</t>
        </is>
      </c>
      <c r="E127" s="379" t="inlineStr">
        <is>
          <t>INE213C01025</t>
        </is>
      </c>
    </row>
    <row r="128">
      <c r="A128" s="379" t="inlineStr">
        <is>
          <t>Bandhan Bank Ltd</t>
        </is>
      </c>
      <c r="B128" s="379" t="inlineStr">
        <is>
          <t>BANDHANBNK</t>
        </is>
      </c>
      <c r="C128" s="380" t="n">
        <v>279527</v>
      </c>
      <c r="D128" s="379" t="inlineStr">
        <is>
          <t>BANDHAN IN</t>
        </is>
      </c>
      <c r="E128" s="379" t="inlineStr">
        <is>
          <t>INE545U01014</t>
        </is>
      </c>
    </row>
    <row r="129">
      <c r="A129" s="379" t="inlineStr">
        <is>
          <t>Bank Of Baroda</t>
        </is>
      </c>
      <c r="B129" s="379" t="inlineStr">
        <is>
          <t>BANKBARODA</t>
        </is>
      </c>
      <c r="C129" s="380" t="n">
        <v>132134</v>
      </c>
      <c r="D129" s="379" t="inlineStr">
        <is>
          <t>BOB IN</t>
        </is>
      </c>
      <c r="E129" s="379" t="inlineStr">
        <is>
          <t>INE028A01039</t>
        </is>
      </c>
    </row>
    <row r="130">
      <c r="A130" s="379" t="inlineStr">
        <is>
          <t>Bank Of Maharashtra</t>
        </is>
      </c>
      <c r="B130" s="379" t="inlineStr">
        <is>
          <t>MAHABANK</t>
        </is>
      </c>
      <c r="C130" s="380" t="n">
        <v>132525</v>
      </c>
      <c r="D130" s="379" t="inlineStr">
        <is>
          <t>BOMH IN</t>
        </is>
      </c>
      <c r="E130" s="379" t="inlineStr">
        <is>
          <t>INE457A01014</t>
        </is>
      </c>
    </row>
    <row r="131">
      <c r="A131" s="379" t="inlineStr">
        <is>
          <t>Bannari Amman Spinning Mills Ltd</t>
        </is>
      </c>
      <c r="B131" s="379" t="inlineStr">
        <is>
          <t>BASML</t>
        </is>
      </c>
      <c r="C131" s="380" t="n">
        <v>132674</v>
      </c>
      <c r="D131" s="379" t="inlineStr">
        <is>
          <t>BASM IN</t>
        </is>
      </c>
      <c r="E131" s="379" t="inlineStr">
        <is>
          <t>INE186H01022</t>
        </is>
      </c>
    </row>
    <row r="132">
      <c r="A132" s="379" t="inlineStr">
        <is>
          <t>Bannari Amman Sugars Ltd</t>
        </is>
      </c>
      <c r="B132" s="379" t="inlineStr">
        <is>
          <t>BANARISUG</t>
        </is>
      </c>
      <c r="C132" s="380" t="n">
        <v>100041</v>
      </c>
      <c r="D132" s="379" t="inlineStr">
        <is>
          <t>BNRI IN</t>
        </is>
      </c>
      <c r="E132" s="379" t="inlineStr">
        <is>
          <t>INE459A01010</t>
        </is>
      </c>
    </row>
    <row r="133">
      <c r="A133" s="379" t="inlineStr">
        <is>
          <t>Barbeque-Nation Hospitality Ltd</t>
        </is>
      </c>
      <c r="B133" s="379" t="inlineStr">
        <is>
          <t>BARBEQUE</t>
        </is>
      </c>
      <c r="C133" s="380" t="n">
        <v>228465</v>
      </c>
      <c r="D133" s="379" t="inlineStr">
        <is>
          <t>BARBEQUE IN</t>
        </is>
      </c>
      <c r="E133" s="379" t="inlineStr">
        <is>
          <t>INE382M01027</t>
        </is>
      </c>
    </row>
    <row r="134">
      <c r="A134" s="379" t="inlineStr">
        <is>
          <t>BASF India Ltd</t>
        </is>
      </c>
      <c r="B134" s="379" t="inlineStr">
        <is>
          <t>BASF</t>
        </is>
      </c>
      <c r="C134" s="380" t="n">
        <v>100042</v>
      </c>
      <c r="D134" s="379" t="inlineStr">
        <is>
          <t>BASF IN</t>
        </is>
      </c>
      <c r="E134" s="379" t="inlineStr">
        <is>
          <t>INE373A01013</t>
        </is>
      </c>
    </row>
    <row r="135">
      <c r="A135" s="379" t="inlineStr">
        <is>
          <t>Bata India Ltd</t>
        </is>
      </c>
      <c r="B135" s="379" t="inlineStr">
        <is>
          <t>BATAINDIA</t>
        </is>
      </c>
      <c r="C135" s="380" t="n">
        <v>100043</v>
      </c>
      <c r="D135" s="379" t="inlineStr">
        <is>
          <t>BATA IN</t>
        </is>
      </c>
      <c r="E135" s="379" t="inlineStr">
        <is>
          <t>INE176A01028</t>
        </is>
      </c>
    </row>
    <row r="136">
      <c r="A136" s="379" t="inlineStr">
        <is>
          <t>Bayer CropScience Ltd</t>
        </is>
      </c>
      <c r="B136" s="379" t="inlineStr">
        <is>
          <t>BAYERCROP</t>
        </is>
      </c>
      <c r="C136" s="380" t="n">
        <v>106285</v>
      </c>
      <c r="D136" s="379" t="inlineStr">
        <is>
          <t>BYRCS IN</t>
        </is>
      </c>
      <c r="E136" s="379" t="inlineStr">
        <is>
          <t>INE462A01022</t>
        </is>
      </c>
    </row>
    <row r="137">
      <c r="A137" s="379" t="inlineStr">
        <is>
          <t>BCL Industries Ltd</t>
        </is>
      </c>
      <c r="B137" s="379" t="inlineStr">
        <is>
          <t>BCLIND</t>
        </is>
      </c>
      <c r="C137" s="380" t="n">
        <v>124332</v>
      </c>
      <c r="D137" s="379" t="inlineStr">
        <is>
          <t>BCLIL IN</t>
        </is>
      </c>
      <c r="E137" s="379" t="inlineStr">
        <is>
          <t>INE412G01016</t>
        </is>
      </c>
    </row>
    <row r="138">
      <c r="A138" s="379" t="inlineStr">
        <is>
          <t>Beekay Steel Industries Ltd</t>
        </is>
      </c>
      <c r="B138" s="379" t="n"/>
      <c r="C138" s="380" t="n">
        <v>212682</v>
      </c>
      <c r="D138" s="379" t="inlineStr">
        <is>
          <t>BKST IN</t>
        </is>
      </c>
      <c r="E138" s="379" t="inlineStr">
        <is>
          <t>INE213D01015</t>
        </is>
      </c>
    </row>
    <row r="139">
      <c r="A139" s="379" t="inlineStr">
        <is>
          <t>BEML Ltd</t>
        </is>
      </c>
      <c r="B139" s="379" t="inlineStr">
        <is>
          <t>BEML</t>
        </is>
      </c>
      <c r="C139" s="380" t="n">
        <v>100048</v>
      </c>
      <c r="D139" s="379" t="inlineStr">
        <is>
          <t>BEML IN</t>
        </is>
      </c>
      <c r="E139" s="379" t="inlineStr">
        <is>
          <t>INE258A01016</t>
        </is>
      </c>
    </row>
    <row r="140">
      <c r="A140" s="379" t="inlineStr">
        <is>
          <t>Bengal &amp; Assam Company Ltd</t>
        </is>
      </c>
      <c r="B140" s="379" t="n"/>
      <c r="C140" s="380" t="n">
        <v>219234</v>
      </c>
      <c r="D140" s="379" t="inlineStr">
        <is>
          <t>BENG IN</t>
        </is>
      </c>
      <c r="E140" s="379" t="inlineStr">
        <is>
          <t>INE083K01017</t>
        </is>
      </c>
    </row>
    <row r="141">
      <c r="A141" s="379" t="inlineStr">
        <is>
          <t>Berger Paints India Ltd</t>
        </is>
      </c>
      <c r="B141" s="379" t="inlineStr">
        <is>
          <t>BERGEPAINT</t>
        </is>
      </c>
      <c r="C141" s="380" t="n">
        <v>109480</v>
      </c>
      <c r="D141" s="379" t="inlineStr">
        <is>
          <t>BRGR IN</t>
        </is>
      </c>
      <c r="E141" s="379" t="inlineStr">
        <is>
          <t>INE463A01038</t>
        </is>
      </c>
    </row>
    <row r="142">
      <c r="A142" s="379" t="inlineStr">
        <is>
          <t>Best Agrolife Ltd</t>
        </is>
      </c>
      <c r="B142" s="379" t="inlineStr">
        <is>
          <t>BESTAGRO</t>
        </is>
      </c>
      <c r="C142" s="380" t="n">
        <v>245011</v>
      </c>
      <c r="D142" s="379" t="inlineStr">
        <is>
          <t>SAHYOG IN</t>
        </is>
      </c>
      <c r="E142" s="379" t="inlineStr">
        <is>
          <t>INE052T01013</t>
        </is>
      </c>
    </row>
    <row r="143">
      <c r="A143" s="379" t="inlineStr">
        <is>
          <t>Beta Drugs Ltd</t>
        </is>
      </c>
      <c r="B143" s="379" t="inlineStr">
        <is>
          <t>BETA</t>
        </is>
      </c>
      <c r="C143" s="380" t="n">
        <v>287380</v>
      </c>
      <c r="D143" s="379" t="inlineStr">
        <is>
          <t>BETADR IN</t>
        </is>
      </c>
      <c r="E143" s="379" t="inlineStr">
        <is>
          <t>INE351Y01019</t>
        </is>
      </c>
    </row>
    <row r="144">
      <c r="A144" s="379" t="inlineStr">
        <is>
          <t>BF Investment Ltd</t>
        </is>
      </c>
      <c r="B144" s="379" t="inlineStr">
        <is>
          <t>BFINVEST</t>
        </is>
      </c>
      <c r="C144" s="380" t="n">
        <v>220706</v>
      </c>
      <c r="D144" s="379" t="inlineStr">
        <is>
          <t>BFIN IN</t>
        </is>
      </c>
      <c r="E144" s="379" t="inlineStr">
        <is>
          <t>INE878K01010</t>
        </is>
      </c>
    </row>
    <row r="145">
      <c r="A145" s="379" t="inlineStr">
        <is>
          <t>BF Utilities Ltd</t>
        </is>
      </c>
      <c r="B145" s="379" t="inlineStr">
        <is>
          <t>BFUTILITIE</t>
        </is>
      </c>
      <c r="C145" s="380" t="n">
        <v>132430</v>
      </c>
      <c r="D145" s="379" t="inlineStr">
        <is>
          <t>BFUT IN</t>
        </is>
      </c>
      <c r="E145" s="379" t="inlineStr">
        <is>
          <t>INE243D01012</t>
        </is>
      </c>
    </row>
    <row r="146">
      <c r="A146" s="379" t="inlineStr">
        <is>
          <t>BGR Energy Systems Ltd</t>
        </is>
      </c>
      <c r="B146" s="379" t="inlineStr">
        <is>
          <t>BGRENERGY</t>
        </is>
      </c>
      <c r="C146" s="380" t="n">
        <v>200018</v>
      </c>
      <c r="D146" s="379" t="inlineStr">
        <is>
          <t>BGRL IN</t>
        </is>
      </c>
      <c r="E146" s="379" t="inlineStr">
        <is>
          <t>INE661I01014</t>
        </is>
      </c>
    </row>
    <row r="147">
      <c r="A147" s="379" t="inlineStr">
        <is>
          <t>Bhageria Industries Ltd</t>
        </is>
      </c>
      <c r="B147" s="379" t="inlineStr">
        <is>
          <t>BHAGERIA</t>
        </is>
      </c>
      <c r="C147" s="380" t="n">
        <v>130803</v>
      </c>
      <c r="D147" s="379" t="inlineStr">
        <is>
          <t>BGIN IN</t>
        </is>
      </c>
      <c r="E147" s="379" t="inlineStr">
        <is>
          <t>INE354C01027</t>
        </is>
      </c>
    </row>
    <row r="148">
      <c r="A148" s="379" t="inlineStr">
        <is>
          <t>Bhagiradha Chemicals &amp; Industries Ltd</t>
        </is>
      </c>
      <c r="B148" s="379" t="inlineStr">
        <is>
          <t>BHAGCHEM</t>
        </is>
      </c>
      <c r="C148" s="380" t="n">
        <v>131719</v>
      </c>
      <c r="D148" s="379" t="inlineStr">
        <is>
          <t>BCHI IN</t>
        </is>
      </c>
      <c r="E148" s="379" t="inlineStr">
        <is>
          <t>INE414D01019</t>
        </is>
      </c>
    </row>
    <row r="149">
      <c r="A149" s="379" t="inlineStr">
        <is>
          <t>Bhansali Engineering Polymers Ltd</t>
        </is>
      </c>
      <c r="B149" s="379" t="inlineStr">
        <is>
          <t>BEPL</t>
        </is>
      </c>
      <c r="C149" s="380" t="n">
        <v>100052</v>
      </c>
      <c r="D149" s="379" t="inlineStr">
        <is>
          <t>BEPL IN</t>
        </is>
      </c>
      <c r="E149" s="379" t="inlineStr">
        <is>
          <t>INE922A01025</t>
        </is>
      </c>
    </row>
    <row r="150">
      <c r="A150" s="379" t="inlineStr">
        <is>
          <t>Bharat Bijlee Ltd</t>
        </is>
      </c>
      <c r="B150" s="379" t="inlineStr">
        <is>
          <t>BBL</t>
        </is>
      </c>
      <c r="C150" s="380" t="n">
        <v>103960</v>
      </c>
      <c r="D150" s="379" t="inlineStr">
        <is>
          <t>BIJL IN</t>
        </is>
      </c>
      <c r="E150" s="379" t="inlineStr">
        <is>
          <t>INE464A01028</t>
        </is>
      </c>
    </row>
    <row r="151">
      <c r="A151" s="379" t="inlineStr">
        <is>
          <t>Bharat Dynamics Ltd</t>
        </is>
      </c>
      <c r="B151" s="379" t="inlineStr">
        <is>
          <t>BDL</t>
        </is>
      </c>
      <c r="C151" s="380" t="n">
        <v>212705</v>
      </c>
      <c r="D151" s="379" t="inlineStr">
        <is>
          <t>BDL IN</t>
        </is>
      </c>
      <c r="E151" s="379" t="inlineStr">
        <is>
          <t>INE171Z01018</t>
        </is>
      </c>
    </row>
    <row r="152">
      <c r="A152" s="379" t="inlineStr">
        <is>
          <t>Bharat Electronics Ltd</t>
        </is>
      </c>
      <c r="B152" s="379" t="inlineStr">
        <is>
          <t>BEL</t>
        </is>
      </c>
      <c r="C152" s="380" t="n">
        <v>100049</v>
      </c>
      <c r="D152" s="379" t="inlineStr">
        <is>
          <t>BHE IN</t>
        </is>
      </c>
      <c r="E152" s="379" t="inlineStr">
        <is>
          <t>INE263A01024</t>
        </is>
      </c>
    </row>
    <row r="153">
      <c r="A153" s="379" t="inlineStr">
        <is>
          <t>Bharat Forge Ltd</t>
        </is>
      </c>
      <c r="B153" s="379" t="inlineStr">
        <is>
          <t>BHARATFORG</t>
        </is>
      </c>
      <c r="C153" s="380" t="n">
        <v>100493</v>
      </c>
      <c r="D153" s="379" t="inlineStr">
        <is>
          <t>BHFC IN</t>
        </is>
      </c>
      <c r="E153" s="379" t="inlineStr">
        <is>
          <t>INE465A01025</t>
        </is>
      </c>
    </row>
    <row r="154">
      <c r="A154" s="379" t="inlineStr">
        <is>
          <t>Bharat Heavy Electricals Ltd</t>
        </is>
      </c>
      <c r="B154" s="379" t="inlineStr">
        <is>
          <t>BHEL</t>
        </is>
      </c>
      <c r="C154" s="380" t="n">
        <v>100103</v>
      </c>
      <c r="D154" s="379" t="inlineStr">
        <is>
          <t>BHEL IN</t>
        </is>
      </c>
      <c r="E154" s="379" t="inlineStr">
        <is>
          <t>INE257A01026</t>
        </is>
      </c>
    </row>
    <row r="155">
      <c r="A155" s="379" t="inlineStr">
        <is>
          <t>Bharat Petroleum Corporation Ltd</t>
        </is>
      </c>
      <c r="B155" s="379" t="inlineStr">
        <is>
          <t>BPCL</t>
        </is>
      </c>
      <c r="C155" s="380" t="n">
        <v>100547</v>
      </c>
      <c r="D155" s="379" t="inlineStr">
        <is>
          <t>BPCL IN</t>
        </is>
      </c>
      <c r="E155" s="379" t="inlineStr">
        <is>
          <t>INE029A01011</t>
        </is>
      </c>
    </row>
    <row r="156">
      <c r="A156" s="379" t="inlineStr">
        <is>
          <t>Bharat Rasayan Ltd</t>
        </is>
      </c>
      <c r="B156" s="379" t="inlineStr">
        <is>
          <t>BHARATRAS</t>
        </is>
      </c>
      <c r="C156" s="380" t="n">
        <v>190021</v>
      </c>
      <c r="D156" s="379" t="inlineStr">
        <is>
          <t>BRSN IN</t>
        </is>
      </c>
      <c r="E156" s="379" t="inlineStr">
        <is>
          <t>INE838B01013</t>
        </is>
      </c>
    </row>
    <row r="157">
      <c r="A157" s="379" t="inlineStr">
        <is>
          <t>Bharti Airtel Ltd</t>
        </is>
      </c>
      <c r="B157" s="379" t="inlineStr">
        <is>
          <t>BHARTIARTL</t>
        </is>
      </c>
      <c r="C157" s="380" t="n">
        <v>132454</v>
      </c>
      <c r="D157" s="379" t="inlineStr">
        <is>
          <t>BHARTI IN</t>
        </is>
      </c>
      <c r="E157" s="379" t="inlineStr">
        <is>
          <t>INE397D01024</t>
        </is>
      </c>
    </row>
    <row r="158">
      <c r="A158" s="379" t="inlineStr">
        <is>
          <t>Biocon Ltd</t>
        </is>
      </c>
      <c r="B158" s="379" t="inlineStr">
        <is>
          <t>BIOCON</t>
        </is>
      </c>
      <c r="C158" s="380" t="n">
        <v>132523</v>
      </c>
      <c r="D158" s="379" t="inlineStr">
        <is>
          <t>BIOS IN</t>
        </is>
      </c>
      <c r="E158" s="379" t="inlineStr">
        <is>
          <t>INE376G01013</t>
        </is>
      </c>
    </row>
    <row r="159">
      <c r="A159" s="379" t="inlineStr">
        <is>
          <t>Birla Corporation Ltd</t>
        </is>
      </c>
      <c r="B159" s="379" t="inlineStr">
        <is>
          <t>BIRLACORPN</t>
        </is>
      </c>
      <c r="C159" s="380" t="n">
        <v>100335</v>
      </c>
      <c r="D159" s="379" t="inlineStr">
        <is>
          <t>BCORP IN</t>
        </is>
      </c>
      <c r="E159" s="379" t="inlineStr">
        <is>
          <t>INE340A01012</t>
        </is>
      </c>
    </row>
    <row r="160">
      <c r="A160" s="379" t="inlineStr">
        <is>
          <t>Birlasoft Ltd</t>
        </is>
      </c>
      <c r="B160" s="379" t="inlineStr">
        <is>
          <t>BSOFT</t>
        </is>
      </c>
      <c r="C160" s="380" t="n">
        <v>132400</v>
      </c>
      <c r="D160" s="379" t="inlineStr">
        <is>
          <t>BSOFT IN</t>
        </is>
      </c>
      <c r="E160" s="379" t="inlineStr">
        <is>
          <t>INE836A01035</t>
        </is>
      </c>
    </row>
    <row r="161">
      <c r="A161" s="379" t="inlineStr">
        <is>
          <t>Black Box Ltd</t>
        </is>
      </c>
      <c r="B161" s="379" t="inlineStr">
        <is>
          <t>BBOX</t>
        </is>
      </c>
      <c r="C161" s="380" t="n">
        <v>100463</v>
      </c>
      <c r="D161" s="379" t="inlineStr">
        <is>
          <t>AGC IN</t>
        </is>
      </c>
      <c r="E161" s="379" t="inlineStr">
        <is>
          <t>INE676A01019</t>
        </is>
      </c>
    </row>
    <row r="162">
      <c r="A162" s="379" t="inlineStr">
        <is>
          <t>Black Rose Industries Ltd</t>
        </is>
      </c>
      <c r="B162" s="379" t="n"/>
      <c r="C162" s="380" t="n">
        <v>114183</v>
      </c>
      <c r="D162" s="379" t="inlineStr">
        <is>
          <t>BROS IN</t>
        </is>
      </c>
      <c r="E162" s="379" t="inlineStr">
        <is>
          <t>INE761G01016</t>
        </is>
      </c>
    </row>
    <row r="163">
      <c r="A163" s="379" t="inlineStr">
        <is>
          <t>Bliss GVS Pharma Ltd</t>
        </is>
      </c>
      <c r="B163" s="379" t="inlineStr">
        <is>
          <t>BLISSGVS</t>
        </is>
      </c>
      <c r="C163" s="380" t="n">
        <v>106197</v>
      </c>
      <c r="D163" s="379" t="inlineStr">
        <is>
          <t>BLIS IN</t>
        </is>
      </c>
      <c r="E163" s="379" t="inlineStr">
        <is>
          <t>INE416D01022</t>
        </is>
      </c>
    </row>
    <row r="164">
      <c r="A164" s="379" t="inlineStr">
        <is>
          <t>BLS International Services Ltd</t>
        </is>
      </c>
      <c r="B164" s="379" t="inlineStr">
        <is>
          <t>BLS</t>
        </is>
      </c>
      <c r="C164" s="380" t="n">
        <v>281585</v>
      </c>
      <c r="D164" s="379" t="inlineStr">
        <is>
          <t>BLSIN IN</t>
        </is>
      </c>
      <c r="E164" s="379" t="inlineStr">
        <is>
          <t>INE153T01027</t>
        </is>
      </c>
    </row>
    <row r="165">
      <c r="A165" s="379" t="inlineStr">
        <is>
          <t>Blue Dart Express Ltd</t>
        </is>
      </c>
      <c r="B165" s="379" t="inlineStr">
        <is>
          <t>BLUEDART</t>
        </is>
      </c>
      <c r="C165" s="380" t="n">
        <v>126612</v>
      </c>
      <c r="D165" s="379" t="inlineStr">
        <is>
          <t>BDE IN</t>
        </is>
      </c>
      <c r="E165" s="379" t="inlineStr">
        <is>
          <t>INE233B01017</t>
        </is>
      </c>
    </row>
    <row r="166">
      <c r="A166" s="379" t="inlineStr">
        <is>
          <t>Blue Star Ltd</t>
        </is>
      </c>
      <c r="B166" s="379" t="inlineStr">
        <is>
          <t>BLUESTARCO</t>
        </is>
      </c>
      <c r="C166" s="380" t="n">
        <v>100067</v>
      </c>
      <c r="D166" s="379" t="inlineStr">
        <is>
          <t>BLSTR IN</t>
        </is>
      </c>
      <c r="E166" s="379" t="inlineStr">
        <is>
          <t>INE472A01039</t>
        </is>
      </c>
    </row>
    <row r="167">
      <c r="A167" s="379" t="inlineStr">
        <is>
          <t>BMW Industries Ltd</t>
        </is>
      </c>
      <c r="B167" s="379" t="n"/>
      <c r="C167" s="380" t="n">
        <v>212642</v>
      </c>
      <c r="D167" s="379" t="inlineStr">
        <is>
          <t>BMW IN</t>
        </is>
      </c>
      <c r="E167" s="379" t="inlineStr">
        <is>
          <t>INE374E01021</t>
        </is>
      </c>
    </row>
    <row r="168">
      <c r="A168" s="379" t="inlineStr">
        <is>
          <t>Bodal Chemicals Ltd</t>
        </is>
      </c>
      <c r="B168" s="379" t="inlineStr">
        <is>
          <t>BODALCHEM</t>
        </is>
      </c>
      <c r="C168" s="380" t="n">
        <v>124370</v>
      </c>
      <c r="D168" s="379" t="inlineStr">
        <is>
          <t>BODL IN</t>
        </is>
      </c>
      <c r="E168" s="379" t="inlineStr">
        <is>
          <t>INE338D01028</t>
        </is>
      </c>
    </row>
    <row r="169">
      <c r="A169" s="379" t="inlineStr">
        <is>
          <t>Bombay Burmah Trading Corporation Ltd</t>
        </is>
      </c>
      <c r="B169" s="379" t="inlineStr">
        <is>
          <t>BBTC</t>
        </is>
      </c>
      <c r="C169" s="380" t="n">
        <v>101425</v>
      </c>
      <c r="D169" s="379" t="inlineStr">
        <is>
          <t>BBTC IN</t>
        </is>
      </c>
      <c r="E169" s="379" t="inlineStr">
        <is>
          <t>INE050A01025</t>
        </is>
      </c>
    </row>
    <row r="170">
      <c r="A170" s="379" t="inlineStr">
        <is>
          <t>Bombay Dyeing And Manufacturing Company Ltd</t>
        </is>
      </c>
      <c r="B170" s="379" t="inlineStr">
        <is>
          <t>BOMDYEING</t>
        </is>
      </c>
      <c r="C170" s="380" t="n">
        <v>100020</v>
      </c>
      <c r="D170" s="379" t="inlineStr">
        <is>
          <t>BD IN</t>
        </is>
      </c>
      <c r="E170" s="379" t="inlineStr">
        <is>
          <t>INE032A01023</t>
        </is>
      </c>
    </row>
    <row r="171">
      <c r="A171" s="379" t="inlineStr">
        <is>
          <t>Borosil Ltd</t>
        </is>
      </c>
      <c r="B171" s="379" t="inlineStr">
        <is>
          <t>BOROLTD</t>
        </is>
      </c>
      <c r="C171" s="380" t="n">
        <v>299229</v>
      </c>
      <c r="D171" s="379" t="inlineStr">
        <is>
          <t>BOROLTD IN</t>
        </is>
      </c>
      <c r="E171" s="379" t="inlineStr">
        <is>
          <t>INE02PY01013</t>
        </is>
      </c>
    </row>
    <row r="172">
      <c r="A172" s="379" t="inlineStr">
        <is>
          <t>Borosil Renewables Ltd</t>
        </is>
      </c>
      <c r="B172" s="379" t="inlineStr">
        <is>
          <t>BORORENEW</t>
        </is>
      </c>
      <c r="C172" s="380" t="n">
        <v>102219</v>
      </c>
      <c r="D172" s="379" t="inlineStr">
        <is>
          <t>BORORENE IN</t>
        </is>
      </c>
      <c r="E172" s="379" t="inlineStr">
        <is>
          <t>INE666D01022</t>
        </is>
      </c>
    </row>
    <row r="173">
      <c r="A173" s="379" t="inlineStr">
        <is>
          <t>Bosch Ltd</t>
        </is>
      </c>
      <c r="B173" s="379" t="inlineStr">
        <is>
          <t>BOSCHLTD</t>
        </is>
      </c>
      <c r="C173" s="380" t="n">
        <v>100530</v>
      </c>
      <c r="D173" s="379" t="inlineStr">
        <is>
          <t>BOS IN</t>
        </is>
      </c>
      <c r="E173" s="379" t="inlineStr">
        <is>
          <t>INE323A01026</t>
        </is>
      </c>
    </row>
    <row r="174">
      <c r="A174" s="379" t="inlineStr">
        <is>
          <t>Brigade Enterprises Ltd</t>
        </is>
      </c>
      <c r="B174" s="379" t="inlineStr">
        <is>
          <t>BRIGADE</t>
        </is>
      </c>
      <c r="C174" s="380" t="n">
        <v>200020</v>
      </c>
      <c r="D174" s="379" t="inlineStr">
        <is>
          <t>BRGD IN</t>
        </is>
      </c>
      <c r="E174" s="379" t="inlineStr">
        <is>
          <t>INE791I01019</t>
        </is>
      </c>
    </row>
    <row r="175">
      <c r="A175" s="379" t="inlineStr">
        <is>
          <t>Brightcom Group Ltd</t>
        </is>
      </c>
      <c r="B175" s="379" t="inlineStr">
        <is>
          <t>BCG</t>
        </is>
      </c>
      <c r="C175" s="380" t="n">
        <v>132368</v>
      </c>
      <c r="D175" s="379" t="inlineStr">
        <is>
          <t>BCG IN</t>
        </is>
      </c>
      <c r="E175" s="379" t="inlineStr">
        <is>
          <t>INE425B01027</t>
        </is>
      </c>
    </row>
    <row r="176">
      <c r="A176" s="379" t="inlineStr">
        <is>
          <t>Britannia Industries Ltd</t>
        </is>
      </c>
      <c r="B176" s="379" t="inlineStr">
        <is>
          <t>BRITANNIA</t>
        </is>
      </c>
      <c r="C176" s="380" t="n">
        <v>100825</v>
      </c>
      <c r="D176" s="379" t="inlineStr">
        <is>
          <t>BRIT IN</t>
        </is>
      </c>
      <c r="E176" s="379" t="inlineStr">
        <is>
          <t>INE216A01030</t>
        </is>
      </c>
    </row>
    <row r="177">
      <c r="A177" s="379" t="inlineStr">
        <is>
          <t>BSE Ltd</t>
        </is>
      </c>
      <c r="B177" s="379" t="inlineStr">
        <is>
          <t>BSE</t>
        </is>
      </c>
      <c r="C177" s="380" t="n">
        <v>207901</v>
      </c>
      <c r="D177" s="379" t="inlineStr">
        <is>
          <t>BSE IN</t>
        </is>
      </c>
      <c r="E177" s="379" t="inlineStr">
        <is>
          <t>INE118H01025</t>
        </is>
      </c>
    </row>
    <row r="178">
      <c r="A178" s="379" t="inlineStr">
        <is>
          <t>Burger King India Ltd</t>
        </is>
      </c>
      <c r="B178" s="379" t="inlineStr">
        <is>
          <t>BURGERKING</t>
        </is>
      </c>
      <c r="C178" s="380" t="n">
        <v>296214</v>
      </c>
      <c r="D178" s="379" t="inlineStr">
        <is>
          <t>BURGERKI IN</t>
        </is>
      </c>
      <c r="E178" s="379" t="inlineStr">
        <is>
          <t>INE07T201019</t>
        </is>
      </c>
    </row>
    <row r="179">
      <c r="A179" s="379" t="inlineStr">
        <is>
          <t>Butterfly Gandhimathi Appliances Ltd</t>
        </is>
      </c>
      <c r="B179" s="379" t="inlineStr">
        <is>
          <t>BUTTERFLY</t>
        </is>
      </c>
      <c r="C179" s="380" t="n">
        <v>117421</v>
      </c>
      <c r="D179" s="379" t="inlineStr">
        <is>
          <t>BGAL IN</t>
        </is>
      </c>
      <c r="E179" s="379" t="inlineStr">
        <is>
          <t>INE295F01017</t>
        </is>
      </c>
    </row>
    <row r="180">
      <c r="A180" s="379" t="inlineStr">
        <is>
          <t>Cadila Healthcare Ltd</t>
        </is>
      </c>
      <c r="B180" s="379" t="inlineStr">
        <is>
          <t>CADILAHC</t>
        </is>
      </c>
      <c r="C180" s="380" t="n">
        <v>132321</v>
      </c>
      <c r="D180" s="379" t="inlineStr">
        <is>
          <t>CDH IN</t>
        </is>
      </c>
      <c r="E180" s="379" t="inlineStr">
        <is>
          <t>INE010B01027</t>
        </is>
      </c>
    </row>
    <row r="181">
      <c r="A181" s="379" t="inlineStr">
        <is>
          <t>Camlin Fine Sciences Ltd</t>
        </is>
      </c>
      <c r="B181" s="379" t="inlineStr">
        <is>
          <t>CAMLINFINE</t>
        </is>
      </c>
      <c r="C181" s="380" t="n">
        <v>132834</v>
      </c>
      <c r="D181" s="379" t="inlineStr">
        <is>
          <t>CFIN IN</t>
        </is>
      </c>
      <c r="E181" s="379" t="inlineStr">
        <is>
          <t>INE052I01032</t>
        </is>
      </c>
    </row>
    <row r="182">
      <c r="A182" s="379" t="inlineStr">
        <is>
          <t>Can Fin Homes Ltd</t>
        </is>
      </c>
      <c r="B182" s="379" t="inlineStr">
        <is>
          <t>CANFINHOME</t>
        </is>
      </c>
      <c r="C182" s="380" t="n">
        <v>111196</v>
      </c>
      <c r="D182" s="379" t="inlineStr">
        <is>
          <t>CANF IN</t>
        </is>
      </c>
      <c r="E182" s="379" t="inlineStr">
        <is>
          <t>INE477A01020</t>
        </is>
      </c>
    </row>
    <row r="183">
      <c r="A183" s="379" t="inlineStr">
        <is>
          <t>Cantabil Retail India Ltd</t>
        </is>
      </c>
      <c r="B183" s="379" t="inlineStr">
        <is>
          <t>CANTABIL</t>
        </is>
      </c>
      <c r="C183" s="380" t="n">
        <v>219452</v>
      </c>
      <c r="D183" s="379" t="inlineStr">
        <is>
          <t>CANT IN</t>
        </is>
      </c>
      <c r="E183" s="379" t="inlineStr">
        <is>
          <t>INE068L01016</t>
        </is>
      </c>
    </row>
    <row r="184">
      <c r="A184" s="379" t="inlineStr">
        <is>
          <t>Capacit'e Infraprojects Ltd</t>
        </is>
      </c>
      <c r="B184" s="379" t="inlineStr">
        <is>
          <t>CAPACITE</t>
        </is>
      </c>
      <c r="C184" s="380" t="n">
        <v>285668</v>
      </c>
      <c r="D184" s="379" t="inlineStr">
        <is>
          <t>CAPACITE IN</t>
        </is>
      </c>
      <c r="E184" s="379" t="inlineStr">
        <is>
          <t>INE264T01014</t>
        </is>
      </c>
    </row>
    <row r="185">
      <c r="A185" s="379" t="inlineStr">
        <is>
          <t>Capital India Finance Ltd</t>
        </is>
      </c>
      <c r="B185" s="379" t="n"/>
      <c r="C185" s="380" t="n">
        <v>130879</v>
      </c>
      <c r="D185" s="379" t="inlineStr">
        <is>
          <t>CIFL IN</t>
        </is>
      </c>
      <c r="E185" s="379" t="inlineStr">
        <is>
          <t>INE345H01016</t>
        </is>
      </c>
    </row>
    <row r="186">
      <c r="A186" s="379" t="inlineStr">
        <is>
          <t>Caplin Point Laboratories Ltd</t>
        </is>
      </c>
      <c r="B186" s="379" t="inlineStr">
        <is>
          <t>CAPLIPOINT</t>
        </is>
      </c>
      <c r="C186" s="380" t="n">
        <v>124742</v>
      </c>
      <c r="D186" s="379" t="inlineStr">
        <is>
          <t>CLPL IN</t>
        </is>
      </c>
      <c r="E186" s="379" t="inlineStr">
        <is>
          <t>INE475E01026</t>
        </is>
      </c>
    </row>
    <row r="187">
      <c r="A187" s="379" t="inlineStr">
        <is>
          <t>Capri Global Capital Ltd</t>
        </is>
      </c>
      <c r="B187" s="379" t="inlineStr">
        <is>
          <t>CGCL</t>
        </is>
      </c>
      <c r="C187" s="380" t="n">
        <v>131595</v>
      </c>
      <c r="D187" s="379" t="inlineStr">
        <is>
          <t>CGCL IN</t>
        </is>
      </c>
      <c r="E187" s="379" t="inlineStr">
        <is>
          <t>INE180C01026</t>
        </is>
      </c>
    </row>
    <row r="188">
      <c r="A188" s="379" t="inlineStr">
        <is>
          <t>Carborundum Universal Ltd</t>
        </is>
      </c>
      <c r="B188" s="379" t="inlineStr">
        <is>
          <t>CARBORUNIV</t>
        </is>
      </c>
      <c r="C188" s="380" t="n">
        <v>113375</v>
      </c>
      <c r="D188" s="379" t="inlineStr">
        <is>
          <t>CU IN</t>
        </is>
      </c>
      <c r="E188" s="379" t="inlineStr">
        <is>
          <t>INE120A01034</t>
        </is>
      </c>
    </row>
    <row r="189">
      <c r="A189" s="379" t="inlineStr">
        <is>
          <t>Care Ratings Ltd</t>
        </is>
      </c>
      <c r="B189" s="379" t="inlineStr">
        <is>
          <t>CARERATING</t>
        </is>
      </c>
      <c r="C189" s="380" t="n">
        <v>227347</v>
      </c>
      <c r="D189" s="379" t="inlineStr">
        <is>
          <t>CARE IN</t>
        </is>
      </c>
      <c r="E189" s="379" t="inlineStr">
        <is>
          <t>INE752H01013</t>
        </is>
      </c>
    </row>
    <row r="190">
      <c r="A190" s="379" t="inlineStr">
        <is>
          <t>CarTrade Tech Ltd</t>
        </is>
      </c>
      <c r="B190" s="379" t="inlineStr">
        <is>
          <t>CARTRADE</t>
        </is>
      </c>
      <c r="C190" s="380" t="n">
        <v>275316</v>
      </c>
      <c r="D190" s="379" t="inlineStr">
        <is>
          <t>CARTRADE IN</t>
        </is>
      </c>
      <c r="E190" s="379" t="inlineStr">
        <is>
          <t>INE290S01011</t>
        </is>
      </c>
    </row>
    <row r="191">
      <c r="A191" s="379" t="inlineStr">
        <is>
          <t>Castrol India Ltd</t>
        </is>
      </c>
      <c r="B191" s="379" t="inlineStr">
        <is>
          <t>CASTROLIND</t>
        </is>
      </c>
      <c r="C191" s="380" t="n">
        <v>100870</v>
      </c>
      <c r="D191" s="379" t="inlineStr">
        <is>
          <t>CSTRL IN</t>
        </is>
      </c>
      <c r="E191" s="379" t="inlineStr">
        <is>
          <t>INE172A01027</t>
        </is>
      </c>
    </row>
    <row r="192">
      <c r="A192" s="379" t="inlineStr">
        <is>
          <t>CCL Products (India) Ltd</t>
        </is>
      </c>
      <c r="B192" s="379" t="inlineStr">
        <is>
          <t>CCL</t>
        </is>
      </c>
      <c r="C192" s="380" t="n">
        <v>119600</v>
      </c>
      <c r="D192" s="379" t="inlineStr">
        <is>
          <t>CCLP IN</t>
        </is>
      </c>
      <c r="E192" s="379" t="inlineStr">
        <is>
          <t>INE421D01022</t>
        </is>
      </c>
    </row>
    <row r="193">
      <c r="A193" s="379" t="inlineStr">
        <is>
          <t>CE Info Systems Ltd</t>
        </is>
      </c>
      <c r="B193" s="379" t="inlineStr">
        <is>
          <t>MAPMYINDIA</t>
        </is>
      </c>
      <c r="C193" s="380" t="n">
        <v>303322</v>
      </c>
      <c r="D193" s="379" t="inlineStr">
        <is>
          <t>MAPMYIND IN</t>
        </is>
      </c>
      <c r="E193" s="379" t="inlineStr">
        <is>
          <t>INE0BV301023</t>
        </is>
      </c>
    </row>
    <row r="194">
      <c r="A194" s="379" t="inlineStr">
        <is>
          <t>Ceat Ltd</t>
        </is>
      </c>
      <c r="B194" s="379" t="inlineStr">
        <is>
          <t>CEATLTD</t>
        </is>
      </c>
      <c r="C194" s="380" t="n">
        <v>100878</v>
      </c>
      <c r="D194" s="379" t="inlineStr">
        <is>
          <t>CEAT IN</t>
        </is>
      </c>
      <c r="E194" s="379" t="inlineStr">
        <is>
          <t>INE482A01020</t>
        </is>
      </c>
    </row>
    <row r="195">
      <c r="A195" s="379" t="inlineStr">
        <is>
          <t>Central Bank Of India</t>
        </is>
      </c>
      <c r="B195" s="379" t="inlineStr">
        <is>
          <t>CENTRALBK</t>
        </is>
      </c>
      <c r="C195" s="380" t="n">
        <v>132885</v>
      </c>
      <c r="D195" s="379" t="inlineStr">
        <is>
          <t>CBOI IN</t>
        </is>
      </c>
      <c r="E195" s="379" t="inlineStr">
        <is>
          <t>INE483A01010</t>
        </is>
      </c>
    </row>
    <row r="196">
      <c r="A196" s="379" t="inlineStr">
        <is>
          <t>Central Depository Services (India) Ltd</t>
        </is>
      </c>
      <c r="B196" s="379" t="inlineStr">
        <is>
          <t>CDSL</t>
        </is>
      </c>
      <c r="C196" s="380" t="n">
        <v>207950</v>
      </c>
      <c r="D196" s="379" t="inlineStr">
        <is>
          <t>CDSL IN</t>
        </is>
      </c>
      <c r="E196" s="379" t="inlineStr">
        <is>
          <t>INE736A01011</t>
        </is>
      </c>
    </row>
    <row r="197">
      <c r="A197" s="379" t="inlineStr">
        <is>
          <t>Centrum Capital Ltd</t>
        </is>
      </c>
      <c r="B197" s="379" t="inlineStr">
        <is>
          <t>CENTRUM</t>
        </is>
      </c>
      <c r="C197" s="380" t="n">
        <v>101150</v>
      </c>
      <c r="D197" s="379" t="inlineStr">
        <is>
          <t>CECA IN</t>
        </is>
      </c>
      <c r="E197" s="379" t="inlineStr">
        <is>
          <t>INE660C01027</t>
        </is>
      </c>
    </row>
    <row r="198">
      <c r="A198" s="379" t="inlineStr">
        <is>
          <t>Centum Electronics Ltd</t>
        </is>
      </c>
      <c r="B198" s="379" t="inlineStr">
        <is>
          <t>CENTUM</t>
        </is>
      </c>
      <c r="C198" s="380" t="n">
        <v>117544</v>
      </c>
      <c r="D198" s="379" t="inlineStr">
        <is>
          <t>CTE IN</t>
        </is>
      </c>
      <c r="E198" s="379" t="inlineStr">
        <is>
          <t>INE320B01020</t>
        </is>
      </c>
    </row>
    <row r="199">
      <c r="A199" s="379" t="inlineStr">
        <is>
          <t>Century Enka Ltd</t>
        </is>
      </c>
      <c r="B199" s="379" t="inlineStr">
        <is>
          <t>CENTENKA</t>
        </is>
      </c>
      <c r="C199" s="380" t="n">
        <v>100280</v>
      </c>
      <c r="D199" s="379" t="inlineStr">
        <is>
          <t>CENK IN</t>
        </is>
      </c>
      <c r="E199" s="379" t="inlineStr">
        <is>
          <t>INE485A01015</t>
        </is>
      </c>
    </row>
    <row r="200">
      <c r="A200" s="379" t="inlineStr">
        <is>
          <t>Century Plyboards (India) Ltd</t>
        </is>
      </c>
      <c r="B200" s="379" t="inlineStr">
        <is>
          <t>CENTURYPLY</t>
        </is>
      </c>
      <c r="C200" s="380" t="n">
        <v>132548</v>
      </c>
      <c r="D200" s="379" t="inlineStr">
        <is>
          <t>CPBI IN</t>
        </is>
      </c>
      <c r="E200" s="379" t="inlineStr">
        <is>
          <t>INE348B01021</t>
        </is>
      </c>
    </row>
    <row r="201">
      <c r="A201" s="379" t="inlineStr">
        <is>
          <t>Century Textiles &amp; Industries Ltd</t>
        </is>
      </c>
      <c r="B201" s="379" t="inlineStr">
        <is>
          <t>CENTURYTEX</t>
        </is>
      </c>
      <c r="C201" s="380" t="n">
        <v>100040</v>
      </c>
      <c r="D201" s="379" t="inlineStr">
        <is>
          <t>CENT IN</t>
        </is>
      </c>
      <c r="E201" s="379" t="inlineStr">
        <is>
          <t>INE055A01016</t>
        </is>
      </c>
    </row>
    <row r="202">
      <c r="A202" s="379" t="inlineStr">
        <is>
          <t>Cera Sanitaryware Ltd</t>
        </is>
      </c>
      <c r="B202" s="379" t="inlineStr">
        <is>
          <t>CERA</t>
        </is>
      </c>
      <c r="C202" s="380" t="n">
        <v>132443</v>
      </c>
      <c r="D202" s="379" t="inlineStr">
        <is>
          <t>CRS IN</t>
        </is>
      </c>
      <c r="E202" s="379" t="inlineStr">
        <is>
          <t>INE739E01017</t>
        </is>
      </c>
    </row>
    <row r="203">
      <c r="A203" s="379" t="inlineStr">
        <is>
          <t>Cerebra Integrated Technologies Ltd</t>
        </is>
      </c>
      <c r="B203" s="379" t="inlineStr">
        <is>
          <t>CEREBRAINT</t>
        </is>
      </c>
      <c r="C203" s="380" t="n">
        <v>132413</v>
      </c>
      <c r="D203" s="379" t="inlineStr">
        <is>
          <t>CIT IN</t>
        </is>
      </c>
      <c r="E203" s="379" t="inlineStr">
        <is>
          <t>INE345B01019</t>
        </is>
      </c>
    </row>
    <row r="204">
      <c r="A204" s="379" t="inlineStr">
        <is>
          <t>CESC Ltd</t>
        </is>
      </c>
      <c r="B204" s="379" t="inlineStr">
        <is>
          <t>CESC</t>
        </is>
      </c>
      <c r="C204" s="380" t="n">
        <v>100084</v>
      </c>
      <c r="D204" s="379" t="inlineStr">
        <is>
          <t>CESC IN</t>
        </is>
      </c>
      <c r="E204" s="379" t="inlineStr">
        <is>
          <t>INE486A01021</t>
        </is>
      </c>
    </row>
    <row r="205">
      <c r="A205" s="379" t="inlineStr">
        <is>
          <t>CG Power and Industrial Solutions Ltd</t>
        </is>
      </c>
      <c r="B205" s="379" t="inlineStr">
        <is>
          <t>CGPOWER</t>
        </is>
      </c>
      <c r="C205" s="380" t="n">
        <v>100093</v>
      </c>
      <c r="D205" s="379" t="inlineStr">
        <is>
          <t>CGPOWER IN</t>
        </is>
      </c>
      <c r="E205" s="379" t="inlineStr">
        <is>
          <t>INE067A01029</t>
        </is>
      </c>
    </row>
    <row r="206">
      <c r="A206" s="379" t="inlineStr">
        <is>
          <t>Chalet Hotels Ltd</t>
        </is>
      </c>
      <c r="B206" s="379" t="inlineStr">
        <is>
          <t>CHALET</t>
        </is>
      </c>
      <c r="C206" s="380" t="n">
        <v>207959</v>
      </c>
      <c r="D206" s="379" t="inlineStr">
        <is>
          <t>CHALET IN</t>
        </is>
      </c>
      <c r="E206" s="379" t="inlineStr">
        <is>
          <t>INE427F01016</t>
        </is>
      </c>
    </row>
    <row r="207">
      <c r="A207" s="379" t="inlineStr">
        <is>
          <t>Chambal Fertilisers and Chemicals Ltd</t>
        </is>
      </c>
      <c r="B207" s="379" t="inlineStr">
        <is>
          <t>CHAMBLFERT</t>
        </is>
      </c>
      <c r="C207" s="380" t="n">
        <v>100085</v>
      </c>
      <c r="D207" s="379" t="inlineStr">
        <is>
          <t>CHMB IN</t>
        </is>
      </c>
      <c r="E207" s="379" t="inlineStr">
        <is>
          <t>INE085A01013</t>
        </is>
      </c>
    </row>
    <row r="208">
      <c r="A208" s="379" t="inlineStr">
        <is>
          <t>Chemcon Speciality Chemicals Ltd</t>
        </is>
      </c>
      <c r="B208" s="379" t="inlineStr">
        <is>
          <t>CHEMCON</t>
        </is>
      </c>
      <c r="C208" s="380" t="n">
        <v>295757</v>
      </c>
      <c r="D208" s="379" t="inlineStr">
        <is>
          <t>CHEMCON IN</t>
        </is>
      </c>
      <c r="E208" s="379" t="inlineStr">
        <is>
          <t>INE03YM01018</t>
        </is>
      </c>
    </row>
    <row r="209">
      <c r="A209" s="379" t="inlineStr">
        <is>
          <t>Chemplast Sanmar Ltd</t>
        </is>
      </c>
      <c r="B209" s="379" t="inlineStr">
        <is>
          <t>CHEMPLASTS</t>
        </is>
      </c>
      <c r="C209" s="380" t="n">
        <v>106355</v>
      </c>
      <c r="D209" s="379" t="inlineStr">
        <is>
          <t>CPI IN</t>
        </is>
      </c>
      <c r="E209" s="379" t="inlineStr">
        <is>
          <t>INE488A01050</t>
        </is>
      </c>
    </row>
    <row r="210">
      <c r="A210" s="379" t="inlineStr">
        <is>
          <t>Chennai Petroleum Corporation Ltd</t>
        </is>
      </c>
      <c r="B210" s="379" t="inlineStr">
        <is>
          <t>CHENNPETRO</t>
        </is>
      </c>
      <c r="C210" s="380" t="n">
        <v>100110</v>
      </c>
      <c r="D210" s="379" t="inlineStr">
        <is>
          <t>MRL IN</t>
        </is>
      </c>
      <c r="E210" s="379" t="inlineStr">
        <is>
          <t>INE178A01016</t>
        </is>
      </c>
    </row>
    <row r="211">
      <c r="A211" s="379" t="inlineStr">
        <is>
          <t>Cheviot Company Ltd</t>
        </is>
      </c>
      <c r="B211" s="379" t="n"/>
      <c r="C211" s="380" t="n">
        <v>126817</v>
      </c>
      <c r="D211" s="379" t="inlineStr">
        <is>
          <t>CVC IN</t>
        </is>
      </c>
      <c r="E211" s="379" t="inlineStr">
        <is>
          <t>INE974B01016</t>
        </is>
      </c>
    </row>
    <row r="212">
      <c r="A212" s="379" t="inlineStr">
        <is>
          <t>Choice International Ltd</t>
        </is>
      </c>
      <c r="B212" s="379" t="n"/>
      <c r="C212" s="380" t="n">
        <v>131358</v>
      </c>
      <c r="D212" s="379" t="inlineStr">
        <is>
          <t>CFIS IN</t>
        </is>
      </c>
      <c r="E212" s="379" t="inlineStr">
        <is>
          <t>INE102B01014</t>
        </is>
      </c>
    </row>
    <row r="213">
      <c r="A213" s="379" t="inlineStr">
        <is>
          <t>Cholamandalam Financial Holdings Ltd</t>
        </is>
      </c>
      <c r="B213" s="379" t="inlineStr">
        <is>
          <t>CHOLAHLDNG</t>
        </is>
      </c>
      <c r="C213" s="380" t="n">
        <v>104973</v>
      </c>
      <c r="D213" s="379" t="inlineStr">
        <is>
          <t>CHOLAHLD IN</t>
        </is>
      </c>
      <c r="E213" s="379" t="inlineStr">
        <is>
          <t>INE149A01033</t>
        </is>
      </c>
    </row>
    <row r="214">
      <c r="A214" s="379" t="inlineStr">
        <is>
          <t>Cholamandalam Investment and Finance Company Ltd</t>
        </is>
      </c>
      <c r="B214" s="379" t="inlineStr">
        <is>
          <t>CHOLAFIN</t>
        </is>
      </c>
      <c r="C214" s="380" t="n">
        <v>111243</v>
      </c>
      <c r="D214" s="379" t="inlineStr">
        <is>
          <t>CIFC IN</t>
        </is>
      </c>
      <c r="E214" s="379" t="inlineStr">
        <is>
          <t>INE121A01024</t>
        </is>
      </c>
    </row>
    <row r="215">
      <c r="A215" s="379" t="inlineStr">
        <is>
          <t>Cigniti Technologies Ltd</t>
        </is>
      </c>
      <c r="B215" s="379" t="inlineStr">
        <is>
          <t>CIGNITITEC</t>
        </is>
      </c>
      <c r="C215" s="380" t="n">
        <v>205759</v>
      </c>
      <c r="D215" s="379" t="inlineStr">
        <is>
          <t>CIGN IN</t>
        </is>
      </c>
      <c r="E215" s="379" t="inlineStr">
        <is>
          <t>INE675C01017</t>
        </is>
      </c>
    </row>
    <row r="216">
      <c r="A216" s="379" t="inlineStr">
        <is>
          <t>Cipla Ltd</t>
        </is>
      </c>
      <c r="B216" s="379" t="inlineStr">
        <is>
          <t>CIPLA</t>
        </is>
      </c>
      <c r="C216" s="380" t="n">
        <v>100087</v>
      </c>
      <c r="D216" s="379" t="inlineStr">
        <is>
          <t>CIPLA IN</t>
        </is>
      </c>
      <c r="E216" s="379" t="inlineStr">
        <is>
          <t>INE059A01026</t>
        </is>
      </c>
    </row>
    <row r="217">
      <c r="A217" s="379" t="inlineStr">
        <is>
          <t>City Union Bank Ltd</t>
        </is>
      </c>
      <c r="B217" s="379" t="inlineStr">
        <is>
          <t>CUB</t>
        </is>
      </c>
      <c r="C217" s="380" t="n">
        <v>132210</v>
      </c>
      <c r="D217" s="379" t="inlineStr">
        <is>
          <t>CUBK IN</t>
        </is>
      </c>
      <c r="E217" s="379" t="inlineStr">
        <is>
          <t>INE491A01021</t>
        </is>
      </c>
    </row>
    <row r="218">
      <c r="A218" s="379" t="inlineStr">
        <is>
          <t>Clariant Chemicals (India) Ltd</t>
        </is>
      </c>
      <c r="B218" s="379" t="inlineStr">
        <is>
          <t>CLNINDIA</t>
        </is>
      </c>
      <c r="C218" s="380" t="n">
        <v>106390</v>
      </c>
      <c r="D218" s="379" t="inlineStr">
        <is>
          <t>CLRC IN</t>
        </is>
      </c>
      <c r="E218" s="379" t="inlineStr">
        <is>
          <t>INE492A01029</t>
        </is>
      </c>
    </row>
    <row r="219">
      <c r="A219" s="379" t="inlineStr">
        <is>
          <t>Clean Science And Technology Ltd</t>
        </is>
      </c>
      <c r="B219" s="379" t="inlineStr">
        <is>
          <t>CLEAN</t>
        </is>
      </c>
      <c r="C219" s="380" t="n">
        <v>301912</v>
      </c>
      <c r="D219" s="379" t="inlineStr">
        <is>
          <t>CLEAN IN</t>
        </is>
      </c>
      <c r="E219" s="379" t="inlineStr">
        <is>
          <t>INE227W01023</t>
        </is>
      </c>
    </row>
    <row r="220">
      <c r="A220" s="379" t="inlineStr">
        <is>
          <t>Coal India Ltd</t>
        </is>
      </c>
      <c r="B220" s="379" t="inlineStr">
        <is>
          <t>COALINDIA</t>
        </is>
      </c>
      <c r="C220" s="380" t="n">
        <v>219300</v>
      </c>
      <c r="D220" s="379" t="inlineStr">
        <is>
          <t>COAL IN</t>
        </is>
      </c>
      <c r="E220" s="379" t="inlineStr">
        <is>
          <t>INE522F01014</t>
        </is>
      </c>
    </row>
    <row r="221">
      <c r="A221" s="379" t="inlineStr">
        <is>
          <t>Cochin Shipyard Ltd</t>
        </is>
      </c>
      <c r="B221" s="379" t="inlineStr">
        <is>
          <t>COCHINSHIP</t>
        </is>
      </c>
      <c r="C221" s="380" t="n">
        <v>219691</v>
      </c>
      <c r="D221" s="379" t="inlineStr">
        <is>
          <t>COCHIN IN</t>
        </is>
      </c>
      <c r="E221" s="379" t="inlineStr">
        <is>
          <t>INE704P01017</t>
        </is>
      </c>
    </row>
    <row r="222">
      <c r="A222" s="379" t="inlineStr">
        <is>
          <t>Coffee Day Enterprises Ltd</t>
        </is>
      </c>
      <c r="B222" s="379" t="inlineStr">
        <is>
          <t>COFFEEDAY</t>
        </is>
      </c>
      <c r="C222" s="380" t="n">
        <v>232575</v>
      </c>
      <c r="D222" s="379" t="inlineStr">
        <is>
          <t>CCD IN</t>
        </is>
      </c>
      <c r="E222" s="379" t="inlineStr">
        <is>
          <t>INE335K01011</t>
        </is>
      </c>
    </row>
    <row r="223">
      <c r="A223" s="379" t="inlineStr">
        <is>
          <t>Coforge Ltd</t>
        </is>
      </c>
      <c r="B223" s="379" t="inlineStr">
        <is>
          <t>COFORGE</t>
        </is>
      </c>
      <c r="C223" s="380" t="n">
        <v>132541</v>
      </c>
      <c r="D223" s="379" t="inlineStr">
        <is>
          <t>COFORGE IN</t>
        </is>
      </c>
      <c r="E223" s="379" t="inlineStr">
        <is>
          <t>INE591G01017</t>
        </is>
      </c>
    </row>
    <row r="224">
      <c r="A224" s="379" t="inlineStr">
        <is>
          <t>Colgate-Palmolive (India) Ltd</t>
        </is>
      </c>
      <c r="B224" s="379" t="inlineStr">
        <is>
          <t>COLPAL</t>
        </is>
      </c>
      <c r="C224" s="380" t="n">
        <v>100830</v>
      </c>
      <c r="D224" s="379" t="inlineStr">
        <is>
          <t>CLGT IN</t>
        </is>
      </c>
      <c r="E224" s="379" t="inlineStr">
        <is>
          <t>INE259A01022</t>
        </is>
      </c>
    </row>
    <row r="225">
      <c r="A225" s="379" t="inlineStr">
        <is>
          <t>Computer Age Management Services Ltd</t>
        </is>
      </c>
      <c r="B225" s="379" t="inlineStr">
        <is>
          <t>CAMS</t>
        </is>
      </c>
      <c r="C225" s="380" t="n">
        <v>210036</v>
      </c>
      <c r="D225" s="379" t="inlineStr">
        <is>
          <t>CAMS IN</t>
        </is>
      </c>
      <c r="E225" s="379" t="inlineStr">
        <is>
          <t>INE596I01012</t>
        </is>
      </c>
    </row>
    <row r="226">
      <c r="A226" s="379" t="inlineStr">
        <is>
          <t>Confidence Petroleum India Ltd</t>
        </is>
      </c>
      <c r="B226" s="379" t="inlineStr">
        <is>
          <t>CONFIPET</t>
        </is>
      </c>
      <c r="C226" s="380" t="n">
        <v>126829</v>
      </c>
      <c r="D226" s="379" t="inlineStr">
        <is>
          <t>CONF IN</t>
        </is>
      </c>
      <c r="E226" s="379" t="inlineStr">
        <is>
          <t>INE552D01024</t>
        </is>
      </c>
    </row>
    <row r="227">
      <c r="A227" s="379" t="inlineStr">
        <is>
          <t>Consolidated Finvest &amp; Holdings Ltd</t>
        </is>
      </c>
      <c r="B227" s="379" t="inlineStr">
        <is>
          <t>CONSOFINVT</t>
        </is>
      </c>
      <c r="C227" s="380" t="n">
        <v>100226</v>
      </c>
      <c r="D227" s="379" t="inlineStr">
        <is>
          <t>CDFH IN</t>
        </is>
      </c>
      <c r="E227" s="379" t="inlineStr">
        <is>
          <t>INE025A01027</t>
        </is>
      </c>
    </row>
    <row r="228">
      <c r="A228" s="379" t="inlineStr">
        <is>
          <t>Container Corporation Of India Ltd</t>
        </is>
      </c>
      <c r="B228" s="379" t="inlineStr">
        <is>
          <t>CONCOR</t>
        </is>
      </c>
      <c r="C228" s="380" t="n">
        <v>131344</v>
      </c>
      <c r="D228" s="379" t="inlineStr">
        <is>
          <t>CCRI IN</t>
        </is>
      </c>
      <c r="E228" s="379" t="inlineStr">
        <is>
          <t>INE111A01025</t>
        </is>
      </c>
    </row>
    <row r="229">
      <c r="A229" s="379" t="inlineStr">
        <is>
          <t>Control Print Ltd</t>
        </is>
      </c>
      <c r="B229" s="379" t="inlineStr">
        <is>
          <t>CONTROLPR</t>
        </is>
      </c>
      <c r="C229" s="380" t="n">
        <v>122295</v>
      </c>
      <c r="D229" s="379" t="inlineStr">
        <is>
          <t>CTPI IN</t>
        </is>
      </c>
      <c r="E229" s="379" t="inlineStr">
        <is>
          <t>INE663B01015</t>
        </is>
      </c>
    </row>
    <row r="230">
      <c r="A230" s="379" t="inlineStr">
        <is>
          <t>Coromandel International Ltd</t>
        </is>
      </c>
      <c r="B230" s="379" t="inlineStr">
        <is>
          <t>COROMANDEL</t>
        </is>
      </c>
      <c r="C230" s="380" t="n">
        <v>106395</v>
      </c>
      <c r="D230" s="379" t="inlineStr">
        <is>
          <t>CRIN IN</t>
        </is>
      </c>
      <c r="E230" s="379" t="inlineStr">
        <is>
          <t>INE169A01031</t>
        </is>
      </c>
    </row>
    <row r="231">
      <c r="A231" s="379" t="inlineStr">
        <is>
          <t>Cosmo Films Ltd</t>
        </is>
      </c>
      <c r="B231" s="379" t="inlineStr">
        <is>
          <t>COSMOFILMS</t>
        </is>
      </c>
      <c r="C231" s="380" t="n">
        <v>108814</v>
      </c>
      <c r="D231" s="379" t="inlineStr">
        <is>
          <t>CFLM IN</t>
        </is>
      </c>
      <c r="E231" s="379" t="inlineStr">
        <is>
          <t>INE757A01017</t>
        </is>
      </c>
    </row>
    <row r="232">
      <c r="A232" s="379" t="inlineStr">
        <is>
          <t>Craftsman Automation Ltd</t>
        </is>
      </c>
      <c r="B232" s="379" t="inlineStr">
        <is>
          <t>CRAFTSMAN</t>
        </is>
      </c>
      <c r="C232" s="380" t="n">
        <v>215216</v>
      </c>
      <c r="D232" s="379" t="inlineStr">
        <is>
          <t>CRAFTSMA IN</t>
        </is>
      </c>
      <c r="E232" s="379" t="inlineStr">
        <is>
          <t>INE00LO01017</t>
        </is>
      </c>
    </row>
    <row r="233">
      <c r="A233" s="379" t="inlineStr">
        <is>
          <t>Creative Newtech Ltd</t>
        </is>
      </c>
      <c r="B233" s="379" t="inlineStr">
        <is>
          <t>CREATIVE</t>
        </is>
      </c>
      <c r="C233" s="380" t="n">
        <v>285246</v>
      </c>
      <c r="D233" s="379" t="inlineStr">
        <is>
          <t>CREATIVE IN</t>
        </is>
      </c>
      <c r="E233" s="379" t="inlineStr">
        <is>
          <t>INE985W01018</t>
        </is>
      </c>
    </row>
    <row r="234">
      <c r="A234" s="379" t="inlineStr">
        <is>
          <t>CreditAccess Grameen Ltd</t>
        </is>
      </c>
      <c r="B234" s="379" t="inlineStr">
        <is>
          <t>CREDITACC</t>
        </is>
      </c>
      <c r="C234" s="380" t="n">
        <v>221842</v>
      </c>
      <c r="D234" s="379" t="inlineStr">
        <is>
          <t>CREDAG IN</t>
        </is>
      </c>
      <c r="E234" s="379" t="inlineStr">
        <is>
          <t>INE741K01010</t>
        </is>
      </c>
    </row>
    <row r="235">
      <c r="A235" s="379" t="inlineStr">
        <is>
          <t>CRISIL Ltd</t>
        </is>
      </c>
      <c r="B235" s="379" t="inlineStr">
        <is>
          <t>CRISIL</t>
        </is>
      </c>
      <c r="C235" s="380" t="n">
        <v>100092</v>
      </c>
      <c r="D235" s="379" t="inlineStr">
        <is>
          <t>CRISIL IN</t>
        </is>
      </c>
      <c r="E235" s="379" t="inlineStr">
        <is>
          <t>INE007A01025</t>
        </is>
      </c>
    </row>
    <row r="236">
      <c r="A236" s="379" t="inlineStr">
        <is>
          <t>Crompton Greaves Consumer Electricals Ltd</t>
        </is>
      </c>
      <c r="B236" s="379" t="inlineStr">
        <is>
          <t>CROMPTON</t>
        </is>
      </c>
      <c r="C236" s="380" t="n">
        <v>280713</v>
      </c>
      <c r="D236" s="379" t="inlineStr">
        <is>
          <t>CROMPTON IN</t>
        </is>
      </c>
      <c r="E236" s="379" t="inlineStr">
        <is>
          <t>INE299U01018</t>
        </is>
      </c>
    </row>
    <row r="237">
      <c r="A237" s="379" t="inlineStr">
        <is>
          <t>CSB Bank Ltd</t>
        </is>
      </c>
      <c r="B237" s="379" t="inlineStr">
        <is>
          <t>CSBBANK</t>
        </is>
      </c>
      <c r="C237" s="380" t="n">
        <v>295768</v>
      </c>
      <c r="D237" s="379" t="inlineStr">
        <is>
          <t>CSBBANK IN</t>
        </is>
      </c>
      <c r="E237" s="379" t="inlineStr">
        <is>
          <t>INE679A01013</t>
        </is>
      </c>
    </row>
    <row r="238">
      <c r="A238" s="379" t="inlineStr">
        <is>
          <t>Cummins India Ltd</t>
        </is>
      </c>
      <c r="B238" s="379" t="inlineStr">
        <is>
          <t>CUMMINSIND</t>
        </is>
      </c>
      <c r="C238" s="380" t="n">
        <v>100480</v>
      </c>
      <c r="D238" s="379" t="inlineStr">
        <is>
          <t>KKC IN</t>
        </is>
      </c>
      <c r="E238" s="379" t="inlineStr">
        <is>
          <t>INE298A01020</t>
        </is>
      </c>
    </row>
    <row r="239">
      <c r="A239" s="379" t="inlineStr">
        <is>
          <t>Cyient Ltd</t>
        </is>
      </c>
      <c r="B239" s="379" t="inlineStr">
        <is>
          <t>CYIENT</t>
        </is>
      </c>
      <c r="C239" s="380" t="n">
        <v>132175</v>
      </c>
      <c r="D239" s="379" t="inlineStr">
        <is>
          <t>CYL IN</t>
        </is>
      </c>
      <c r="E239" s="379" t="inlineStr">
        <is>
          <t>INE136B01020</t>
        </is>
      </c>
    </row>
    <row r="240">
      <c r="A240" s="379" t="inlineStr">
        <is>
          <t>DBCorp Ltd</t>
        </is>
      </c>
      <c r="B240" s="379" t="inlineStr">
        <is>
          <t>DBCORP</t>
        </is>
      </c>
      <c r="C240" s="380" t="n">
        <v>200067</v>
      </c>
      <c r="D240" s="379" t="inlineStr">
        <is>
          <t>DBCL IN</t>
        </is>
      </c>
      <c r="E240" s="379" t="inlineStr">
        <is>
          <t>INE950I01011</t>
        </is>
      </c>
    </row>
    <row r="241">
      <c r="A241" s="379" t="inlineStr">
        <is>
          <t>DPAbhushan Ltd</t>
        </is>
      </c>
      <c r="B241" s="379" t="inlineStr">
        <is>
          <t>DPABHUSHAN</t>
        </is>
      </c>
      <c r="C241" s="380" t="n">
        <v>287446</v>
      </c>
      <c r="D241" s="379" t="inlineStr">
        <is>
          <t>DPAL IN</t>
        </is>
      </c>
      <c r="E241" s="379" t="inlineStr">
        <is>
          <t>INE266Y01019</t>
        </is>
      </c>
    </row>
    <row r="242">
      <c r="A242" s="379" t="inlineStr">
        <is>
          <t>Dabur India Ltd</t>
        </is>
      </c>
      <c r="B242" s="379" t="inlineStr">
        <is>
          <t>DABUR</t>
        </is>
      </c>
      <c r="C242" s="380" t="n">
        <v>100096</v>
      </c>
      <c r="D242" s="379" t="inlineStr">
        <is>
          <t>DABUR IN</t>
        </is>
      </c>
      <c r="E242" s="379" t="inlineStr">
        <is>
          <t>INE016A01026</t>
        </is>
      </c>
    </row>
    <row r="243">
      <c r="A243" s="379" t="inlineStr">
        <is>
          <t>Dalmia Bharat Ltd</t>
        </is>
      </c>
      <c r="B243" s="379" t="inlineStr">
        <is>
          <t>DALBHARAT</t>
        </is>
      </c>
      <c r="C243" s="380" t="n">
        <v>293380</v>
      </c>
      <c r="D243" s="379" t="inlineStr">
        <is>
          <t>DALBHARA IN</t>
        </is>
      </c>
      <c r="E243" s="379" t="inlineStr">
        <is>
          <t>INE00R701025</t>
        </is>
      </c>
    </row>
    <row r="244">
      <c r="A244" s="379" t="inlineStr">
        <is>
          <t>Dalmia Bharat Sugar And Industries Ltd</t>
        </is>
      </c>
      <c r="B244" s="379" t="inlineStr">
        <is>
          <t>DALMIASUG</t>
        </is>
      </c>
      <c r="C244" s="380" t="n">
        <v>100097</v>
      </c>
      <c r="D244" s="379" t="inlineStr">
        <is>
          <t>DCB IN</t>
        </is>
      </c>
      <c r="E244" s="379" t="inlineStr">
        <is>
          <t>INE495A01022</t>
        </is>
      </c>
    </row>
    <row r="245">
      <c r="A245" s="379" t="inlineStr">
        <is>
          <t>Data Patterns (India) Ltd</t>
        </is>
      </c>
      <c r="B245" s="379" t="inlineStr">
        <is>
          <t>DATAPATTNS</t>
        </is>
      </c>
      <c r="C245" s="380" t="n">
        <v>222554</v>
      </c>
      <c r="D245" s="379" t="inlineStr">
        <is>
          <t>DATAPATT IN</t>
        </is>
      </c>
      <c r="E245" s="379" t="inlineStr">
        <is>
          <t>INE0IX101010</t>
        </is>
      </c>
    </row>
    <row r="246">
      <c r="A246" s="379" t="inlineStr">
        <is>
          <t>Datamatics Global Services Ltd</t>
        </is>
      </c>
      <c r="B246" s="379" t="inlineStr">
        <is>
          <t>DATAMATICS</t>
        </is>
      </c>
      <c r="C246" s="380" t="n">
        <v>132528</v>
      </c>
      <c r="D246" s="379" t="inlineStr">
        <is>
          <t>DATA IN</t>
        </is>
      </c>
      <c r="E246" s="379" t="inlineStr">
        <is>
          <t>INE365B01017</t>
        </is>
      </c>
    </row>
    <row r="247">
      <c r="A247" s="379" t="inlineStr">
        <is>
          <t>DB Realty Ltd</t>
        </is>
      </c>
      <c r="B247" s="379" t="inlineStr">
        <is>
          <t>DBREALTY</t>
        </is>
      </c>
      <c r="C247" s="380" t="n">
        <v>219492</v>
      </c>
      <c r="D247" s="379" t="inlineStr">
        <is>
          <t>DBRL IN</t>
        </is>
      </c>
      <c r="E247" s="379" t="inlineStr">
        <is>
          <t>INE879I01012</t>
        </is>
      </c>
    </row>
    <row r="248">
      <c r="A248" s="379" t="inlineStr">
        <is>
          <t>DCB Bank Ltd</t>
        </is>
      </c>
      <c r="B248" s="379" t="inlineStr">
        <is>
          <t>DCBBANK</t>
        </is>
      </c>
      <c r="C248" s="380" t="n">
        <v>132772</v>
      </c>
      <c r="D248" s="379" t="inlineStr">
        <is>
          <t>DCBB IN</t>
        </is>
      </c>
      <c r="E248" s="379" t="inlineStr">
        <is>
          <t>INE503A01015</t>
        </is>
      </c>
    </row>
    <row r="249">
      <c r="A249" s="379" t="inlineStr">
        <is>
          <t>DCM Nouvelle Ltd</t>
        </is>
      </c>
      <c r="B249" s="379" t="inlineStr">
        <is>
          <t>DCMNVL</t>
        </is>
      </c>
      <c r="C249" s="380" t="n">
        <v>295658</v>
      </c>
      <c r="D249" s="379" t="inlineStr">
        <is>
          <t>DCMNVL IN</t>
        </is>
      </c>
      <c r="E249" s="379" t="inlineStr">
        <is>
          <t>INE08KP01019</t>
        </is>
      </c>
    </row>
    <row r="250">
      <c r="A250" s="379" t="inlineStr">
        <is>
          <t>DCM Shriram Industries Ltd</t>
        </is>
      </c>
      <c r="B250" s="379" t="inlineStr">
        <is>
          <t>DCMSRIND</t>
        </is>
      </c>
      <c r="C250" s="380" t="n">
        <v>123369</v>
      </c>
      <c r="D250" s="379" t="inlineStr">
        <is>
          <t>DCMSI IN</t>
        </is>
      </c>
      <c r="E250" s="379" t="inlineStr">
        <is>
          <t>INE843D01027</t>
        </is>
      </c>
    </row>
    <row r="251">
      <c r="A251" s="379" t="inlineStr">
        <is>
          <t>DCM Shriram Ltd</t>
        </is>
      </c>
      <c r="B251" s="379" t="inlineStr">
        <is>
          <t>DCMSHRIRAM</t>
        </is>
      </c>
      <c r="C251" s="380" t="n">
        <v>123367</v>
      </c>
      <c r="D251" s="379" t="inlineStr">
        <is>
          <t>DCMS IN</t>
        </is>
      </c>
      <c r="E251" s="379" t="inlineStr">
        <is>
          <t>INE499A01024</t>
        </is>
      </c>
    </row>
    <row r="252">
      <c r="A252" s="379" t="inlineStr">
        <is>
          <t>DCW Ltd</t>
        </is>
      </c>
      <c r="B252" s="379" t="inlineStr">
        <is>
          <t>DCW</t>
        </is>
      </c>
      <c r="C252" s="380" t="n">
        <v>100117</v>
      </c>
      <c r="D252" s="379" t="inlineStr">
        <is>
          <t>DCW IN</t>
        </is>
      </c>
      <c r="E252" s="379" t="inlineStr">
        <is>
          <t>INE500A01029</t>
        </is>
      </c>
    </row>
    <row r="253">
      <c r="A253" s="379" t="inlineStr">
        <is>
          <t>Deccan Cements Ltd</t>
        </is>
      </c>
      <c r="B253" s="379" t="inlineStr">
        <is>
          <t>DECCANCE</t>
        </is>
      </c>
      <c r="C253" s="380" t="n">
        <v>102137</v>
      </c>
      <c r="D253" s="379" t="inlineStr">
        <is>
          <t>DECM IN</t>
        </is>
      </c>
      <c r="E253" s="379" t="inlineStr">
        <is>
          <t>INE583C01021</t>
        </is>
      </c>
    </row>
    <row r="254">
      <c r="A254" s="379" t="inlineStr">
        <is>
          <t>Deep Polymers Ltd</t>
        </is>
      </c>
      <c r="B254" s="379" t="n"/>
      <c r="C254" s="380" t="n">
        <v>289984</v>
      </c>
      <c r="D254" s="379" t="inlineStr">
        <is>
          <t>DEEP IN</t>
        </is>
      </c>
      <c r="E254" s="379" t="inlineStr">
        <is>
          <t>INE00IY01012</t>
        </is>
      </c>
    </row>
    <row r="255">
      <c r="A255" s="379" t="inlineStr">
        <is>
          <t>Deepak Fertilisers And Petrochemicals Corporation Ltd</t>
        </is>
      </c>
      <c r="B255" s="379" t="inlineStr">
        <is>
          <t>DEEPAKFERT</t>
        </is>
      </c>
      <c r="C255" s="380" t="n">
        <v>100645</v>
      </c>
      <c r="D255" s="379" t="inlineStr">
        <is>
          <t>DFPC IN</t>
        </is>
      </c>
      <c r="E255" s="379" t="inlineStr">
        <is>
          <t>INE501A01019</t>
        </is>
      </c>
    </row>
    <row r="256">
      <c r="A256" s="379" t="inlineStr">
        <is>
          <t>Deepak Nitrite Ltd</t>
        </is>
      </c>
      <c r="B256" s="379" t="inlineStr">
        <is>
          <t>DEEPAKNTR</t>
        </is>
      </c>
      <c r="C256" s="380" t="n">
        <v>106401</v>
      </c>
      <c r="D256" s="379" t="inlineStr">
        <is>
          <t>DN IN</t>
        </is>
      </c>
      <c r="E256" s="379" t="inlineStr">
        <is>
          <t>INE288B01029</t>
        </is>
      </c>
    </row>
    <row r="257">
      <c r="A257" s="379" t="inlineStr">
        <is>
          <t>Delphi World Money Ltd</t>
        </is>
      </c>
      <c r="B257" s="379" t="inlineStr">
        <is>
          <t>DELPHIFX</t>
        </is>
      </c>
      <c r="C257" s="380" t="n">
        <v>223077</v>
      </c>
      <c r="D257" s="379" t="inlineStr">
        <is>
          <t>WEIZF IN</t>
        </is>
      </c>
      <c r="E257" s="379" t="inlineStr">
        <is>
          <t>INE726L01019</t>
        </is>
      </c>
    </row>
    <row r="258">
      <c r="A258" s="379" t="inlineStr">
        <is>
          <t>Delta Corp Ltd</t>
        </is>
      </c>
      <c r="B258" s="379" t="inlineStr">
        <is>
          <t>DELTACORP</t>
        </is>
      </c>
      <c r="C258" s="380" t="n">
        <v>132848</v>
      </c>
      <c r="D258" s="379" t="inlineStr">
        <is>
          <t>DELTA IN</t>
        </is>
      </c>
      <c r="E258" s="379" t="inlineStr">
        <is>
          <t>INE124G01033</t>
        </is>
      </c>
    </row>
    <row r="259">
      <c r="A259" s="379" t="inlineStr">
        <is>
          <t>Den Networks Ltd</t>
        </is>
      </c>
      <c r="B259" s="379" t="inlineStr">
        <is>
          <t>DEN</t>
        </is>
      </c>
      <c r="C259" s="380" t="n">
        <v>219237</v>
      </c>
      <c r="D259" s="379" t="inlineStr">
        <is>
          <t>DEN IN</t>
        </is>
      </c>
      <c r="E259" s="379" t="inlineStr">
        <is>
          <t>INE947J01015</t>
        </is>
      </c>
    </row>
    <row r="260">
      <c r="A260" s="379" t="inlineStr">
        <is>
          <t>Devyani International Ltd</t>
        </is>
      </c>
      <c r="B260" s="379" t="inlineStr">
        <is>
          <t>DEVYANI</t>
        </is>
      </c>
      <c r="C260" s="380" t="n">
        <v>208045</v>
      </c>
      <c r="D260" s="379" t="inlineStr">
        <is>
          <t>DEVYANI IN</t>
        </is>
      </c>
      <c r="E260" s="379" t="inlineStr">
        <is>
          <t>INE872J01023</t>
        </is>
      </c>
    </row>
    <row r="261">
      <c r="A261" s="379" t="inlineStr">
        <is>
          <t>DFM Foods Ltd</t>
        </is>
      </c>
      <c r="B261" s="379" t="inlineStr">
        <is>
          <t>DFMFOODS</t>
        </is>
      </c>
      <c r="C261" s="380" t="n">
        <v>119588</v>
      </c>
      <c r="D261" s="379" t="inlineStr">
        <is>
          <t>DFMF IN</t>
        </is>
      </c>
      <c r="E261" s="379" t="inlineStr">
        <is>
          <t>INE456C01020</t>
        </is>
      </c>
    </row>
    <row r="262">
      <c r="A262" s="379" t="inlineStr">
        <is>
          <t>Dhampur Sugar Mills Ltd</t>
        </is>
      </c>
      <c r="B262" s="379" t="inlineStr">
        <is>
          <t>DHAMPURSUG</t>
        </is>
      </c>
      <c r="C262" s="380" t="n">
        <v>100119</v>
      </c>
      <c r="D262" s="379" t="inlineStr">
        <is>
          <t>DSM IN</t>
        </is>
      </c>
      <c r="E262" s="379" t="inlineStr">
        <is>
          <t>INE041A01016</t>
        </is>
      </c>
    </row>
    <row r="263">
      <c r="A263" s="379" t="inlineStr">
        <is>
          <t>Dhani Services Ltd</t>
        </is>
      </c>
      <c r="B263" s="379" t="inlineStr">
        <is>
          <t>DHANI</t>
        </is>
      </c>
      <c r="C263" s="380" t="n">
        <v>200101</v>
      </c>
      <c r="D263" s="379" t="inlineStr">
        <is>
          <t>DHANI IN</t>
        </is>
      </c>
      <c r="E263" s="379" t="inlineStr">
        <is>
          <t>INE274G01010</t>
        </is>
      </c>
    </row>
    <row r="264">
      <c r="A264" s="379" t="inlineStr">
        <is>
          <t>Dhanuka Agritech Ltd</t>
        </is>
      </c>
      <c r="B264" s="379" t="inlineStr">
        <is>
          <t>DHANUKA</t>
        </is>
      </c>
      <c r="C264" s="380" t="n">
        <v>107717</v>
      </c>
      <c r="D264" s="379" t="inlineStr">
        <is>
          <t>DAGRI IN</t>
        </is>
      </c>
      <c r="E264" s="379" t="inlineStr">
        <is>
          <t>INE435G01025</t>
        </is>
      </c>
    </row>
    <row r="265">
      <c r="A265" s="379" t="inlineStr">
        <is>
          <t>Dhanvarsha Finvest Ltd</t>
        </is>
      </c>
      <c r="B265" s="379" t="n"/>
      <c r="C265" s="380" t="n">
        <v>284447</v>
      </c>
      <c r="D265" s="379" t="inlineStr">
        <is>
          <t>DHFN IN</t>
        </is>
      </c>
      <c r="E265" s="379" t="inlineStr">
        <is>
          <t>INE615R01029</t>
        </is>
      </c>
    </row>
    <row r="266">
      <c r="A266" s="379" t="inlineStr">
        <is>
          <t>Dharamsi Morarji Chemical Company Ltd</t>
        </is>
      </c>
      <c r="B266" s="379" t="inlineStr">
        <is>
          <t>DHARAMSI</t>
        </is>
      </c>
      <c r="C266" s="380" t="n">
        <v>106405</v>
      </c>
      <c r="D266" s="379" t="inlineStr">
        <is>
          <t>DMCC IN</t>
        </is>
      </c>
      <c r="E266" s="379" t="inlineStr">
        <is>
          <t>INE505A01010</t>
        </is>
      </c>
    </row>
    <row r="267">
      <c r="A267" s="379" t="inlineStr">
        <is>
          <t>Dhunseri Ventures Ltd</t>
        </is>
      </c>
      <c r="B267" s="379" t="inlineStr">
        <is>
          <t>DVL</t>
        </is>
      </c>
      <c r="C267" s="380" t="n">
        <v>123736</v>
      </c>
      <c r="D267" s="379" t="inlineStr">
        <is>
          <t>DVL IN</t>
        </is>
      </c>
      <c r="E267" s="379" t="inlineStr">
        <is>
          <t>INE477B01010</t>
        </is>
      </c>
    </row>
    <row r="268">
      <c r="A268" s="379" t="inlineStr">
        <is>
          <t>Digispice Technologies Ltd</t>
        </is>
      </c>
      <c r="B268" s="379" t="inlineStr">
        <is>
          <t>DIGISPICE</t>
        </is>
      </c>
      <c r="C268" s="380" t="n">
        <v>117214</v>
      </c>
      <c r="D268" s="379" t="inlineStr">
        <is>
          <t>SPCEM IN</t>
        </is>
      </c>
      <c r="E268" s="379" t="inlineStr">
        <is>
          <t>INE927C01020</t>
        </is>
      </c>
    </row>
    <row r="269">
      <c r="A269" s="379" t="inlineStr">
        <is>
          <t>Dilip Buildcon Ltd</t>
        </is>
      </c>
      <c r="B269" s="379" t="inlineStr">
        <is>
          <t>DBL</t>
        </is>
      </c>
      <c r="C269" s="380" t="n">
        <v>226480</v>
      </c>
      <c r="D269" s="379" t="inlineStr">
        <is>
          <t>DBL IN</t>
        </is>
      </c>
      <c r="E269" s="379" t="inlineStr">
        <is>
          <t>INE917M01012</t>
        </is>
      </c>
    </row>
    <row r="270">
      <c r="A270" s="379" t="inlineStr">
        <is>
          <t>Disa India Ltd</t>
        </is>
      </c>
      <c r="B270" s="379" t="inlineStr">
        <is>
          <t>GEORGFISCH</t>
        </is>
      </c>
      <c r="C270" s="380" t="n">
        <v>100068</v>
      </c>
      <c r="D270" s="379" t="inlineStr">
        <is>
          <t>BMD IN</t>
        </is>
      </c>
      <c r="E270" s="379" t="inlineStr">
        <is>
          <t>INE131C01011</t>
        </is>
      </c>
    </row>
    <row r="271">
      <c r="A271" s="379" t="inlineStr">
        <is>
          <t>Dish TV India Ltd</t>
        </is>
      </c>
      <c r="B271" s="379" t="inlineStr">
        <is>
          <t>DISHTV</t>
        </is>
      </c>
      <c r="C271" s="380" t="n">
        <v>132839</v>
      </c>
      <c r="D271" s="379" t="inlineStr">
        <is>
          <t>DITV IN</t>
        </is>
      </c>
      <c r="E271" s="379" t="inlineStr">
        <is>
          <t>INE836F01026</t>
        </is>
      </c>
    </row>
    <row r="272">
      <c r="A272" s="379" t="inlineStr">
        <is>
          <t>Dishman Carbogen Amcis Ltd</t>
        </is>
      </c>
      <c r="B272" s="379" t="inlineStr">
        <is>
          <t>DCAL</t>
        </is>
      </c>
      <c r="C272" s="380" t="n">
        <v>228555</v>
      </c>
      <c r="D272" s="379" t="inlineStr">
        <is>
          <t>DCAL IN</t>
        </is>
      </c>
      <c r="E272" s="379" t="inlineStr">
        <is>
          <t>INE385W01011</t>
        </is>
      </c>
    </row>
    <row r="273">
      <c r="A273" s="379" t="inlineStr">
        <is>
          <t>Divi's Laboratories Ltd</t>
        </is>
      </c>
      <c r="B273" s="379" t="inlineStr">
        <is>
          <t>DIVISLAB</t>
        </is>
      </c>
      <c r="C273" s="380" t="n">
        <v>132488</v>
      </c>
      <c r="D273" s="379" t="inlineStr">
        <is>
          <t>DIVI IN</t>
        </is>
      </c>
      <c r="E273" s="379" t="inlineStr">
        <is>
          <t>INE361B01024</t>
        </is>
      </c>
    </row>
    <row r="274">
      <c r="A274" s="379" t="inlineStr">
        <is>
          <t>Dixon Technologies (India) Ltd</t>
        </is>
      </c>
      <c r="B274" s="379" t="inlineStr">
        <is>
          <t>DIXON</t>
        </is>
      </c>
      <c r="C274" s="380" t="n">
        <v>210072</v>
      </c>
      <c r="D274" s="379" t="inlineStr">
        <is>
          <t>DIXON IN</t>
        </is>
      </c>
      <c r="E274" s="379" t="inlineStr">
        <is>
          <t>INE935N01020</t>
        </is>
      </c>
    </row>
    <row r="275">
      <c r="A275" s="379" t="inlineStr">
        <is>
          <t>DLF Ltd</t>
        </is>
      </c>
      <c r="B275" s="379" t="inlineStr">
        <is>
          <t>DLF</t>
        </is>
      </c>
      <c r="C275" s="380" t="n">
        <v>132868</v>
      </c>
      <c r="D275" s="379" t="inlineStr">
        <is>
          <t>DLFU IN</t>
        </is>
      </c>
      <c r="E275" s="379" t="inlineStr">
        <is>
          <t>INE271C01023</t>
        </is>
      </c>
    </row>
    <row r="276">
      <c r="A276" s="379" t="inlineStr">
        <is>
          <t>D-Link (India) Ltd</t>
        </is>
      </c>
      <c r="B276" s="379" t="inlineStr">
        <is>
          <t>DLINKINDIA</t>
        </is>
      </c>
      <c r="C276" s="380" t="n">
        <v>219321</v>
      </c>
      <c r="D276" s="379" t="inlineStr">
        <is>
          <t>DLINK IN</t>
        </is>
      </c>
      <c r="E276" s="379" t="inlineStr">
        <is>
          <t>INE250K01012</t>
        </is>
      </c>
    </row>
    <row r="277">
      <c r="A277" s="379" t="inlineStr">
        <is>
          <t>Dodla Dairy Ltd</t>
        </is>
      </c>
      <c r="B277" s="379" t="inlineStr">
        <is>
          <t>DODLA</t>
        </is>
      </c>
      <c r="C277" s="380" t="n">
        <v>222414</v>
      </c>
      <c r="D277" s="379" t="inlineStr">
        <is>
          <t>DODLA IN</t>
        </is>
      </c>
      <c r="E277" s="379" t="inlineStr">
        <is>
          <t>INE021O01019</t>
        </is>
      </c>
    </row>
    <row r="278">
      <c r="A278" s="379" t="inlineStr">
        <is>
          <t>Dolat Algotech Ltd</t>
        </is>
      </c>
      <c r="B278" s="379" t="inlineStr">
        <is>
          <t>DOLATALGO</t>
        </is>
      </c>
      <c r="C278" s="380" t="n">
        <v>105526</v>
      </c>
      <c r="D278" s="379" t="inlineStr">
        <is>
          <t>DLC IN</t>
        </is>
      </c>
      <c r="E278" s="379" t="inlineStr">
        <is>
          <t>INE966A01022</t>
        </is>
      </c>
    </row>
    <row r="279">
      <c r="A279" s="379" t="inlineStr">
        <is>
          <t>Dollar Industries Ltd</t>
        </is>
      </c>
      <c r="B279" s="379" t="inlineStr">
        <is>
          <t>DOLLAR</t>
        </is>
      </c>
      <c r="C279" s="380" t="n">
        <v>207877</v>
      </c>
      <c r="D279" s="379" t="inlineStr">
        <is>
          <t>DOLLAR IN</t>
        </is>
      </c>
      <c r="E279" s="379" t="inlineStr">
        <is>
          <t>INE325C01035</t>
        </is>
      </c>
    </row>
    <row r="280">
      <c r="A280" s="379" t="inlineStr">
        <is>
          <t>DrLal Pathlabs Ltd</t>
        </is>
      </c>
      <c r="B280" s="379" t="inlineStr">
        <is>
          <t>LALPATHLAB</t>
        </is>
      </c>
      <c r="C280" s="380" t="n">
        <v>218763</v>
      </c>
      <c r="D280" s="379" t="inlineStr">
        <is>
          <t>DLPL IN</t>
        </is>
      </c>
      <c r="E280" s="379" t="inlineStr">
        <is>
          <t>INE600L01024</t>
        </is>
      </c>
    </row>
    <row r="281">
      <c r="A281" s="379" t="inlineStr">
        <is>
          <t>DrReddy's Laboratories Ltd</t>
        </is>
      </c>
      <c r="B281" s="379" t="inlineStr">
        <is>
          <t>DRREDDY</t>
        </is>
      </c>
      <c r="C281" s="380" t="n">
        <v>100124</v>
      </c>
      <c r="D281" s="379" t="inlineStr">
        <is>
          <t>DRRD IN</t>
        </is>
      </c>
      <c r="E281" s="379" t="inlineStr">
        <is>
          <t>INE089A01023</t>
        </is>
      </c>
    </row>
    <row r="282">
      <c r="A282" s="379" t="inlineStr">
        <is>
          <t>Dredging Corporation Of India Ltd</t>
        </is>
      </c>
      <c r="B282" s="379" t="inlineStr">
        <is>
          <t>DREDGECORP</t>
        </is>
      </c>
      <c r="C282" s="380" t="n">
        <v>123618</v>
      </c>
      <c r="D282" s="379" t="inlineStr">
        <is>
          <t>DCIL IN</t>
        </is>
      </c>
      <c r="E282" s="379" t="inlineStr">
        <is>
          <t>INE506A01018</t>
        </is>
      </c>
    </row>
    <row r="283">
      <c r="A283" s="379" t="inlineStr">
        <is>
          <t>Dwarikesh Sugar Industries Ltd</t>
        </is>
      </c>
      <c r="B283" s="379" t="inlineStr">
        <is>
          <t>DWARKESH</t>
        </is>
      </c>
      <c r="C283" s="380" t="n">
        <v>132610</v>
      </c>
      <c r="D283" s="379" t="inlineStr">
        <is>
          <t>DSIL IN</t>
        </is>
      </c>
      <c r="E283" s="379" t="inlineStr">
        <is>
          <t>INE366A01041</t>
        </is>
      </c>
    </row>
    <row r="284">
      <c r="A284" s="379" t="inlineStr">
        <is>
          <t>Dynamatic Technologies Ltd</t>
        </is>
      </c>
      <c r="B284" s="379" t="inlineStr">
        <is>
          <t>DYNAMATECH</t>
        </is>
      </c>
      <c r="C284" s="380" t="n">
        <v>105242</v>
      </c>
      <c r="D284" s="379" t="inlineStr">
        <is>
          <t>DYTC IN</t>
        </is>
      </c>
      <c r="E284" s="379" t="inlineStr">
        <is>
          <t>INE221B01012</t>
        </is>
      </c>
    </row>
    <row r="285">
      <c r="A285" s="379" t="inlineStr">
        <is>
          <t>Dynemic Products Ltd</t>
        </is>
      </c>
      <c r="B285" s="379" t="inlineStr">
        <is>
          <t>DYNPRO</t>
        </is>
      </c>
      <c r="C285" s="380" t="n">
        <v>132707</v>
      </c>
      <c r="D285" s="379" t="inlineStr">
        <is>
          <t>DYPL IN</t>
        </is>
      </c>
      <c r="E285" s="379" t="inlineStr">
        <is>
          <t>INE256H01015</t>
        </is>
      </c>
    </row>
    <row r="286">
      <c r="A286" s="379" t="inlineStr">
        <is>
          <t>EID- Parry (India) Ltd</t>
        </is>
      </c>
      <c r="B286" s="379" t="inlineStr">
        <is>
          <t>EIDPARRY</t>
        </is>
      </c>
      <c r="C286" s="380" t="n">
        <v>100125</v>
      </c>
      <c r="D286" s="379" t="inlineStr">
        <is>
          <t>EID IN</t>
        </is>
      </c>
      <c r="E286" s="379" t="inlineStr">
        <is>
          <t>INE126A01031</t>
        </is>
      </c>
    </row>
    <row r="287">
      <c r="A287" s="379" t="inlineStr">
        <is>
          <t>Easy Trip Planners Ltd</t>
        </is>
      </c>
      <c r="B287" s="379" t="inlineStr">
        <is>
          <t>EASEMYTRIP</t>
        </is>
      </c>
      <c r="C287" s="380" t="n">
        <v>296479</v>
      </c>
      <c r="D287" s="379" t="inlineStr">
        <is>
          <t>EASEMYTR IN</t>
        </is>
      </c>
      <c r="E287" s="379" t="inlineStr">
        <is>
          <t>INE07O001018</t>
        </is>
      </c>
    </row>
    <row r="288">
      <c r="A288" s="379" t="inlineStr">
        <is>
          <t>eClerx Services Ltd</t>
        </is>
      </c>
      <c r="B288" s="379" t="inlineStr">
        <is>
          <t>ECLERX</t>
        </is>
      </c>
      <c r="C288" s="380" t="n">
        <v>200017</v>
      </c>
      <c r="D288" s="379" t="inlineStr">
        <is>
          <t>ECLX IN</t>
        </is>
      </c>
      <c r="E288" s="379" t="inlineStr">
        <is>
          <t>INE738I01010</t>
        </is>
      </c>
    </row>
    <row r="289">
      <c r="A289" s="379" t="inlineStr">
        <is>
          <t>Edelweiss Financial Services Ltd</t>
        </is>
      </c>
      <c r="B289" s="379" t="inlineStr">
        <is>
          <t>EDELWEISS</t>
        </is>
      </c>
      <c r="C289" s="380" t="n">
        <v>132922</v>
      </c>
      <c r="D289" s="379" t="inlineStr">
        <is>
          <t>EDEL IN</t>
        </is>
      </c>
      <c r="E289" s="379" t="inlineStr">
        <is>
          <t>INE532F01054</t>
        </is>
      </c>
    </row>
    <row r="290">
      <c r="A290" s="379" t="inlineStr">
        <is>
          <t>Eicher Motors Ltd</t>
        </is>
      </c>
      <c r="B290" s="379" t="inlineStr">
        <is>
          <t>EICHERMOT</t>
        </is>
      </c>
      <c r="C290" s="380" t="n">
        <v>105200</v>
      </c>
      <c r="D290" s="379" t="inlineStr">
        <is>
          <t>EIM IN</t>
        </is>
      </c>
      <c r="E290" s="379" t="inlineStr">
        <is>
          <t>INE066A01021</t>
        </is>
      </c>
    </row>
    <row r="291">
      <c r="A291" s="379" t="inlineStr">
        <is>
          <t>EIH Associated Hotels Ltd</t>
        </is>
      </c>
      <c r="B291" s="379" t="inlineStr">
        <is>
          <t>EIHAHOTELS</t>
        </is>
      </c>
      <c r="C291" s="380" t="n">
        <v>123127</v>
      </c>
      <c r="D291" s="379" t="inlineStr">
        <is>
          <t>OAH IN</t>
        </is>
      </c>
      <c r="E291" s="379" t="inlineStr">
        <is>
          <t>INE276C01014</t>
        </is>
      </c>
    </row>
    <row r="292">
      <c r="A292" s="379" t="inlineStr">
        <is>
          <t>EIH Ltd</t>
        </is>
      </c>
      <c r="B292" s="379" t="inlineStr">
        <is>
          <t>EIHOTEL</t>
        </is>
      </c>
      <c r="C292" s="380" t="n">
        <v>100840</v>
      </c>
      <c r="D292" s="379" t="inlineStr">
        <is>
          <t>EIH IN</t>
        </is>
      </c>
      <c r="E292" s="379" t="inlineStr">
        <is>
          <t>INE230A01023</t>
        </is>
      </c>
    </row>
    <row r="293">
      <c r="A293" s="379" t="inlineStr">
        <is>
          <t>EKI Energy Services Ltd</t>
        </is>
      </c>
      <c r="B293" s="379" t="n"/>
      <c r="C293" s="380" t="n">
        <v>300924</v>
      </c>
      <c r="D293" s="379" t="inlineStr">
        <is>
          <t>EKI IN</t>
        </is>
      </c>
      <c r="E293" s="379" t="inlineStr">
        <is>
          <t>INE0CPR01018</t>
        </is>
      </c>
    </row>
    <row r="294">
      <c r="A294" s="379" t="inlineStr">
        <is>
          <t>Elantas Beck India Ltd</t>
        </is>
      </c>
      <c r="B294" s="379" t="inlineStr">
        <is>
          <t>DRBECK</t>
        </is>
      </c>
      <c r="C294" s="380" t="n">
        <v>100123</v>
      </c>
      <c r="D294" s="379" t="inlineStr">
        <is>
          <t>EBECK IN</t>
        </is>
      </c>
      <c r="E294" s="379" t="inlineStr">
        <is>
          <t>INE280B01018</t>
        </is>
      </c>
    </row>
    <row r="295">
      <c r="A295" s="379" t="inlineStr">
        <is>
          <t>Eldeco Housing &amp; Industries Ltd</t>
        </is>
      </c>
      <c r="B295" s="379" t="n"/>
      <c r="C295" s="380" t="n">
        <v>123329</v>
      </c>
      <c r="D295" s="379" t="inlineStr">
        <is>
          <t>EHF IN</t>
        </is>
      </c>
      <c r="E295" s="379" t="inlineStr">
        <is>
          <t>INE668G01013</t>
        </is>
      </c>
    </row>
    <row r="296">
      <c r="A296" s="379" t="inlineStr">
        <is>
          <t>Elecon Engineering Company Ltd</t>
        </is>
      </c>
      <c r="B296" s="379" t="inlineStr">
        <is>
          <t>ELECON</t>
        </is>
      </c>
      <c r="C296" s="380" t="n">
        <v>105700</v>
      </c>
      <c r="D296" s="379" t="inlineStr">
        <is>
          <t>ELCN IN</t>
        </is>
      </c>
      <c r="E296" s="379" t="inlineStr">
        <is>
          <t>INE205B01023</t>
        </is>
      </c>
    </row>
    <row r="297">
      <c r="A297" s="379" t="inlineStr">
        <is>
          <t>Electrosteel Castings Ltd</t>
        </is>
      </c>
      <c r="B297" s="379" t="inlineStr">
        <is>
          <t>ELECTCAST</t>
        </is>
      </c>
      <c r="C297" s="380" t="n">
        <v>100128</v>
      </c>
      <c r="D297" s="379" t="inlineStr">
        <is>
          <t>ELSC IN</t>
        </is>
      </c>
      <c r="E297" s="379" t="inlineStr">
        <is>
          <t>INE086A01029</t>
        </is>
      </c>
    </row>
    <row r="298">
      <c r="A298" s="379" t="inlineStr">
        <is>
          <t>Elgi Equipments Ltd</t>
        </is>
      </c>
      <c r="B298" s="379" t="inlineStr">
        <is>
          <t>ELGIEQUIP</t>
        </is>
      </c>
      <c r="C298" s="380" t="n">
        <v>122074</v>
      </c>
      <c r="D298" s="379" t="inlineStr">
        <is>
          <t>ELEQ IN</t>
        </is>
      </c>
      <c r="E298" s="379" t="inlineStr">
        <is>
          <t>INE285A01027</t>
        </is>
      </c>
    </row>
    <row r="299">
      <c r="A299" s="379" t="inlineStr">
        <is>
          <t>Elpro International Ltd</t>
        </is>
      </c>
      <c r="B299" s="379" t="inlineStr">
        <is>
          <t>ELPROINTL</t>
        </is>
      </c>
      <c r="C299" s="380" t="n">
        <v>104000</v>
      </c>
      <c r="D299" s="379" t="inlineStr">
        <is>
          <t>ELPR IN</t>
        </is>
      </c>
      <c r="E299" s="379" t="inlineStr">
        <is>
          <t>INE579B01039</t>
        </is>
      </c>
    </row>
    <row r="300">
      <c r="A300" s="379" t="inlineStr">
        <is>
          <t>Emami Ltd</t>
        </is>
      </c>
      <c r="B300" s="379" t="inlineStr">
        <is>
          <t>EMAMILTD</t>
        </is>
      </c>
      <c r="C300" s="380" t="n">
        <v>131162</v>
      </c>
      <c r="D300" s="379" t="inlineStr">
        <is>
          <t>HMN IN</t>
        </is>
      </c>
      <c r="E300" s="379" t="inlineStr">
        <is>
          <t>INE548C01032</t>
        </is>
      </c>
    </row>
    <row r="301">
      <c r="A301" s="379" t="inlineStr">
        <is>
          <t>Emami Paper Mills Ltd</t>
        </is>
      </c>
      <c r="B301" s="379" t="inlineStr">
        <is>
          <t>EMAMIPAP</t>
        </is>
      </c>
      <c r="C301" s="380" t="n">
        <v>219649</v>
      </c>
      <c r="D301" s="379" t="inlineStr">
        <is>
          <t>EPML IN</t>
        </is>
      </c>
      <c r="E301" s="379" t="inlineStr">
        <is>
          <t>INE830C01026</t>
        </is>
      </c>
    </row>
    <row r="302">
      <c r="A302" s="379" t="inlineStr">
        <is>
          <t>Endurance Technologies Ltd</t>
        </is>
      </c>
      <c r="B302" s="379" t="inlineStr">
        <is>
          <t>ENDURANCE</t>
        </is>
      </c>
      <c r="C302" s="380" t="n">
        <v>215477</v>
      </c>
      <c r="D302" s="379" t="inlineStr">
        <is>
          <t>ENDU IN</t>
        </is>
      </c>
      <c r="E302" s="379" t="inlineStr">
        <is>
          <t>INE913H01037</t>
        </is>
      </c>
    </row>
    <row r="303">
      <c r="A303" s="379" t="inlineStr">
        <is>
          <t>Engineers India Ltd</t>
        </is>
      </c>
      <c r="B303" s="379" t="inlineStr">
        <is>
          <t>ENGINERSIN</t>
        </is>
      </c>
      <c r="C303" s="380" t="n">
        <v>132178</v>
      </c>
      <c r="D303" s="379" t="inlineStr">
        <is>
          <t>ENGR IN</t>
        </is>
      </c>
      <c r="E303" s="379" t="inlineStr">
        <is>
          <t>INE510A01028</t>
        </is>
      </c>
    </row>
    <row r="304">
      <c r="A304" s="379" t="inlineStr">
        <is>
          <t>Enkei Wheels (India) Ltd</t>
        </is>
      </c>
      <c r="B304" s="379" t="n"/>
      <c r="C304" s="380" t="n">
        <v>220964</v>
      </c>
      <c r="D304" s="379" t="inlineStr">
        <is>
          <t>EWIL IN</t>
        </is>
      </c>
      <c r="E304" s="379" t="inlineStr">
        <is>
          <t>INE130L01014</t>
        </is>
      </c>
    </row>
    <row r="305">
      <c r="A305" s="379" t="inlineStr">
        <is>
          <t>Entertainment Network (India) Ltd</t>
        </is>
      </c>
      <c r="B305" s="379" t="inlineStr">
        <is>
          <t>ENIL</t>
        </is>
      </c>
      <c r="C305" s="380" t="n">
        <v>132700</v>
      </c>
      <c r="D305" s="379" t="inlineStr">
        <is>
          <t>ENIL IN</t>
        </is>
      </c>
      <c r="E305" s="379" t="inlineStr">
        <is>
          <t>INE265F01028</t>
        </is>
      </c>
    </row>
    <row r="306">
      <c r="A306" s="379" t="inlineStr">
        <is>
          <t>EPL Ltd</t>
        </is>
      </c>
      <c r="B306" s="379" t="inlineStr">
        <is>
          <t>EPL</t>
        </is>
      </c>
      <c r="C306" s="380" t="n">
        <v>100135</v>
      </c>
      <c r="D306" s="379" t="inlineStr">
        <is>
          <t>EPLL IN</t>
        </is>
      </c>
      <c r="E306" s="379" t="inlineStr">
        <is>
          <t>INE255A01020</t>
        </is>
      </c>
    </row>
    <row r="307">
      <c r="A307" s="379" t="inlineStr">
        <is>
          <t>Equippp Social Impact Technologies Ltd</t>
        </is>
      </c>
      <c r="B307" s="379" t="inlineStr">
        <is>
          <t xml:space="preserve">EQUIPPP </t>
        </is>
      </c>
      <c r="C307" s="380" t="n">
        <v>190057</v>
      </c>
      <c r="D307" s="379" t="inlineStr">
        <is>
          <t>GFAC IN</t>
        </is>
      </c>
      <c r="E307" s="379" t="inlineStr">
        <is>
          <t>INE217G01035</t>
        </is>
      </c>
    </row>
    <row r="308">
      <c r="A308" s="379" t="inlineStr">
        <is>
          <t>Equitas Holdings Ltd</t>
        </is>
      </c>
      <c r="B308" s="379" t="inlineStr">
        <is>
          <t>EQUITAS</t>
        </is>
      </c>
      <c r="C308" s="380" t="n">
        <v>243712</v>
      </c>
      <c r="D308" s="379" t="inlineStr">
        <is>
          <t>EQUITAS IN</t>
        </is>
      </c>
      <c r="E308" s="379" t="inlineStr">
        <is>
          <t>INE988K01017</t>
        </is>
      </c>
    </row>
    <row r="309">
      <c r="A309" s="379" t="inlineStr">
        <is>
          <t>Equitas Small Finance Bank Ltd</t>
        </is>
      </c>
      <c r="B309" s="379" t="inlineStr">
        <is>
          <t>EQUITASBNK</t>
        </is>
      </c>
      <c r="C309" s="380" t="n">
        <v>273033</v>
      </c>
      <c r="D309" s="379" t="inlineStr">
        <is>
          <t>EQUITASB IN</t>
        </is>
      </c>
      <c r="E309" s="379" t="inlineStr">
        <is>
          <t>INE063P01018</t>
        </is>
      </c>
    </row>
    <row r="310">
      <c r="A310" s="379" t="inlineStr">
        <is>
          <t>Eris Lifesciences Ltd</t>
        </is>
      </c>
      <c r="B310" s="379" t="inlineStr">
        <is>
          <t>ERIS</t>
        </is>
      </c>
      <c r="C310" s="380" t="n">
        <v>222255</v>
      </c>
      <c r="D310" s="379" t="inlineStr">
        <is>
          <t>ERIS IN</t>
        </is>
      </c>
      <c r="E310" s="379" t="inlineStr">
        <is>
          <t>INE406M01024</t>
        </is>
      </c>
    </row>
    <row r="311">
      <c r="A311" s="379" t="inlineStr">
        <is>
          <t>Esab India Ltd</t>
        </is>
      </c>
      <c r="B311" s="379" t="inlineStr">
        <is>
          <t>ESABINDIA</t>
        </is>
      </c>
      <c r="C311" s="380" t="n">
        <v>100133</v>
      </c>
      <c r="D311" s="379" t="inlineStr">
        <is>
          <t>ESAB IN</t>
        </is>
      </c>
      <c r="E311" s="379" t="inlineStr">
        <is>
          <t>INE284A01012</t>
        </is>
      </c>
    </row>
    <row r="312">
      <c r="A312" s="379" t="inlineStr">
        <is>
          <t>Escorts Ltd</t>
        </is>
      </c>
      <c r="B312" s="379" t="inlineStr">
        <is>
          <t>ESCORTS</t>
        </is>
      </c>
      <c r="C312" s="380" t="n">
        <v>100495</v>
      </c>
      <c r="D312" s="379" t="inlineStr">
        <is>
          <t>ESC IN</t>
        </is>
      </c>
      <c r="E312" s="379" t="inlineStr">
        <is>
          <t>INE042A01014</t>
        </is>
      </c>
    </row>
    <row r="313">
      <c r="A313" s="379" t="inlineStr">
        <is>
          <t>Ester Industries Ltd</t>
        </is>
      </c>
      <c r="B313" s="379" t="inlineStr">
        <is>
          <t>ESTER</t>
        </is>
      </c>
      <c r="C313" s="380" t="n">
        <v>100136</v>
      </c>
      <c r="D313" s="379" t="inlineStr">
        <is>
          <t>ESTR IN</t>
        </is>
      </c>
      <c r="E313" s="379" t="inlineStr">
        <is>
          <t>INE778B01029</t>
        </is>
      </c>
    </row>
    <row r="314">
      <c r="A314" s="379" t="inlineStr">
        <is>
          <t>Eveready Industries India Ltd</t>
        </is>
      </c>
      <c r="B314" s="379" t="inlineStr">
        <is>
          <t>EVEREADY</t>
        </is>
      </c>
      <c r="C314" s="380" t="n">
        <v>131508</v>
      </c>
      <c r="D314" s="379" t="inlineStr">
        <is>
          <t>EVRIN IN</t>
        </is>
      </c>
      <c r="E314" s="379" t="inlineStr">
        <is>
          <t>INE128A01029</t>
        </is>
      </c>
    </row>
    <row r="315">
      <c r="A315" s="379" t="inlineStr">
        <is>
          <t>Everest Industries Ltd</t>
        </is>
      </c>
      <c r="B315" s="379" t="inlineStr">
        <is>
          <t>EVERESTIND</t>
        </is>
      </c>
      <c r="C315" s="380" t="n">
        <v>108906</v>
      </c>
      <c r="D315" s="379" t="inlineStr">
        <is>
          <t>EVI IN</t>
        </is>
      </c>
      <c r="E315" s="379" t="inlineStr">
        <is>
          <t>INE295A01018</t>
        </is>
      </c>
    </row>
    <row r="316">
      <c r="A316" s="379" t="inlineStr">
        <is>
          <t>Everest Kanto Cylinder Ltd</t>
        </is>
      </c>
      <c r="B316" s="379" t="inlineStr">
        <is>
          <t>EKC</t>
        </is>
      </c>
      <c r="C316" s="380" t="n">
        <v>132684</v>
      </c>
      <c r="D316" s="379" t="inlineStr">
        <is>
          <t>EKCL IN</t>
        </is>
      </c>
      <c r="E316" s="379" t="inlineStr">
        <is>
          <t>INE184H01027</t>
        </is>
      </c>
    </row>
    <row r="317">
      <c r="A317" s="379" t="inlineStr">
        <is>
          <t>Excel Industries Ltd</t>
        </is>
      </c>
      <c r="B317" s="379" t="inlineStr">
        <is>
          <t>EXCELINDUS</t>
        </is>
      </c>
      <c r="C317" s="380" t="n">
        <v>100650</v>
      </c>
      <c r="D317" s="379" t="inlineStr">
        <is>
          <t>EXL IN</t>
        </is>
      </c>
      <c r="E317" s="379" t="inlineStr">
        <is>
          <t>INE369A01029</t>
        </is>
      </c>
    </row>
    <row r="318">
      <c r="A318" s="379" t="inlineStr">
        <is>
          <t>Exide Industries Ltd</t>
        </is>
      </c>
      <c r="B318" s="379" t="inlineStr">
        <is>
          <t>EXIDEIND</t>
        </is>
      </c>
      <c r="C318" s="380" t="n">
        <v>100086</v>
      </c>
      <c r="D318" s="379" t="inlineStr">
        <is>
          <t>EXID IN</t>
        </is>
      </c>
      <c r="E318" s="379" t="inlineStr">
        <is>
          <t>INE302A01020</t>
        </is>
      </c>
    </row>
    <row r="319">
      <c r="A319" s="379" t="inlineStr">
        <is>
          <t>Expleo Solutions Ltd</t>
        </is>
      </c>
      <c r="B319" s="379" t="inlineStr">
        <is>
          <t>EXPLEOSOL</t>
        </is>
      </c>
      <c r="C319" s="380" t="n">
        <v>218926</v>
      </c>
      <c r="D319" s="379" t="inlineStr">
        <is>
          <t>EXPLEOSO IN</t>
        </is>
      </c>
      <c r="E319" s="379" t="inlineStr">
        <is>
          <t>INE201K01015</t>
        </is>
      </c>
    </row>
    <row r="320">
      <c r="A320" s="379" t="inlineStr">
        <is>
          <t>Exxaro Tiles Ltd</t>
        </is>
      </c>
      <c r="B320" s="379" t="inlineStr">
        <is>
          <t>EXXARO</t>
        </is>
      </c>
      <c r="C320" s="380" t="n">
        <v>287703</v>
      </c>
      <c r="D320" s="379" t="inlineStr">
        <is>
          <t>EXXARO IN</t>
        </is>
      </c>
      <c r="E320" s="379" t="inlineStr">
        <is>
          <t>INE0GFE01018</t>
        </is>
      </c>
    </row>
    <row r="321">
      <c r="A321" s="379" t="inlineStr">
        <is>
          <t>Fairchem Organics Ltd</t>
        </is>
      </c>
      <c r="B321" s="379" t="inlineStr">
        <is>
          <t>FAIRCHEMOR</t>
        </is>
      </c>
      <c r="C321" s="380" t="n">
        <v>299773</v>
      </c>
      <c r="D321" s="379" t="inlineStr">
        <is>
          <t>FAIRORGA IN</t>
        </is>
      </c>
      <c r="E321" s="379" t="inlineStr">
        <is>
          <t>INE0DNW01011</t>
        </is>
      </c>
    </row>
    <row r="322">
      <c r="A322" s="379" t="inlineStr">
        <is>
          <t>Faze Three Ltd</t>
        </is>
      </c>
      <c r="B322" s="379" t="inlineStr">
        <is>
          <t>FAZETHREE</t>
        </is>
      </c>
      <c r="C322" s="380" t="n">
        <v>130079</v>
      </c>
      <c r="D322" s="379" t="inlineStr">
        <is>
          <t>FZT IN</t>
        </is>
      </c>
      <c r="E322" s="379" t="inlineStr">
        <is>
          <t>INE963C01033</t>
        </is>
      </c>
    </row>
    <row r="323">
      <c r="A323" s="379" t="inlineStr">
        <is>
          <t>FCS Software Solutions Ltd</t>
        </is>
      </c>
      <c r="B323" s="379" t="inlineStr">
        <is>
          <t>FCSSOFT</t>
        </is>
      </c>
      <c r="C323" s="380" t="n">
        <v>132666</v>
      </c>
      <c r="D323" s="379" t="inlineStr">
        <is>
          <t>FCS IN</t>
        </is>
      </c>
      <c r="E323" s="379" t="inlineStr">
        <is>
          <t>INE512B01022</t>
        </is>
      </c>
    </row>
    <row r="324">
      <c r="A324" s="379" t="inlineStr">
        <is>
          <t>FDC Ltd</t>
        </is>
      </c>
      <c r="B324" s="379" t="inlineStr">
        <is>
          <t>FDC</t>
        </is>
      </c>
      <c r="C324" s="380" t="n">
        <v>131599</v>
      </c>
      <c r="D324" s="379" t="inlineStr">
        <is>
          <t>FDCLT IN</t>
        </is>
      </c>
      <c r="E324" s="379" t="inlineStr">
        <is>
          <t>INE258B01022</t>
        </is>
      </c>
    </row>
    <row r="325">
      <c r="A325" s="379" t="inlineStr">
        <is>
          <t>Federal-Mogul Goetze (India) Ltd</t>
        </is>
      </c>
      <c r="B325" s="379" t="inlineStr">
        <is>
          <t>FMGOETZE</t>
        </is>
      </c>
      <c r="C325" s="380" t="n">
        <v>105744</v>
      </c>
      <c r="D325" s="379" t="inlineStr">
        <is>
          <t>FMGI IN</t>
        </is>
      </c>
      <c r="E325" s="379" t="inlineStr">
        <is>
          <t>INE529A01010</t>
        </is>
      </c>
    </row>
    <row r="326">
      <c r="A326" s="379" t="inlineStr">
        <is>
          <t>Fermenta Biotech Ltd</t>
        </is>
      </c>
      <c r="B326" s="379" t="n"/>
      <c r="C326" s="380" t="n">
        <v>106414</v>
      </c>
      <c r="D326" s="379" t="inlineStr">
        <is>
          <t>FERMENTA IN</t>
        </is>
      </c>
      <c r="E326" s="379" t="inlineStr">
        <is>
          <t>INE225B01021</t>
        </is>
      </c>
    </row>
    <row r="327">
      <c r="A327" s="379" t="inlineStr">
        <is>
          <t>Fiem Industries Ltd</t>
        </is>
      </c>
      <c r="B327" s="379" t="inlineStr">
        <is>
          <t>FIEMIND</t>
        </is>
      </c>
      <c r="C327" s="380" t="n">
        <v>132768</v>
      </c>
      <c r="D327" s="379" t="inlineStr">
        <is>
          <t>FIEM IN</t>
        </is>
      </c>
      <c r="E327" s="379" t="inlineStr">
        <is>
          <t>INE737H01014</t>
        </is>
      </c>
    </row>
    <row r="328">
      <c r="A328" s="379" t="inlineStr">
        <is>
          <t>Filatex India Ltd</t>
        </is>
      </c>
      <c r="B328" s="379" t="inlineStr">
        <is>
          <t>FILATEX</t>
        </is>
      </c>
      <c r="C328" s="380" t="n">
        <v>126227</v>
      </c>
      <c r="D328" s="379" t="inlineStr">
        <is>
          <t>FLTX IN</t>
        </is>
      </c>
      <c r="E328" s="379" t="inlineStr">
        <is>
          <t>INE816B01027</t>
        </is>
      </c>
    </row>
    <row r="329">
      <c r="A329" s="379" t="inlineStr">
        <is>
          <t>Fine Organic Industries Ltd</t>
        </is>
      </c>
      <c r="B329" s="379" t="inlineStr">
        <is>
          <t>FINEORG</t>
        </is>
      </c>
      <c r="C329" s="380" t="n">
        <v>288451</v>
      </c>
      <c r="D329" s="379" t="inlineStr">
        <is>
          <t>FINEORG IN</t>
        </is>
      </c>
      <c r="E329" s="379" t="inlineStr">
        <is>
          <t>INE686Y01026</t>
        </is>
      </c>
    </row>
    <row r="330">
      <c r="A330" s="379" t="inlineStr">
        <is>
          <t>Fineotex Chemical Ltd</t>
        </is>
      </c>
      <c r="B330" s="379" t="inlineStr">
        <is>
          <t>FCL</t>
        </is>
      </c>
      <c r="C330" s="380" t="n">
        <v>213133</v>
      </c>
      <c r="D330" s="379" t="inlineStr">
        <is>
          <t>FTXC IN</t>
        </is>
      </c>
      <c r="E330" s="379" t="inlineStr">
        <is>
          <t>INE045J01026</t>
        </is>
      </c>
    </row>
    <row r="331">
      <c r="A331" s="379" t="inlineStr">
        <is>
          <t>Finkurve Financial Services Ltd</t>
        </is>
      </c>
      <c r="B331" s="379" t="n"/>
      <c r="C331" s="380" t="n">
        <v>108954</v>
      </c>
      <c r="D331" s="379" t="inlineStr">
        <is>
          <t>FFSL IN</t>
        </is>
      </c>
      <c r="E331" s="379" t="inlineStr">
        <is>
          <t>INE734I01027</t>
        </is>
      </c>
    </row>
    <row r="332">
      <c r="A332" s="379" t="inlineStr">
        <is>
          <t>Fino Payments Bank Ltd</t>
        </is>
      </c>
      <c r="B332" s="379" t="inlineStr">
        <is>
          <t>FINOPB</t>
        </is>
      </c>
      <c r="C332" s="380" t="n">
        <v>302986</v>
      </c>
      <c r="D332" s="379" t="inlineStr">
        <is>
          <t>FINOPB IN</t>
        </is>
      </c>
      <c r="E332" s="379" t="inlineStr">
        <is>
          <t>INE02NC01014</t>
        </is>
      </c>
    </row>
    <row r="333">
      <c r="A333" s="379" t="inlineStr">
        <is>
          <t>Finolex Cables Ltd</t>
        </is>
      </c>
      <c r="B333" s="379" t="inlineStr">
        <is>
          <t>FINCABLES</t>
        </is>
      </c>
      <c r="C333" s="380" t="n">
        <v>100144</v>
      </c>
      <c r="D333" s="379" t="inlineStr">
        <is>
          <t>FNXC IN</t>
        </is>
      </c>
      <c r="E333" s="379" t="inlineStr">
        <is>
          <t>INE235A01022</t>
        </is>
      </c>
    </row>
    <row r="334">
      <c r="A334" s="379" t="inlineStr">
        <is>
          <t>Finolex Industries Ltd</t>
        </is>
      </c>
      <c r="B334" s="379" t="inlineStr">
        <is>
          <t>FINPIPE</t>
        </is>
      </c>
      <c r="C334" s="380" t="n">
        <v>100940</v>
      </c>
      <c r="D334" s="379" t="inlineStr">
        <is>
          <t>FNXP IN</t>
        </is>
      </c>
      <c r="E334" s="379" t="inlineStr">
        <is>
          <t>INE183A01024</t>
        </is>
      </c>
    </row>
    <row r="335">
      <c r="A335" s="379" t="inlineStr">
        <is>
          <t>Firstsource Solutions Ltd</t>
        </is>
      </c>
      <c r="B335" s="379" t="inlineStr">
        <is>
          <t>FSL</t>
        </is>
      </c>
      <c r="C335" s="380" t="n">
        <v>132809</v>
      </c>
      <c r="D335" s="379" t="inlineStr">
        <is>
          <t>FSOL IN</t>
        </is>
      </c>
      <c r="E335" s="379" t="inlineStr">
        <is>
          <t>INE684F01012</t>
        </is>
      </c>
    </row>
    <row r="336">
      <c r="A336" s="379" t="inlineStr">
        <is>
          <t>Forbes &amp; Company Ltd</t>
        </is>
      </c>
      <c r="B336" s="379" t="inlineStr">
        <is>
          <t>FORBESGOK</t>
        </is>
      </c>
      <c r="C336" s="380" t="n">
        <v>102865</v>
      </c>
      <c r="D336" s="379" t="inlineStr">
        <is>
          <t>FG IN</t>
        </is>
      </c>
      <c r="E336" s="379" t="inlineStr">
        <is>
          <t>INE518A01013</t>
        </is>
      </c>
    </row>
    <row r="337">
      <c r="A337" s="379" t="inlineStr">
        <is>
          <t>Force Motors Ltd</t>
        </is>
      </c>
      <c r="B337" s="379" t="inlineStr">
        <is>
          <t>FORCEMOT</t>
        </is>
      </c>
      <c r="C337" s="380" t="n">
        <v>100033</v>
      </c>
      <c r="D337" s="379" t="inlineStr">
        <is>
          <t>FML IN</t>
        </is>
      </c>
      <c r="E337" s="379" t="inlineStr">
        <is>
          <t>INE451A01017</t>
        </is>
      </c>
    </row>
    <row r="338">
      <c r="A338" s="379" t="inlineStr">
        <is>
          <t>Fortis Healthcare Ltd</t>
        </is>
      </c>
      <c r="B338" s="379" t="inlineStr">
        <is>
          <t>FORTIS</t>
        </is>
      </c>
      <c r="C338" s="380" t="n">
        <v>132843</v>
      </c>
      <c r="D338" s="379" t="inlineStr">
        <is>
          <t>FORH IN</t>
        </is>
      </c>
      <c r="E338" s="379" t="inlineStr">
        <is>
          <t>INE061F01013</t>
        </is>
      </c>
    </row>
    <row r="339">
      <c r="A339" s="379" t="inlineStr">
        <is>
          <t>Foseco India Ltd</t>
        </is>
      </c>
      <c r="B339" s="379" t="inlineStr">
        <is>
          <t>FOSECOIND</t>
        </is>
      </c>
      <c r="C339" s="380" t="n">
        <v>100150</v>
      </c>
      <c r="D339" s="379" t="inlineStr">
        <is>
          <t>FSC IN</t>
        </is>
      </c>
      <c r="E339" s="379" t="inlineStr">
        <is>
          <t>INE519A01011</t>
        </is>
      </c>
    </row>
    <row r="340">
      <c r="A340" s="379" t="inlineStr">
        <is>
          <t>FSN E-Commerce Ventures Ltd</t>
        </is>
      </c>
      <c r="B340" s="379" t="inlineStr">
        <is>
          <t>NYKAA</t>
        </is>
      </c>
      <c r="C340" s="380" t="n">
        <v>302988</v>
      </c>
      <c r="D340" s="379" t="inlineStr">
        <is>
          <t>NYKAA IN</t>
        </is>
      </c>
      <c r="E340" s="379" t="inlineStr">
        <is>
          <t>INE388Y01029</t>
        </is>
      </c>
    </row>
    <row r="341">
      <c r="A341" s="379" t="inlineStr">
        <is>
          <t>Future Consumer Ltd</t>
        </is>
      </c>
      <c r="B341" s="379" t="inlineStr">
        <is>
          <t>FCONSUMER</t>
        </is>
      </c>
      <c r="C341" s="380" t="n">
        <v>218963</v>
      </c>
      <c r="D341" s="379" t="inlineStr">
        <is>
          <t>FCON IN</t>
        </is>
      </c>
      <c r="E341" s="379" t="inlineStr">
        <is>
          <t>INE220J01025</t>
        </is>
      </c>
    </row>
    <row r="342">
      <c r="A342" s="379" t="inlineStr">
        <is>
          <t>Future Lifestyle Fashions Ltd</t>
        </is>
      </c>
      <c r="B342" s="379" t="inlineStr">
        <is>
          <t>FLFL</t>
        </is>
      </c>
      <c r="C342" s="380" t="n">
        <v>245775</v>
      </c>
      <c r="D342" s="379" t="inlineStr">
        <is>
          <t>FLFL IN</t>
        </is>
      </c>
      <c r="E342" s="379" t="inlineStr">
        <is>
          <t>INE452O01016</t>
        </is>
      </c>
    </row>
    <row r="343">
      <c r="A343" s="379" t="inlineStr">
        <is>
          <t>Future Retail Ltd</t>
        </is>
      </c>
      <c r="B343" s="379" t="inlineStr">
        <is>
          <t>FRETAIL</t>
        </is>
      </c>
      <c r="C343" s="380" t="n">
        <v>209968</v>
      </c>
      <c r="D343" s="379" t="inlineStr">
        <is>
          <t>FRETAIL IN</t>
        </is>
      </c>
      <c r="E343" s="379" t="inlineStr">
        <is>
          <t>INE752P01024</t>
        </is>
      </c>
    </row>
    <row r="344">
      <c r="A344" s="379" t="inlineStr">
        <is>
          <t>Gabriel India Ltd</t>
        </is>
      </c>
      <c r="B344" s="379" t="inlineStr">
        <is>
          <t>GABRIEL</t>
        </is>
      </c>
      <c r="C344" s="380" t="n">
        <v>105714</v>
      </c>
      <c r="D344" s="379" t="inlineStr">
        <is>
          <t>GABR IN</t>
        </is>
      </c>
      <c r="E344" s="379" t="inlineStr">
        <is>
          <t>INE524A01029</t>
        </is>
      </c>
    </row>
    <row r="345">
      <c r="A345" s="379" t="inlineStr">
        <is>
          <t>GAIL (India) Ltd</t>
        </is>
      </c>
      <c r="B345" s="379" t="inlineStr">
        <is>
          <t>GAIL</t>
        </is>
      </c>
      <c r="C345" s="380" t="n">
        <v>132155</v>
      </c>
      <c r="D345" s="379" t="inlineStr">
        <is>
          <t>GAIL IN</t>
        </is>
      </c>
      <c r="E345" s="379" t="inlineStr">
        <is>
          <t>INE129A01019</t>
        </is>
      </c>
    </row>
    <row r="346">
      <c r="A346" s="379" t="inlineStr">
        <is>
          <t>Galaxy Surfactants Ltd</t>
        </is>
      </c>
      <c r="B346" s="379" t="inlineStr">
        <is>
          <t>GALAXYSURF</t>
        </is>
      </c>
      <c r="C346" s="380" t="n">
        <v>208190</v>
      </c>
      <c r="D346" s="379" t="inlineStr">
        <is>
          <t>GALSURF IN</t>
        </is>
      </c>
      <c r="E346" s="379" t="inlineStr">
        <is>
          <t>INE600K01018</t>
        </is>
      </c>
    </row>
    <row r="347">
      <c r="A347" s="379" t="inlineStr">
        <is>
          <t>Gallantt Ispat Ltd</t>
        </is>
      </c>
      <c r="B347" s="379" t="inlineStr">
        <is>
          <t>GALLISPAT</t>
        </is>
      </c>
      <c r="C347" s="380" t="n">
        <v>219910</v>
      </c>
      <c r="D347" s="379" t="inlineStr">
        <is>
          <t>GALLIS IN</t>
        </is>
      </c>
      <c r="E347" s="379" t="inlineStr">
        <is>
          <t>INE528K01029</t>
        </is>
      </c>
    </row>
    <row r="348">
      <c r="A348" s="379" t="inlineStr">
        <is>
          <t>Gallantt Metal Ltd</t>
        </is>
      </c>
      <c r="B348" s="379" t="inlineStr">
        <is>
          <t>GALLANTT</t>
        </is>
      </c>
      <c r="C348" s="380" t="n">
        <v>132726</v>
      </c>
      <c r="D348" s="379" t="inlineStr">
        <is>
          <t>GALL IN</t>
        </is>
      </c>
      <c r="E348" s="379" t="inlineStr">
        <is>
          <t>INE297H01019</t>
        </is>
      </c>
    </row>
    <row r="349">
      <c r="A349" s="379" t="inlineStr">
        <is>
          <t>Ganesh Benzoplast Ltd</t>
        </is>
      </c>
      <c r="B349" s="379" t="inlineStr">
        <is>
          <t>GANESHBE</t>
        </is>
      </c>
      <c r="C349" s="380" t="n">
        <v>100153</v>
      </c>
      <c r="D349" s="379" t="inlineStr">
        <is>
          <t>GBP IN</t>
        </is>
      </c>
      <c r="E349" s="379" t="inlineStr">
        <is>
          <t>INE388A01029</t>
        </is>
      </c>
    </row>
    <row r="350">
      <c r="A350" s="379" t="inlineStr">
        <is>
          <t>Ganesh Housing Corporation Ltd</t>
        </is>
      </c>
      <c r="B350" s="379" t="inlineStr">
        <is>
          <t>GANESHHOUC</t>
        </is>
      </c>
      <c r="C350" s="380" t="n">
        <v>126367</v>
      </c>
      <c r="D350" s="379" t="inlineStr">
        <is>
          <t>GHFC IN</t>
        </is>
      </c>
      <c r="E350" s="379" t="inlineStr">
        <is>
          <t>INE460C01014</t>
        </is>
      </c>
    </row>
    <row r="351">
      <c r="A351" s="379" t="inlineStr">
        <is>
          <t>Ganesha Ecosphere Ltd</t>
        </is>
      </c>
      <c r="B351" s="379" t="inlineStr">
        <is>
          <t>GANECOS</t>
        </is>
      </c>
      <c r="C351" s="380" t="n">
        <v>114167</v>
      </c>
      <c r="D351" s="379" t="inlineStr">
        <is>
          <t>GNPL IN</t>
        </is>
      </c>
      <c r="E351" s="379" t="inlineStr">
        <is>
          <t>INE845D01014</t>
        </is>
      </c>
    </row>
    <row r="352">
      <c r="A352" s="379" t="inlineStr">
        <is>
          <t>Garden Reach Shipbuilders &amp; Engineers Ltd</t>
        </is>
      </c>
      <c r="B352" s="379" t="inlineStr">
        <is>
          <t>GRSE</t>
        </is>
      </c>
      <c r="C352" s="380" t="n">
        <v>208196</v>
      </c>
      <c r="D352" s="379" t="inlineStr">
        <is>
          <t>GRSE IN</t>
        </is>
      </c>
      <c r="E352" s="379" t="inlineStr">
        <is>
          <t>INE382Z01011</t>
        </is>
      </c>
    </row>
    <row r="353">
      <c r="A353" s="379" t="inlineStr">
        <is>
          <t>Garware Hi-Tech Films Ltd</t>
        </is>
      </c>
      <c r="B353" s="379" t="inlineStr">
        <is>
          <t>GARWARPOLY</t>
        </is>
      </c>
      <c r="C353" s="380" t="n">
        <v>100655</v>
      </c>
      <c r="D353" s="379" t="inlineStr">
        <is>
          <t>GWPL IN</t>
        </is>
      </c>
      <c r="E353" s="379" t="inlineStr">
        <is>
          <t>INE291A01017</t>
        </is>
      </c>
    </row>
    <row r="354">
      <c r="A354" s="379" t="inlineStr">
        <is>
          <t>Garware Technical Fibres Ltd</t>
        </is>
      </c>
      <c r="B354" s="379" t="inlineStr">
        <is>
          <t>GARFIBRES</t>
        </is>
      </c>
      <c r="C354" s="380" t="n">
        <v>109557</v>
      </c>
      <c r="D354" s="379" t="inlineStr">
        <is>
          <t>GTFL IN</t>
        </is>
      </c>
      <c r="E354" s="379" t="inlineStr">
        <is>
          <t>INE276A01018</t>
        </is>
      </c>
    </row>
    <row r="355">
      <c r="A355" s="379" t="inlineStr">
        <is>
          <t>Gateway Distriparks Ltd</t>
        </is>
      </c>
      <c r="B355" s="379" t="inlineStr">
        <is>
          <t>GDL</t>
        </is>
      </c>
      <c r="C355" s="380" t="n">
        <v>132622</v>
      </c>
      <c r="D355" s="379" t="inlineStr">
        <is>
          <t>GDPL IN</t>
        </is>
      </c>
      <c r="E355" s="379" t="inlineStr">
        <is>
          <t>INE852F01015</t>
        </is>
      </c>
    </row>
    <row r="356">
      <c r="A356" s="379" t="inlineStr">
        <is>
          <t>GATI Ltd</t>
        </is>
      </c>
      <c r="B356" s="379" t="inlineStr">
        <is>
          <t>GATI</t>
        </is>
      </c>
      <c r="C356" s="380" t="n">
        <v>132345</v>
      </c>
      <c r="D356" s="379" t="inlineStr">
        <is>
          <t>GTIC IN</t>
        </is>
      </c>
      <c r="E356" s="379" t="inlineStr">
        <is>
          <t>INE152B01027</t>
        </is>
      </c>
    </row>
    <row r="357">
      <c r="A357" s="379" t="inlineStr">
        <is>
          <t>Gayatri Projects Ltd</t>
        </is>
      </c>
      <c r="B357" s="379" t="inlineStr">
        <is>
          <t>GAYAPROJ</t>
        </is>
      </c>
      <c r="C357" s="380" t="n">
        <v>132767</v>
      </c>
      <c r="D357" s="379" t="inlineStr">
        <is>
          <t>GAYP IN</t>
        </is>
      </c>
      <c r="E357" s="379" t="inlineStr">
        <is>
          <t>INE336H01023</t>
        </is>
      </c>
    </row>
    <row r="358">
      <c r="A358" s="379" t="inlineStr">
        <is>
          <t>GE Power India Ltd</t>
        </is>
      </c>
      <c r="B358" s="379" t="inlineStr">
        <is>
          <t>GEPIL</t>
        </is>
      </c>
      <c r="C358" s="380" t="n">
        <v>132309</v>
      </c>
      <c r="D358" s="379" t="inlineStr">
        <is>
          <t>GEPIL IN</t>
        </is>
      </c>
      <c r="E358" s="379" t="inlineStr">
        <is>
          <t>INE878A01011</t>
        </is>
      </c>
    </row>
    <row r="359">
      <c r="A359" s="379" t="inlineStr">
        <is>
          <t>GE T&amp;D India Ltd</t>
        </is>
      </c>
      <c r="B359" s="379" t="inlineStr">
        <is>
          <t>GET&amp;D</t>
        </is>
      </c>
      <c r="C359" s="380" t="n">
        <v>122275</v>
      </c>
      <c r="D359" s="379" t="inlineStr">
        <is>
          <t>GETD IN</t>
        </is>
      </c>
      <c r="E359" s="379" t="inlineStr">
        <is>
          <t>INE200A01026</t>
        </is>
      </c>
    </row>
    <row r="360">
      <c r="A360" s="379" t="inlineStr">
        <is>
          <t>General Insurance Corporation of India</t>
        </is>
      </c>
      <c r="B360" s="379" t="inlineStr">
        <is>
          <t>GICRE</t>
        </is>
      </c>
      <c r="C360" s="380" t="n">
        <v>210174</v>
      </c>
      <c r="D360" s="379" t="inlineStr">
        <is>
          <t>GICRE IN</t>
        </is>
      </c>
      <c r="E360" s="379" t="inlineStr">
        <is>
          <t>INE481Y01014</t>
        </is>
      </c>
    </row>
    <row r="361">
      <c r="A361" s="379" t="inlineStr">
        <is>
          <t>Genesys International Corporation Ltd</t>
        </is>
      </c>
      <c r="B361" s="379" t="inlineStr">
        <is>
          <t>GENESYS</t>
        </is>
      </c>
      <c r="C361" s="380" t="n">
        <v>106109</v>
      </c>
      <c r="D361" s="379" t="inlineStr">
        <is>
          <t>GENE IN</t>
        </is>
      </c>
      <c r="E361" s="379" t="inlineStr">
        <is>
          <t>INE727B01026</t>
        </is>
      </c>
    </row>
    <row r="362">
      <c r="A362" s="379" t="inlineStr">
        <is>
          <t>Genus Power Infrastructures Ltd</t>
        </is>
      </c>
      <c r="B362" s="379" t="inlineStr">
        <is>
          <t>GENUSPOWER</t>
        </is>
      </c>
      <c r="C362" s="380" t="n">
        <v>130343</v>
      </c>
      <c r="D362" s="379" t="inlineStr">
        <is>
          <t>GPIN IN</t>
        </is>
      </c>
      <c r="E362" s="379" t="inlineStr">
        <is>
          <t>INE955D01029</t>
        </is>
      </c>
    </row>
    <row r="363">
      <c r="A363" s="379" t="inlineStr">
        <is>
          <t>Geojit Financial Services Ltd</t>
        </is>
      </c>
      <c r="B363" s="379" t="inlineStr">
        <is>
          <t>GEOJITFSL</t>
        </is>
      </c>
      <c r="C363" s="380" t="n">
        <v>132285</v>
      </c>
      <c r="D363" s="379" t="inlineStr">
        <is>
          <t>GEOFSL IN</t>
        </is>
      </c>
      <c r="E363" s="379" t="inlineStr">
        <is>
          <t>INE007B01023</t>
        </is>
      </c>
    </row>
    <row r="364">
      <c r="A364" s="379" t="inlineStr">
        <is>
          <t>GFL Ltd</t>
        </is>
      </c>
      <c r="B364" s="379" t="inlineStr">
        <is>
          <t>GFLLIMITED</t>
        </is>
      </c>
      <c r="C364" s="380" t="n">
        <v>100173</v>
      </c>
      <c r="D364" s="379" t="inlineStr">
        <is>
          <t>GFLTD IN</t>
        </is>
      </c>
      <c r="E364" s="379" t="inlineStr">
        <is>
          <t>INE538A01037</t>
        </is>
      </c>
    </row>
    <row r="365">
      <c r="A365" s="379" t="inlineStr">
        <is>
          <t>GHCL Ltd</t>
        </is>
      </c>
      <c r="B365" s="379" t="inlineStr">
        <is>
          <t>GHCL</t>
        </is>
      </c>
      <c r="C365" s="380" t="n">
        <v>100171</v>
      </c>
      <c r="D365" s="379" t="inlineStr">
        <is>
          <t>GHCL IN</t>
        </is>
      </c>
      <c r="E365" s="379" t="inlineStr">
        <is>
          <t>INE539A01019</t>
        </is>
      </c>
    </row>
    <row r="366">
      <c r="A366" s="379" t="inlineStr">
        <is>
          <t>GIC Housing Finance Ltd</t>
        </is>
      </c>
      <c r="B366" s="379" t="inlineStr">
        <is>
          <t>GICHSGFIN</t>
        </is>
      </c>
      <c r="C366" s="380" t="n">
        <v>111676</v>
      </c>
      <c r="D366" s="379" t="inlineStr">
        <is>
          <t>GICHF IN</t>
        </is>
      </c>
      <c r="E366" s="379" t="inlineStr">
        <is>
          <t>INE289B01019</t>
        </is>
      </c>
    </row>
    <row r="367">
      <c r="A367" s="379" t="inlineStr">
        <is>
          <t>Gillette India Ltd</t>
        </is>
      </c>
      <c r="B367" s="379" t="inlineStr">
        <is>
          <t>GILLETTE</t>
        </is>
      </c>
      <c r="C367" s="380" t="n">
        <v>107815</v>
      </c>
      <c r="D367" s="379" t="inlineStr">
        <is>
          <t>GILL IN</t>
        </is>
      </c>
      <c r="E367" s="379" t="inlineStr">
        <is>
          <t>INE322A01010</t>
        </is>
      </c>
    </row>
    <row r="368">
      <c r="A368" s="379" t="inlineStr">
        <is>
          <t>Gland Pharma Ltd</t>
        </is>
      </c>
      <c r="B368" s="379" t="inlineStr">
        <is>
          <t>GLAND</t>
        </is>
      </c>
      <c r="C368" s="380" t="n">
        <v>235355</v>
      </c>
      <c r="D368" s="379" t="inlineStr">
        <is>
          <t>GLAND IN</t>
        </is>
      </c>
      <c r="E368" s="379" t="inlineStr">
        <is>
          <t>INE068V01023</t>
        </is>
      </c>
    </row>
    <row r="369">
      <c r="A369" s="361" t="inlineStr">
        <is>
          <t>Glaxosmithkline Pharmaceuticals Ltd</t>
        </is>
      </c>
      <c r="B369" s="379" t="inlineStr">
        <is>
          <t>GLAXO</t>
        </is>
      </c>
      <c r="C369" s="380" t="n">
        <v>100660</v>
      </c>
      <c r="D369" s="379" t="inlineStr">
        <is>
          <t>GLXO IN</t>
        </is>
      </c>
      <c r="E369" s="379" t="inlineStr">
        <is>
          <t>INE159A01016</t>
        </is>
      </c>
    </row>
    <row r="370">
      <c r="A370" s="379" t="inlineStr">
        <is>
          <t>Glenmark Life Sciences Ltd</t>
        </is>
      </c>
      <c r="B370" s="379" t="inlineStr">
        <is>
          <t>GLS</t>
        </is>
      </c>
      <c r="C370" s="380" t="n">
        <v>301987</v>
      </c>
      <c r="D370" s="379" t="inlineStr">
        <is>
          <t>GLS IN</t>
        </is>
      </c>
      <c r="E370" s="379" t="inlineStr">
        <is>
          <t>INE03Q201024</t>
        </is>
      </c>
    </row>
    <row r="371">
      <c r="A371" s="379" t="inlineStr">
        <is>
          <t>Glenmark Pharmaceuticals Ltd</t>
        </is>
      </c>
      <c r="B371" s="379" t="inlineStr">
        <is>
          <t>GLENMARK</t>
        </is>
      </c>
      <c r="C371" s="380" t="n">
        <v>132296</v>
      </c>
      <c r="D371" s="379" t="inlineStr">
        <is>
          <t>GNP IN</t>
        </is>
      </c>
      <c r="E371" s="379" t="inlineStr">
        <is>
          <t>INE935A01035</t>
        </is>
      </c>
    </row>
    <row r="372">
      <c r="A372" s="379" t="inlineStr">
        <is>
          <t>Globus Power Generation Ltd</t>
        </is>
      </c>
      <c r="B372" s="379" t="n"/>
      <c r="C372" s="380" t="n">
        <v>126025</v>
      </c>
      <c r="D372" s="379" t="inlineStr">
        <is>
          <t>GUF IN</t>
        </is>
      </c>
      <c r="E372" s="379" t="inlineStr">
        <is>
          <t>INE064L01015</t>
        </is>
      </c>
    </row>
    <row r="373">
      <c r="A373" s="379" t="inlineStr">
        <is>
          <t>Globus Spirits Ltd</t>
        </is>
      </c>
      <c r="B373" s="379" t="inlineStr">
        <is>
          <t>GLOBUSSPR</t>
        </is>
      </c>
      <c r="C373" s="380" t="n">
        <v>200047</v>
      </c>
      <c r="D373" s="379" t="inlineStr">
        <is>
          <t>GBSL IN</t>
        </is>
      </c>
      <c r="E373" s="379" t="inlineStr">
        <is>
          <t>INE615I01010</t>
        </is>
      </c>
    </row>
    <row r="374">
      <c r="A374" s="379" t="inlineStr">
        <is>
          <t>Gloster Ltd</t>
        </is>
      </c>
      <c r="B374" s="379" t="n"/>
      <c r="C374" s="380" t="n">
        <v>244215</v>
      </c>
      <c r="D374" s="379" t="inlineStr">
        <is>
          <t>GLOS IN</t>
        </is>
      </c>
      <c r="E374" s="379" t="inlineStr">
        <is>
          <t>INE350Z01018</t>
        </is>
      </c>
    </row>
    <row r="375">
      <c r="A375" s="379" t="inlineStr">
        <is>
          <t>GM Breweries Ltd</t>
        </is>
      </c>
      <c r="B375" s="379" t="inlineStr">
        <is>
          <t>GMBREW</t>
        </is>
      </c>
      <c r="C375" s="380" t="n">
        <v>107488</v>
      </c>
      <c r="D375" s="379" t="inlineStr">
        <is>
          <t>GMBR IN</t>
        </is>
      </c>
      <c r="E375" s="379" t="inlineStr">
        <is>
          <t>INE075D01018</t>
        </is>
      </c>
    </row>
    <row r="376">
      <c r="A376" s="379" t="inlineStr">
        <is>
          <t>GMM Pfaudler Ltd</t>
        </is>
      </c>
      <c r="B376" s="379" t="inlineStr">
        <is>
          <t>GMMPFAUDLR</t>
        </is>
      </c>
      <c r="C376" s="380" t="n">
        <v>105255</v>
      </c>
      <c r="D376" s="379" t="inlineStr">
        <is>
          <t>GMM IN</t>
        </is>
      </c>
      <c r="E376" s="379" t="inlineStr">
        <is>
          <t>INE541A01023</t>
        </is>
      </c>
    </row>
    <row r="377">
      <c r="A377" s="379" t="inlineStr">
        <is>
          <t>GMR Infrastructure Ltd</t>
        </is>
      </c>
      <c r="B377" s="379" t="inlineStr">
        <is>
          <t>GMRINFRA</t>
        </is>
      </c>
      <c r="C377" s="380" t="n">
        <v>132754</v>
      </c>
      <c r="D377" s="379" t="inlineStr">
        <is>
          <t>GMRI IN</t>
        </is>
      </c>
      <c r="E377" s="379" t="inlineStr">
        <is>
          <t>INE776C01039</t>
        </is>
      </c>
    </row>
    <row r="378">
      <c r="A378" s="379" t="inlineStr">
        <is>
          <t>GNA Axles Ltd</t>
        </is>
      </c>
      <c r="B378" s="379" t="inlineStr">
        <is>
          <t>GNA</t>
        </is>
      </c>
      <c r="C378" s="380" t="n">
        <v>211130</v>
      </c>
      <c r="D378" s="379" t="inlineStr">
        <is>
          <t>GNA IN</t>
        </is>
      </c>
      <c r="E378" s="379" t="inlineStr">
        <is>
          <t>INE934S01014</t>
        </is>
      </c>
    </row>
    <row r="379">
      <c r="A379" s="379" t="inlineStr">
        <is>
          <t>Go Fashion (India) Ltd</t>
        </is>
      </c>
      <c r="B379" s="379" t="inlineStr">
        <is>
          <t>GOCOLORS</t>
        </is>
      </c>
      <c r="C379" s="380" t="n">
        <v>303146</v>
      </c>
      <c r="D379" s="379" t="inlineStr">
        <is>
          <t>GOCOLORS IN</t>
        </is>
      </c>
      <c r="E379" s="379" t="inlineStr">
        <is>
          <t>INE0BJS01011</t>
        </is>
      </c>
    </row>
    <row r="380">
      <c r="A380" s="379" t="inlineStr">
        <is>
          <t>GOCL Corporation Ltd</t>
        </is>
      </c>
      <c r="B380" s="379" t="inlineStr">
        <is>
          <t>GOCLCORP</t>
        </is>
      </c>
      <c r="C380" s="380" t="n">
        <v>106480</v>
      </c>
      <c r="D380" s="379" t="inlineStr">
        <is>
          <t>GOCL IN</t>
        </is>
      </c>
      <c r="E380" s="379" t="inlineStr">
        <is>
          <t>INE077F01035</t>
        </is>
      </c>
    </row>
    <row r="381">
      <c r="A381" s="379" t="inlineStr">
        <is>
          <t>Godawari Power And Ispat Ltd</t>
        </is>
      </c>
      <c r="B381" s="379" t="inlineStr">
        <is>
          <t>GPIL</t>
        </is>
      </c>
      <c r="C381" s="380" t="n">
        <v>132734</v>
      </c>
      <c r="D381" s="379" t="inlineStr">
        <is>
          <t>GODPI IN</t>
        </is>
      </c>
      <c r="E381" s="379" t="inlineStr">
        <is>
          <t>INE177H01021</t>
        </is>
      </c>
    </row>
    <row r="382">
      <c r="A382" s="379" t="inlineStr">
        <is>
          <t>Godfrey Phillips India Ltd</t>
        </is>
      </c>
      <c r="B382" s="379" t="inlineStr">
        <is>
          <t>GODFRYPHLP</t>
        </is>
      </c>
      <c r="C382" s="380" t="n">
        <v>100163</v>
      </c>
      <c r="D382" s="379" t="inlineStr">
        <is>
          <t>GP IN</t>
        </is>
      </c>
      <c r="E382" s="379" t="inlineStr">
        <is>
          <t>INE260B01028</t>
        </is>
      </c>
    </row>
    <row r="383">
      <c r="A383" s="379" t="inlineStr">
        <is>
          <t>Godrej Agrovet Ltd</t>
        </is>
      </c>
      <c r="B383" s="379" t="inlineStr">
        <is>
          <t>GODREJAGRO</t>
        </is>
      </c>
      <c r="C383" s="380" t="n">
        <v>217842</v>
      </c>
      <c r="D383" s="379" t="inlineStr">
        <is>
          <t>GOAGRO IN</t>
        </is>
      </c>
      <c r="E383" s="379" t="inlineStr">
        <is>
          <t>INE850D01014</t>
        </is>
      </c>
    </row>
    <row r="384">
      <c r="A384" s="379" t="inlineStr">
        <is>
          <t>Godrej Consumer Products Ltd</t>
        </is>
      </c>
      <c r="B384" s="379" t="inlineStr">
        <is>
          <t>GODREJCP</t>
        </is>
      </c>
      <c r="C384" s="380" t="n">
        <v>132424</v>
      </c>
      <c r="D384" s="379" t="inlineStr">
        <is>
          <t>GCPL IN</t>
        </is>
      </c>
      <c r="E384" s="379" t="inlineStr">
        <is>
          <t>INE102D01028</t>
        </is>
      </c>
    </row>
    <row r="385">
      <c r="A385" s="379" t="inlineStr">
        <is>
          <t>Godrej Industries Ltd</t>
        </is>
      </c>
      <c r="B385" s="379" t="inlineStr">
        <is>
          <t>GODREJIND</t>
        </is>
      </c>
      <c r="C385" s="380" t="n">
        <v>100164</v>
      </c>
      <c r="D385" s="379" t="inlineStr">
        <is>
          <t>GDSP IN</t>
        </is>
      </c>
      <c r="E385" s="379" t="inlineStr">
        <is>
          <t>INE233A01035</t>
        </is>
      </c>
    </row>
    <row r="386">
      <c r="A386" s="379" t="inlineStr">
        <is>
          <t>Godrej Properties Ltd</t>
        </is>
      </c>
      <c r="B386" s="379" t="inlineStr">
        <is>
          <t>GODREJPROP</t>
        </is>
      </c>
      <c r="C386" s="380" t="n">
        <v>208238</v>
      </c>
      <c r="D386" s="379" t="inlineStr">
        <is>
          <t>GPL IN</t>
        </is>
      </c>
      <c r="E386" s="379" t="inlineStr">
        <is>
          <t>INE484J01027</t>
        </is>
      </c>
    </row>
    <row r="387">
      <c r="A387" s="379" t="inlineStr">
        <is>
          <t>Gokaldas Exports Ltd</t>
        </is>
      </c>
      <c r="B387" s="379" t="inlineStr">
        <is>
          <t>GOKEX</t>
        </is>
      </c>
      <c r="C387" s="380" t="n">
        <v>132630</v>
      </c>
      <c r="D387" s="379" t="inlineStr">
        <is>
          <t>GEXP IN</t>
        </is>
      </c>
      <c r="E387" s="379" t="inlineStr">
        <is>
          <t>INE887G01027</t>
        </is>
      </c>
    </row>
    <row r="388">
      <c r="A388" s="379" t="inlineStr">
        <is>
          <t>Gokul Agro Resources Ltd</t>
        </is>
      </c>
      <c r="B388" s="379" t="inlineStr">
        <is>
          <t>GOKULAGRO</t>
        </is>
      </c>
      <c r="C388" s="380" t="n">
        <v>280212</v>
      </c>
      <c r="D388" s="379" t="inlineStr">
        <is>
          <t>GOKUL IN</t>
        </is>
      </c>
      <c r="E388" s="379" t="inlineStr">
        <is>
          <t>INE314T01025</t>
        </is>
      </c>
    </row>
    <row r="389">
      <c r="A389" s="379" t="inlineStr">
        <is>
          <t>Goldiam International Ltd</t>
        </is>
      </c>
      <c r="B389" s="379" t="inlineStr">
        <is>
          <t>GOLDIAM</t>
        </is>
      </c>
      <c r="C389" s="380" t="n">
        <v>126729</v>
      </c>
      <c r="D389" s="379" t="inlineStr">
        <is>
          <t>GLDM IN</t>
        </is>
      </c>
      <c r="E389" s="379" t="inlineStr">
        <is>
          <t>INE025B01017</t>
        </is>
      </c>
    </row>
    <row r="390">
      <c r="A390" s="379" t="inlineStr">
        <is>
          <t>Goodluck India Ltd</t>
        </is>
      </c>
      <c r="B390" s="379" t="inlineStr">
        <is>
          <t>GOODLUCK</t>
        </is>
      </c>
      <c r="C390" s="380" t="n">
        <v>130655</v>
      </c>
      <c r="D390" s="379" t="inlineStr">
        <is>
          <t>GLIN IN</t>
        </is>
      </c>
      <c r="E390" s="379" t="inlineStr">
        <is>
          <t>INE127I01024</t>
        </is>
      </c>
    </row>
    <row r="391">
      <c r="A391" s="379" t="inlineStr">
        <is>
          <t>Goodyear India Ltd</t>
        </is>
      </c>
      <c r="B391" s="379" t="inlineStr">
        <is>
          <t>GOODYEAR</t>
        </is>
      </c>
      <c r="C391" s="380" t="n">
        <v>100168</v>
      </c>
      <c r="D391" s="379" t="inlineStr">
        <is>
          <t>GDYR IN</t>
        </is>
      </c>
      <c r="E391" s="379" t="inlineStr">
        <is>
          <t>INE533A01012</t>
        </is>
      </c>
    </row>
    <row r="392">
      <c r="A392" s="379" t="inlineStr">
        <is>
          <t>GR Infraprojects Ltd</t>
        </is>
      </c>
      <c r="B392" s="379" t="inlineStr">
        <is>
          <t>GRINFRA</t>
        </is>
      </c>
      <c r="C392" s="380" t="n">
        <v>251940</v>
      </c>
      <c r="D392" s="379" t="inlineStr">
        <is>
          <t>GRINFRA IN</t>
        </is>
      </c>
      <c r="E392" s="379" t="inlineStr">
        <is>
          <t>INE201P01022</t>
        </is>
      </c>
    </row>
    <row r="393">
      <c r="A393" s="379" t="inlineStr">
        <is>
          <t>Granules India Ltd</t>
        </is>
      </c>
      <c r="B393" s="379" t="inlineStr">
        <is>
          <t>GRANULES</t>
        </is>
      </c>
      <c r="C393" s="380" t="n">
        <v>132482</v>
      </c>
      <c r="D393" s="379" t="inlineStr">
        <is>
          <t>GRAN IN</t>
        </is>
      </c>
      <c r="E393" s="379" t="inlineStr">
        <is>
          <t>INE101D01020</t>
        </is>
      </c>
    </row>
    <row r="394">
      <c r="A394" s="379" t="inlineStr">
        <is>
          <t>Graphite India Ltd</t>
        </is>
      </c>
      <c r="B394" s="379" t="inlineStr">
        <is>
          <t>GRAPHITE</t>
        </is>
      </c>
      <c r="C394" s="380" t="n">
        <v>109488</v>
      </c>
      <c r="D394" s="379" t="inlineStr">
        <is>
          <t>GRIL IN</t>
        </is>
      </c>
      <c r="E394" s="379" t="inlineStr">
        <is>
          <t>INE371A01025</t>
        </is>
      </c>
    </row>
    <row r="395">
      <c r="A395" s="379" t="inlineStr">
        <is>
          <t>Grasim Industries Ltd</t>
        </is>
      </c>
      <c r="B395" s="379" t="inlineStr">
        <is>
          <t>GRASIM</t>
        </is>
      </c>
      <c r="C395" s="380" t="n">
        <v>100300</v>
      </c>
      <c r="D395" s="379" t="inlineStr">
        <is>
          <t>GRASIM IN</t>
        </is>
      </c>
      <c r="E395" s="379" t="inlineStr">
        <is>
          <t>INE047A01021</t>
        </is>
      </c>
    </row>
    <row r="396">
      <c r="A396" s="379" t="inlineStr">
        <is>
          <t>Grauer &amp; Weil (India) Ltd</t>
        </is>
      </c>
      <c r="B396" s="379" t="inlineStr">
        <is>
          <t>GRAUWEIL</t>
        </is>
      </c>
      <c r="C396" s="380" t="n">
        <v>105710</v>
      </c>
      <c r="D396" s="379" t="inlineStr">
        <is>
          <t>GW IN</t>
        </is>
      </c>
      <c r="E396" s="379" t="inlineStr">
        <is>
          <t>INE266D01021</t>
        </is>
      </c>
    </row>
    <row r="397">
      <c r="A397" s="379" t="inlineStr">
        <is>
          <t>Gravita India Ltd</t>
        </is>
      </c>
      <c r="B397" s="379" t="inlineStr">
        <is>
          <t>GRAVITA</t>
        </is>
      </c>
      <c r="C397" s="380" t="n">
        <v>215690</v>
      </c>
      <c r="D397" s="379" t="inlineStr">
        <is>
          <t>GRAV IN</t>
        </is>
      </c>
      <c r="E397" s="379" t="inlineStr">
        <is>
          <t>INE024L01027</t>
        </is>
      </c>
    </row>
    <row r="398">
      <c r="A398" s="379" t="inlineStr">
        <is>
          <t>Greaves Cotton Ltd</t>
        </is>
      </c>
      <c r="B398" s="379" t="inlineStr">
        <is>
          <t>GREAVESCOT</t>
        </is>
      </c>
      <c r="C398" s="380" t="n">
        <v>101455</v>
      </c>
      <c r="D398" s="379" t="inlineStr">
        <is>
          <t>GRV IN</t>
        </is>
      </c>
      <c r="E398" s="379" t="inlineStr">
        <is>
          <t>INE224A01026</t>
        </is>
      </c>
    </row>
    <row r="399">
      <c r="A399" s="379" t="inlineStr">
        <is>
          <t>Greenlam Industries Ltd</t>
        </is>
      </c>
      <c r="B399" s="379" t="inlineStr">
        <is>
          <t>GREENLAM</t>
        </is>
      </c>
      <c r="C399" s="380" t="n">
        <v>272156</v>
      </c>
      <c r="D399" s="379" t="inlineStr">
        <is>
          <t>GRLM IN</t>
        </is>
      </c>
      <c r="E399" s="379" t="inlineStr">
        <is>
          <t>INE544R01013</t>
        </is>
      </c>
    </row>
    <row r="400">
      <c r="A400" s="379" t="inlineStr">
        <is>
          <t>Greenpanel Industries Ltd</t>
        </is>
      </c>
      <c r="B400" s="379" t="inlineStr">
        <is>
          <t>GREENPANEL</t>
        </is>
      </c>
      <c r="C400" s="380" t="n">
        <v>295732</v>
      </c>
      <c r="D400" s="379" t="inlineStr">
        <is>
          <t>GREENP IN</t>
        </is>
      </c>
      <c r="E400" s="379" t="inlineStr">
        <is>
          <t>INE08ZM01014</t>
        </is>
      </c>
    </row>
    <row r="401">
      <c r="A401" s="379" t="inlineStr">
        <is>
          <t>Greenply Industries Ltd</t>
        </is>
      </c>
      <c r="B401" s="379" t="inlineStr">
        <is>
          <t>GREENPLY</t>
        </is>
      </c>
      <c r="C401" s="380" t="n">
        <v>126797</v>
      </c>
      <c r="D401" s="379" t="inlineStr">
        <is>
          <t>MTLM IN</t>
        </is>
      </c>
      <c r="E401" s="379" t="inlineStr">
        <is>
          <t>INE461C01038</t>
        </is>
      </c>
    </row>
    <row r="402">
      <c r="A402" s="379" t="inlineStr">
        <is>
          <t>Grindwell Norton Ltd</t>
        </is>
      </c>
      <c r="B402" s="379" t="inlineStr">
        <is>
          <t>GRINDWELL</t>
        </is>
      </c>
      <c r="C402" s="380" t="n">
        <v>106076</v>
      </c>
      <c r="D402" s="379" t="inlineStr">
        <is>
          <t>GWN IN</t>
        </is>
      </c>
      <c r="E402" s="379" t="inlineStr">
        <is>
          <t>INE536A01023</t>
        </is>
      </c>
    </row>
    <row r="403">
      <c r="A403" s="379" t="inlineStr">
        <is>
          <t>GRM Overseas Ltd</t>
        </is>
      </c>
      <c r="B403" s="379" t="n"/>
      <c r="C403" s="380" t="n">
        <v>131449</v>
      </c>
      <c r="D403" s="379" t="inlineStr">
        <is>
          <t>GRMO IN</t>
        </is>
      </c>
      <c r="E403" s="379" t="inlineStr">
        <is>
          <t>INE192H01020</t>
        </is>
      </c>
    </row>
    <row r="404">
      <c r="A404" s="379" t="inlineStr">
        <is>
          <t>GTL Infrastructure Ltd</t>
        </is>
      </c>
      <c r="B404" s="379" t="inlineStr">
        <is>
          <t>GTLINFRA</t>
        </is>
      </c>
      <c r="C404" s="380" t="n">
        <v>132775</v>
      </c>
      <c r="D404" s="379" t="inlineStr">
        <is>
          <t>GTLI IN</t>
        </is>
      </c>
      <c r="E404" s="379" t="inlineStr">
        <is>
          <t>INE221H01019</t>
        </is>
      </c>
    </row>
    <row r="405">
      <c r="A405" s="379" t="inlineStr">
        <is>
          <t>GTPL Hathway Ltd</t>
        </is>
      </c>
      <c r="B405" s="379" t="inlineStr">
        <is>
          <t>GTPL</t>
        </is>
      </c>
      <c r="C405" s="380" t="n">
        <v>284223</v>
      </c>
      <c r="D405" s="379" t="inlineStr">
        <is>
          <t>GTPL IN</t>
        </is>
      </c>
      <c r="E405" s="379" t="inlineStr">
        <is>
          <t>INE869I01013</t>
        </is>
      </c>
    </row>
    <row r="406">
      <c r="A406" s="379" t="inlineStr">
        <is>
          <t>Gufic Biosciences Ltd</t>
        </is>
      </c>
      <c r="B406" s="379" t="inlineStr">
        <is>
          <t>GUFICBIO</t>
        </is>
      </c>
      <c r="C406" s="380" t="n">
        <v>109079</v>
      </c>
      <c r="D406" s="379" t="inlineStr">
        <is>
          <t>CF IN</t>
        </is>
      </c>
      <c r="E406" s="379" t="inlineStr">
        <is>
          <t>INE742B01025</t>
        </is>
      </c>
    </row>
    <row r="407">
      <c r="A407" s="379" t="inlineStr">
        <is>
          <t>Gujarat Alkalies And Chemicals Ltd</t>
        </is>
      </c>
      <c r="B407" s="379" t="inlineStr">
        <is>
          <t>GUJALKALI</t>
        </is>
      </c>
      <c r="C407" s="380" t="n">
        <v>130001</v>
      </c>
      <c r="D407" s="379" t="inlineStr">
        <is>
          <t>GALK IN</t>
        </is>
      </c>
      <c r="E407" s="379" t="inlineStr">
        <is>
          <t>INE186A01019</t>
        </is>
      </c>
    </row>
    <row r="408">
      <c r="A408" s="379" t="inlineStr">
        <is>
          <t>Gujarat Ambuja Exports Ltd</t>
        </is>
      </c>
      <c r="B408" s="379" t="inlineStr">
        <is>
          <t>GAEL</t>
        </is>
      </c>
      <c r="C408" s="380" t="n">
        <v>124226</v>
      </c>
      <c r="D408" s="379" t="inlineStr">
        <is>
          <t>GAEX IN</t>
        </is>
      </c>
      <c r="E408" s="379" t="inlineStr">
        <is>
          <t>INE036B01030</t>
        </is>
      </c>
    </row>
    <row r="409">
      <c r="A409" s="379" t="inlineStr">
        <is>
          <t>Gujarat Fluorochemicals Ltd</t>
        </is>
      </c>
      <c r="B409" s="379" t="inlineStr">
        <is>
          <t>FLUOROCHEM</t>
        </is>
      </c>
      <c r="C409" s="380" t="n">
        <v>295872</v>
      </c>
      <c r="D409" s="379" t="inlineStr">
        <is>
          <t>FLUOROCH IN</t>
        </is>
      </c>
      <c r="E409" s="379" t="inlineStr">
        <is>
          <t>INE09N301011</t>
        </is>
      </c>
    </row>
    <row r="410">
      <c r="A410" s="379" t="inlineStr">
        <is>
          <t>Gujarat Gas Ltd</t>
        </is>
      </c>
      <c r="B410" s="379" t="inlineStr">
        <is>
          <t>GUJGASLTD</t>
        </is>
      </c>
      <c r="C410" s="380" t="n">
        <v>249927</v>
      </c>
      <c r="D410" s="379" t="inlineStr">
        <is>
          <t>GUJGA IN</t>
        </is>
      </c>
      <c r="E410" s="379" t="inlineStr">
        <is>
          <t>INE844O01030</t>
        </is>
      </c>
    </row>
    <row r="411">
      <c r="A411" s="379" t="inlineStr">
        <is>
          <t>Gujarat Industries Power Company Ltd</t>
        </is>
      </c>
      <c r="B411" s="379" t="inlineStr">
        <is>
          <t>GIPCL</t>
        </is>
      </c>
      <c r="C411" s="380" t="n">
        <v>117300</v>
      </c>
      <c r="D411" s="379" t="inlineStr">
        <is>
          <t>GIP IN</t>
        </is>
      </c>
      <c r="E411" s="379" t="inlineStr">
        <is>
          <t>INE162A01010</t>
        </is>
      </c>
    </row>
    <row r="412">
      <c r="A412" s="379" t="inlineStr">
        <is>
          <t>Gujarat Mineral Development Corporation Ltd</t>
        </is>
      </c>
      <c r="B412" s="379" t="inlineStr">
        <is>
          <t>GMDCLTD</t>
        </is>
      </c>
      <c r="C412" s="380" t="n">
        <v>132181</v>
      </c>
      <c r="D412" s="379" t="inlineStr">
        <is>
          <t>GMDC IN</t>
        </is>
      </c>
      <c r="E412" s="379" t="inlineStr">
        <is>
          <t>INE131A01031</t>
        </is>
      </c>
    </row>
    <row r="413">
      <c r="A413" s="379" t="inlineStr">
        <is>
          <t>Gujarat Narmada Valley Fertilizers &amp; Chemicals Ltd</t>
        </is>
      </c>
      <c r="B413" s="379" t="inlineStr">
        <is>
          <t>GNFC</t>
        </is>
      </c>
      <c r="C413" s="380" t="n">
        <v>100670</v>
      </c>
      <c r="D413" s="379" t="inlineStr">
        <is>
          <t>GNFC IN</t>
        </is>
      </c>
      <c r="E413" s="379" t="inlineStr">
        <is>
          <t>INE113A01013</t>
        </is>
      </c>
    </row>
    <row r="414">
      <c r="A414" s="379" t="inlineStr">
        <is>
          <t>Gujarat Pipavav Port Ltd</t>
        </is>
      </c>
      <c r="B414" s="379" t="inlineStr">
        <is>
          <t>GPPL</t>
        </is>
      </c>
      <c r="C414" s="380" t="n">
        <v>208264</v>
      </c>
      <c r="D414" s="379" t="inlineStr">
        <is>
          <t>GPPV IN</t>
        </is>
      </c>
      <c r="E414" s="379" t="inlineStr">
        <is>
          <t>INE517F01014</t>
        </is>
      </c>
    </row>
    <row r="415">
      <c r="A415" s="379" t="inlineStr">
        <is>
          <t>Gujarat State Fertilizers &amp; Chemicals Ltd</t>
        </is>
      </c>
      <c r="B415" s="379" t="inlineStr">
        <is>
          <t>GSFC</t>
        </is>
      </c>
      <c r="C415" s="380" t="n">
        <v>100690</v>
      </c>
      <c r="D415" s="379" t="inlineStr">
        <is>
          <t>GSFC IN</t>
        </is>
      </c>
      <c r="E415" s="379" t="inlineStr">
        <is>
          <t>INE026A01025</t>
        </is>
      </c>
    </row>
    <row r="416">
      <c r="A416" s="379" t="inlineStr">
        <is>
          <t>Gujarat State Petronet Ltd</t>
        </is>
      </c>
      <c r="B416" s="379" t="inlineStr">
        <is>
          <t>GSPL</t>
        </is>
      </c>
      <c r="C416" s="380" t="n">
        <v>132702</v>
      </c>
      <c r="D416" s="379" t="inlineStr">
        <is>
          <t>GUJS IN</t>
        </is>
      </c>
      <c r="E416" s="379" t="inlineStr">
        <is>
          <t>INE246F01010</t>
        </is>
      </c>
    </row>
    <row r="417">
      <c r="A417" s="379" t="inlineStr">
        <is>
          <t>Gujarat Themis Biosyn Ltd</t>
        </is>
      </c>
      <c r="B417" s="379" t="inlineStr">
        <is>
          <t>GUJTHEMIS</t>
        </is>
      </c>
      <c r="C417" s="380" t="n">
        <v>106879</v>
      </c>
      <c r="D417" s="379" t="inlineStr">
        <is>
          <t>GTB IN</t>
        </is>
      </c>
      <c r="E417" s="379" t="inlineStr">
        <is>
          <t>INE942C01029</t>
        </is>
      </c>
    </row>
    <row r="418">
      <c r="A418" s="379" t="inlineStr">
        <is>
          <t>Gulf Oil Lubricants India Ltd</t>
        </is>
      </c>
      <c r="B418" s="379" t="inlineStr">
        <is>
          <t>GULFOILLUB</t>
        </is>
      </c>
      <c r="C418" s="380" t="n">
        <v>267543</v>
      </c>
      <c r="D418" s="379" t="inlineStr">
        <is>
          <t>GOLI IN</t>
        </is>
      </c>
      <c r="E418" s="379" t="inlineStr">
        <is>
          <t>INE635Q01029</t>
        </is>
      </c>
    </row>
    <row r="419">
      <c r="A419" s="379" t="inlineStr">
        <is>
          <t>Gulshan Polyols Ltd</t>
        </is>
      </c>
      <c r="B419" s="379" t="inlineStr">
        <is>
          <t>GULPOLY</t>
        </is>
      </c>
      <c r="C419" s="380" t="n">
        <v>132457</v>
      </c>
      <c r="D419" s="379" t="inlineStr">
        <is>
          <t>GULP IN</t>
        </is>
      </c>
      <c r="E419" s="379" t="inlineStr">
        <is>
          <t>INE255D01024</t>
        </is>
      </c>
    </row>
    <row r="420">
      <c r="A420" s="379" t="inlineStr">
        <is>
          <t>HGInfra Engineering Ltd</t>
        </is>
      </c>
      <c r="B420" s="379" t="inlineStr">
        <is>
          <t>HGINFRA</t>
        </is>
      </c>
      <c r="C420" s="380" t="n">
        <v>282626</v>
      </c>
      <c r="D420" s="379" t="inlineStr">
        <is>
          <t>HGINFRA IN</t>
        </is>
      </c>
      <c r="E420" s="379" t="inlineStr">
        <is>
          <t>INE926X01010</t>
        </is>
      </c>
    </row>
    <row r="421">
      <c r="A421" s="379" t="inlineStr">
        <is>
          <t>Happiest Minds Technologies Ltd</t>
        </is>
      </c>
      <c r="B421" s="379" t="inlineStr">
        <is>
          <t>HAPPSTMNDS</t>
        </is>
      </c>
      <c r="C421" s="380" t="n">
        <v>284232</v>
      </c>
      <c r="D421" s="379" t="inlineStr">
        <is>
          <t>HAPPSTMN IN</t>
        </is>
      </c>
      <c r="E421" s="379" t="inlineStr">
        <is>
          <t>INE419U01012</t>
        </is>
      </c>
    </row>
    <row r="422">
      <c r="A422" s="379" t="inlineStr">
        <is>
          <t>Hathway Cable &amp; Datacom Ltd</t>
        </is>
      </c>
      <c r="B422" s="379" t="inlineStr">
        <is>
          <t>HATHWAY</t>
        </is>
      </c>
      <c r="C422" s="380" t="n">
        <v>215739</v>
      </c>
      <c r="D422" s="379" t="inlineStr">
        <is>
          <t>HATH IN</t>
        </is>
      </c>
      <c r="E422" s="379" t="inlineStr">
        <is>
          <t>INE982F01036</t>
        </is>
      </c>
    </row>
    <row r="423">
      <c r="A423" s="379" t="inlineStr">
        <is>
          <t>Hatsun Agro Product Ltd</t>
        </is>
      </c>
      <c r="B423" s="379" t="inlineStr">
        <is>
          <t>HATSUN</t>
        </is>
      </c>
      <c r="C423" s="380" t="n">
        <v>131531</v>
      </c>
      <c r="D423" s="379" t="inlineStr">
        <is>
          <t>HTSMF IN</t>
        </is>
      </c>
      <c r="E423" s="379" t="inlineStr">
        <is>
          <t>INE473B01035</t>
        </is>
      </c>
    </row>
    <row r="424">
      <c r="A424" s="379" t="inlineStr">
        <is>
          <t>Havells India Ltd</t>
        </is>
      </c>
      <c r="B424" s="379" t="inlineStr">
        <is>
          <t>HAVELLS</t>
        </is>
      </c>
      <c r="C424" s="380" t="n">
        <v>117354</v>
      </c>
      <c r="D424" s="379" t="inlineStr">
        <is>
          <t>HAVL IN</t>
        </is>
      </c>
      <c r="E424" s="379" t="inlineStr">
        <is>
          <t>INE176B01034</t>
        </is>
      </c>
    </row>
    <row r="425">
      <c r="A425" s="379" t="inlineStr">
        <is>
          <t>Hawkins Cookers Ltd</t>
        </is>
      </c>
      <c r="B425" s="379" t="inlineStr">
        <is>
          <t>HAWKINCOOK</t>
        </is>
      </c>
      <c r="C425" s="380" t="n">
        <v>108486</v>
      </c>
      <c r="D425" s="379" t="inlineStr">
        <is>
          <t>HAWK IN</t>
        </is>
      </c>
      <c r="E425" s="379" t="inlineStr">
        <is>
          <t>INE979B01015</t>
        </is>
      </c>
    </row>
    <row r="426">
      <c r="A426" s="379" t="inlineStr">
        <is>
          <t>HBL Power Systems Ltd</t>
        </is>
      </c>
      <c r="B426" s="379" t="inlineStr">
        <is>
          <t>HBLPOWER</t>
        </is>
      </c>
      <c r="C426" s="380" t="n">
        <v>117271</v>
      </c>
      <c r="D426" s="379" t="inlineStr">
        <is>
          <t>HBPS IN</t>
        </is>
      </c>
      <c r="E426" s="379" t="inlineStr">
        <is>
          <t>INE292B01021</t>
        </is>
      </c>
    </row>
    <row r="427">
      <c r="A427" s="379" t="inlineStr">
        <is>
          <t>HCL Infosystems Ltd</t>
        </is>
      </c>
      <c r="B427" s="379" t="inlineStr">
        <is>
          <t>HCL-INSYS</t>
        </is>
      </c>
      <c r="C427" s="380" t="n">
        <v>100179</v>
      </c>
      <c r="D427" s="379" t="inlineStr">
        <is>
          <t>HCLI IN</t>
        </is>
      </c>
      <c r="E427" s="379" t="inlineStr">
        <is>
          <t>INE236A01020</t>
        </is>
      </c>
    </row>
    <row r="428">
      <c r="A428" s="379" t="inlineStr">
        <is>
          <t>HCL Technologies Ltd</t>
        </is>
      </c>
      <c r="B428" s="379" t="inlineStr">
        <is>
          <t>HCLTECH</t>
        </is>
      </c>
      <c r="C428" s="380" t="n">
        <v>132281</v>
      </c>
      <c r="D428" s="379" t="inlineStr">
        <is>
          <t>HCLT IN</t>
        </is>
      </c>
      <c r="E428" s="379" t="inlineStr">
        <is>
          <t>INE860A01027</t>
        </is>
      </c>
    </row>
    <row r="429">
      <c r="A429" s="379" t="inlineStr">
        <is>
          <t>HCP Plastene Bulkpack Ltd</t>
        </is>
      </c>
      <c r="B429" s="379" t="n"/>
      <c r="C429" s="380" t="n">
        <v>126717</v>
      </c>
      <c r="D429" s="379" t="inlineStr">
        <is>
          <t>GPPL IN</t>
        </is>
      </c>
      <c r="E429" s="379" t="inlineStr">
        <is>
          <t>INE136C01044</t>
        </is>
      </c>
    </row>
    <row r="430">
      <c r="A430" s="379" t="inlineStr">
        <is>
          <t>HDFC Asset Management Company Ltd</t>
        </is>
      </c>
      <c r="B430" s="379" t="inlineStr">
        <is>
          <t>HDFCAMC</t>
        </is>
      </c>
      <c r="C430" s="380" t="n">
        <v>208280</v>
      </c>
      <c r="D430" s="379" t="inlineStr">
        <is>
          <t>HDFCAMC IN</t>
        </is>
      </c>
      <c r="E430" s="379" t="inlineStr">
        <is>
          <t>INE127D01025</t>
        </is>
      </c>
    </row>
    <row r="431">
      <c r="A431" s="379" t="inlineStr">
        <is>
          <t>HDFC Bank Ltd</t>
        </is>
      </c>
      <c r="B431" s="379" t="inlineStr">
        <is>
          <t>HDFCBANK</t>
        </is>
      </c>
      <c r="C431" s="380" t="n">
        <v>100180</v>
      </c>
      <c r="D431" s="379" t="inlineStr">
        <is>
          <t>HDFCB IN</t>
        </is>
      </c>
      <c r="E431" s="379" t="inlineStr">
        <is>
          <t>INE040A01034</t>
        </is>
      </c>
    </row>
    <row r="432">
      <c r="A432" s="379" t="inlineStr">
        <is>
          <t>HDFC Life Insurance Co Ltd</t>
        </is>
      </c>
      <c r="B432" s="379" t="inlineStr">
        <is>
          <t>HDFCLIFE</t>
        </is>
      </c>
      <c r="C432" s="380" t="n">
        <v>217389</v>
      </c>
      <c r="D432" s="379" t="inlineStr">
        <is>
          <t>HDFCLIFE IN</t>
        </is>
      </c>
      <c r="E432" s="379" t="inlineStr">
        <is>
          <t>INE795G01014</t>
        </is>
      </c>
    </row>
    <row r="433">
      <c r="A433" s="379" t="inlineStr">
        <is>
          <t>Healthcare Global Enterprises Ltd</t>
        </is>
      </c>
      <c r="B433" s="379" t="inlineStr">
        <is>
          <t>HCG</t>
        </is>
      </c>
      <c r="C433" s="380" t="n">
        <v>210217</v>
      </c>
      <c r="D433" s="379" t="inlineStr">
        <is>
          <t>HCG IN</t>
        </is>
      </c>
      <c r="E433" s="379" t="inlineStr">
        <is>
          <t>INE075I01017</t>
        </is>
      </c>
    </row>
    <row r="434">
      <c r="A434" s="379" t="inlineStr">
        <is>
          <t>HEG Ltd</t>
        </is>
      </c>
      <c r="B434" s="379" t="inlineStr">
        <is>
          <t>HEG</t>
        </is>
      </c>
      <c r="C434" s="380" t="n">
        <v>109631</v>
      </c>
      <c r="D434" s="379" t="inlineStr">
        <is>
          <t>HEG IN</t>
        </is>
      </c>
      <c r="E434" s="379" t="inlineStr">
        <is>
          <t>INE545A01016</t>
        </is>
      </c>
    </row>
    <row r="435">
      <c r="A435" s="379" t="inlineStr">
        <is>
          <t>Heidelberg Cement India Ltd</t>
        </is>
      </c>
      <c r="B435" s="379" t="inlineStr">
        <is>
          <t>HEIDELBERG</t>
        </is>
      </c>
      <c r="C435" s="380" t="n">
        <v>100292</v>
      </c>
      <c r="D435" s="379" t="inlineStr">
        <is>
          <t>HEIM IN</t>
        </is>
      </c>
      <c r="E435" s="379" t="inlineStr">
        <is>
          <t>INE578A01017</t>
        </is>
      </c>
    </row>
    <row r="436">
      <c r="A436" s="379" t="inlineStr">
        <is>
          <t>Hemisphere Properties India Ltd</t>
        </is>
      </c>
      <c r="B436" s="379" t="inlineStr">
        <is>
          <t>HEMIPROP</t>
        </is>
      </c>
      <c r="C436" s="380" t="n">
        <v>296057</v>
      </c>
      <c r="D436" s="379" t="inlineStr">
        <is>
          <t>HEMIPROP IN</t>
        </is>
      </c>
      <c r="E436" s="379" t="inlineStr">
        <is>
          <t>INE0AJG01018</t>
        </is>
      </c>
    </row>
    <row r="437">
      <c r="A437" s="379" t="inlineStr">
        <is>
          <t>Heranba Industries Ltd</t>
        </is>
      </c>
      <c r="B437" s="379" t="inlineStr">
        <is>
          <t>HERANBA</t>
        </is>
      </c>
      <c r="C437" s="380" t="n">
        <v>223487</v>
      </c>
      <c r="D437" s="379" t="inlineStr">
        <is>
          <t>HERANBA IN</t>
        </is>
      </c>
      <c r="E437" s="379" t="inlineStr">
        <is>
          <t>INE694N01015</t>
        </is>
      </c>
    </row>
    <row r="438">
      <c r="A438" s="379" t="inlineStr">
        <is>
          <t>Heritage Foods Ltd</t>
        </is>
      </c>
      <c r="B438" s="379" t="inlineStr">
        <is>
          <t>HERITGFOOD</t>
        </is>
      </c>
      <c r="C438" s="380" t="n">
        <v>119552</v>
      </c>
      <c r="D438" s="379" t="inlineStr">
        <is>
          <t>HTFL IN</t>
        </is>
      </c>
      <c r="E438" s="379" t="inlineStr">
        <is>
          <t>INE978A01027</t>
        </is>
      </c>
    </row>
    <row r="439">
      <c r="A439" s="379" t="inlineStr">
        <is>
          <t>Hero MotoCorp Ltd</t>
        </is>
      </c>
      <c r="B439" s="379" t="inlineStr">
        <is>
          <t>HEROMOTOCO</t>
        </is>
      </c>
      <c r="C439" s="380" t="n">
        <v>100182</v>
      </c>
      <c r="D439" s="379" t="inlineStr">
        <is>
          <t>HMCL IN</t>
        </is>
      </c>
      <c r="E439" s="379" t="inlineStr">
        <is>
          <t>INE158A01026</t>
        </is>
      </c>
    </row>
    <row r="440">
      <c r="A440" s="379" t="inlineStr">
        <is>
          <t>Hester Biosciences Ltd</t>
        </is>
      </c>
      <c r="B440" s="379" t="inlineStr">
        <is>
          <t>HESTERBIO</t>
        </is>
      </c>
      <c r="C440" s="380" t="n">
        <v>124669</v>
      </c>
      <c r="D440" s="379" t="inlineStr">
        <is>
          <t>HBIO IN</t>
        </is>
      </c>
      <c r="E440" s="379" t="inlineStr">
        <is>
          <t>INE782E01017</t>
        </is>
      </c>
    </row>
    <row r="441">
      <c r="A441" s="379" t="inlineStr">
        <is>
          <t>Hexa Tradex Ltd</t>
        </is>
      </c>
      <c r="B441" s="379" t="inlineStr">
        <is>
          <t>HEXATRADEX</t>
        </is>
      </c>
      <c r="C441" s="380" t="n">
        <v>228275</v>
      </c>
      <c r="D441" s="379" t="inlineStr">
        <is>
          <t>HEXA IN</t>
        </is>
      </c>
      <c r="E441" s="379" t="inlineStr">
        <is>
          <t>INE750M01017</t>
        </is>
      </c>
    </row>
    <row r="442">
      <c r="A442" s="379" t="inlineStr">
        <is>
          <t>HFCL Ltd</t>
        </is>
      </c>
      <c r="B442" s="379" t="inlineStr">
        <is>
          <t>HFCL</t>
        </is>
      </c>
      <c r="C442" s="380" t="n">
        <v>100183</v>
      </c>
      <c r="D442" s="379" t="inlineStr">
        <is>
          <t>HMFC IN</t>
        </is>
      </c>
      <c r="E442" s="379" t="inlineStr">
        <is>
          <t>INE548A01028</t>
        </is>
      </c>
    </row>
    <row r="443">
      <c r="A443" s="379" t="inlineStr">
        <is>
          <t>Hikal Ltd</t>
        </is>
      </c>
      <c r="B443" s="379" t="inlineStr">
        <is>
          <t>HIKAL</t>
        </is>
      </c>
      <c r="C443" s="380" t="n">
        <v>124735</v>
      </c>
      <c r="D443" s="379" t="inlineStr">
        <is>
          <t>HKCI IN</t>
        </is>
      </c>
      <c r="E443" s="379" t="inlineStr">
        <is>
          <t>INE475B01022</t>
        </is>
      </c>
    </row>
    <row r="444">
      <c r="A444" s="379" t="inlineStr">
        <is>
          <t>HIL Ltd</t>
        </is>
      </c>
      <c r="B444" s="379" t="inlineStr">
        <is>
          <t>HIL</t>
        </is>
      </c>
      <c r="C444" s="380" t="n">
        <v>109675</v>
      </c>
      <c r="D444" s="379" t="inlineStr">
        <is>
          <t>HIL IN</t>
        </is>
      </c>
      <c r="E444" s="379" t="inlineStr">
        <is>
          <t>INE557A01011</t>
        </is>
      </c>
    </row>
    <row r="445">
      <c r="A445" s="379" t="inlineStr">
        <is>
          <t>Himadri Speciality Chemical Ltd</t>
        </is>
      </c>
      <c r="B445" s="379" t="inlineStr">
        <is>
          <t>HSCL</t>
        </is>
      </c>
      <c r="C445" s="380" t="n">
        <v>100184</v>
      </c>
      <c r="D445" s="379" t="inlineStr">
        <is>
          <t>HSCH IN</t>
        </is>
      </c>
      <c r="E445" s="379" t="inlineStr">
        <is>
          <t>INE019C01026</t>
        </is>
      </c>
    </row>
    <row r="446">
      <c r="A446" s="379" t="inlineStr">
        <is>
          <t>Himatsingka Seide Ltd</t>
        </is>
      </c>
      <c r="B446" s="379" t="inlineStr">
        <is>
          <t>HIMATSEIDE</t>
        </is>
      </c>
      <c r="C446" s="380" t="n">
        <v>114043</v>
      </c>
      <c r="D446" s="379" t="inlineStr">
        <is>
          <t>HSS IN</t>
        </is>
      </c>
      <c r="E446" s="379" t="inlineStr">
        <is>
          <t>INE049A01027</t>
        </is>
      </c>
    </row>
    <row r="447">
      <c r="A447" s="379" t="inlineStr">
        <is>
          <t>Hindalco Industries Ltd</t>
        </is>
      </c>
      <c r="B447" s="379" t="inlineStr">
        <is>
          <t>HINDALCO</t>
        </is>
      </c>
      <c r="C447" s="380" t="n">
        <v>100440</v>
      </c>
      <c r="D447" s="379" t="inlineStr">
        <is>
          <t>HNDL IN</t>
        </is>
      </c>
      <c r="E447" s="379" t="inlineStr">
        <is>
          <t>INE038A01020</t>
        </is>
      </c>
    </row>
    <row r="448">
      <c r="A448" s="379" t="inlineStr">
        <is>
          <t>Hinduja Global Solutions Ltd</t>
        </is>
      </c>
      <c r="B448" s="379" t="inlineStr">
        <is>
          <t>HGS</t>
        </is>
      </c>
      <c r="C448" s="380" t="n">
        <v>132859</v>
      </c>
      <c r="D448" s="379" t="inlineStr">
        <is>
          <t>HGSL IN</t>
        </is>
      </c>
      <c r="E448" s="379" t="inlineStr">
        <is>
          <t>INE170I01016</t>
        </is>
      </c>
    </row>
    <row r="449">
      <c r="A449" s="379" t="inlineStr">
        <is>
          <t>Hindustan Aeronautics Ltd</t>
        </is>
      </c>
      <c r="B449" s="379" t="inlineStr">
        <is>
          <t>HAL</t>
        </is>
      </c>
      <c r="C449" s="380" t="n">
        <v>219494</v>
      </c>
      <c r="D449" s="379" t="inlineStr">
        <is>
          <t>HNAL IN</t>
        </is>
      </c>
      <c r="E449" s="379" t="inlineStr">
        <is>
          <t>INE066F01012</t>
        </is>
      </c>
    </row>
    <row r="450">
      <c r="A450" s="379" t="inlineStr">
        <is>
          <t>Hindustan Construction Company Ltd</t>
        </is>
      </c>
      <c r="B450" s="379" t="inlineStr">
        <is>
          <t>HCC</t>
        </is>
      </c>
      <c r="C450" s="380" t="n">
        <v>100185</v>
      </c>
      <c r="D450" s="379" t="inlineStr">
        <is>
          <t>HCC IN</t>
        </is>
      </c>
      <c r="E450" s="379" t="inlineStr">
        <is>
          <t>INE549A01026</t>
        </is>
      </c>
    </row>
    <row r="451">
      <c r="A451" s="379" t="inlineStr">
        <is>
          <t>Hindustan Copper Ltd</t>
        </is>
      </c>
      <c r="B451" s="379" t="inlineStr">
        <is>
          <t>HINDCOPPER</t>
        </is>
      </c>
      <c r="C451" s="380" t="n">
        <v>113599</v>
      </c>
      <c r="D451" s="379" t="inlineStr">
        <is>
          <t>HCP IN</t>
        </is>
      </c>
      <c r="E451" s="379" t="inlineStr">
        <is>
          <t>INE531E01026</t>
        </is>
      </c>
    </row>
    <row r="452">
      <c r="A452" s="379" t="inlineStr">
        <is>
          <t>Hindustan Foods Ltd</t>
        </is>
      </c>
      <c r="B452" s="379" t="inlineStr">
        <is>
          <t>HNDFDS</t>
        </is>
      </c>
      <c r="C452" s="380" t="n">
        <v>119126</v>
      </c>
      <c r="D452" s="379" t="inlineStr">
        <is>
          <t>HFD IN</t>
        </is>
      </c>
      <c r="E452" s="379" t="inlineStr">
        <is>
          <t>INE254N01018</t>
        </is>
      </c>
    </row>
    <row r="453">
      <c r="A453" s="379" t="inlineStr">
        <is>
          <t>Hindustan Media Ventures Ltd</t>
        </is>
      </c>
      <c r="B453" s="379" t="inlineStr">
        <is>
          <t>HMVL</t>
        </is>
      </c>
      <c r="C453" s="380" t="n">
        <v>220559</v>
      </c>
      <c r="D453" s="379" t="inlineStr">
        <is>
          <t>HMVL IN</t>
        </is>
      </c>
      <c r="E453" s="379" t="inlineStr">
        <is>
          <t>INE871K01015</t>
        </is>
      </c>
    </row>
    <row r="454">
      <c r="A454" s="379" t="inlineStr">
        <is>
          <t>Hindustan Oil Exploration Company Ltd</t>
        </is>
      </c>
      <c r="B454" s="379" t="inlineStr">
        <is>
          <t>HINDOILEXP</t>
        </is>
      </c>
      <c r="C454" s="380" t="n">
        <v>100186</v>
      </c>
      <c r="D454" s="379" t="inlineStr">
        <is>
          <t>HOE IN</t>
        </is>
      </c>
      <c r="E454" s="379" t="inlineStr">
        <is>
          <t>INE345A01011</t>
        </is>
      </c>
    </row>
    <row r="455">
      <c r="A455" s="379" t="inlineStr">
        <is>
          <t>Hindustan Petroleum Corporation Ltd</t>
        </is>
      </c>
      <c r="B455" s="379" t="inlineStr">
        <is>
          <t>HINDPETRO</t>
        </is>
      </c>
      <c r="C455" s="380" t="n">
        <v>100104</v>
      </c>
      <c r="D455" s="379" t="inlineStr">
        <is>
          <t>HPCL IN</t>
        </is>
      </c>
      <c r="E455" s="379" t="inlineStr">
        <is>
          <t>INE094A01015</t>
        </is>
      </c>
    </row>
    <row r="456">
      <c r="A456" s="379" t="inlineStr">
        <is>
          <t>Hindustan Unilever Ltd</t>
        </is>
      </c>
      <c r="B456" s="379" t="inlineStr">
        <is>
          <t>HINDUNILVR</t>
        </is>
      </c>
      <c r="C456" s="380" t="n">
        <v>100696</v>
      </c>
      <c r="D456" s="379" t="inlineStr">
        <is>
          <t>HUVR IN</t>
        </is>
      </c>
      <c r="E456" s="379" t="inlineStr">
        <is>
          <t>INE030A01027</t>
        </is>
      </c>
    </row>
    <row r="457">
      <c r="A457" s="379" t="inlineStr">
        <is>
          <t>Hindustan Zinc Ltd</t>
        </is>
      </c>
      <c r="B457" s="379" t="inlineStr">
        <is>
          <t>HINDZINC</t>
        </is>
      </c>
      <c r="C457" s="380" t="n">
        <v>100188</v>
      </c>
      <c r="D457" s="379" t="inlineStr">
        <is>
          <t>HZ IN</t>
        </is>
      </c>
      <c r="E457" s="379" t="inlineStr">
        <is>
          <t>INE267A01025</t>
        </is>
      </c>
    </row>
    <row r="458">
      <c r="A458" s="379" t="inlineStr">
        <is>
          <t>Hindusthan Urban Infrastructure Ltd</t>
        </is>
      </c>
      <c r="B458" s="379" t="n"/>
      <c r="C458" s="380" t="n">
        <v>208341</v>
      </c>
      <c r="D458" s="379" t="inlineStr">
        <is>
          <t>HUIL IN</t>
        </is>
      </c>
      <c r="E458" s="379" t="inlineStr">
        <is>
          <t>INE799B01017</t>
        </is>
      </c>
    </row>
    <row r="459">
      <c r="A459" s="379" t="inlineStr">
        <is>
          <t>Hitachi Energy India Ltd</t>
        </is>
      </c>
      <c r="B459" s="379" t="inlineStr">
        <is>
          <t>POWERINDIA</t>
        </is>
      </c>
      <c r="C459" s="380" t="n">
        <v>296765</v>
      </c>
      <c r="D459" s="379" t="inlineStr">
        <is>
          <t>POWERIND IN</t>
        </is>
      </c>
      <c r="E459" s="379" t="inlineStr">
        <is>
          <t>INE07Y701011</t>
        </is>
      </c>
    </row>
    <row r="460">
      <c r="A460" s="379" t="inlineStr">
        <is>
          <t>Hitech Corporation Ltd</t>
        </is>
      </c>
      <c r="B460" s="379" t="inlineStr">
        <is>
          <t>HITECHCORP</t>
        </is>
      </c>
      <c r="C460" s="380" t="n">
        <v>126217</v>
      </c>
      <c r="D460" s="379" t="inlineStr">
        <is>
          <t>HTCORP IN</t>
        </is>
      </c>
      <c r="E460" s="379" t="inlineStr">
        <is>
          <t>INE120D01012</t>
        </is>
      </c>
    </row>
    <row r="461">
      <c r="A461" s="379" t="inlineStr">
        <is>
          <t>Hi-Tech Pipes Ltd</t>
        </is>
      </c>
      <c r="B461" s="379" t="inlineStr">
        <is>
          <t>HITECH</t>
        </is>
      </c>
      <c r="C461" s="380" t="n">
        <v>208345</v>
      </c>
      <c r="D461" s="379" t="inlineStr">
        <is>
          <t>HITECH IN</t>
        </is>
      </c>
      <c r="E461" s="379" t="inlineStr">
        <is>
          <t>INE106T01017</t>
        </is>
      </c>
    </row>
    <row r="462">
      <c r="A462" s="379" t="inlineStr">
        <is>
          <t>HLE Glascoat Ltd</t>
        </is>
      </c>
      <c r="B462" s="379" t="inlineStr">
        <is>
          <t>HLEGLAS</t>
        </is>
      </c>
      <c r="C462" s="380" t="n">
        <v>122215</v>
      </c>
      <c r="D462" s="379" t="inlineStr">
        <is>
          <t>HLEGLAS IN</t>
        </is>
      </c>
      <c r="E462" s="379" t="inlineStr">
        <is>
          <t>INE461D01010</t>
        </is>
      </c>
    </row>
    <row r="463">
      <c r="A463" s="379" t="inlineStr">
        <is>
          <t>HLV Ltd</t>
        </is>
      </c>
      <c r="B463" s="379" t="inlineStr">
        <is>
          <t>HLVLTD</t>
        </is>
      </c>
      <c r="C463" s="380" t="n">
        <v>100193</v>
      </c>
      <c r="D463" s="379" t="inlineStr">
        <is>
          <t>LELA IN</t>
        </is>
      </c>
      <c r="E463" s="379" t="inlineStr">
        <is>
          <t>INE102A01024</t>
        </is>
      </c>
    </row>
    <row r="464">
      <c r="A464" s="379" t="inlineStr">
        <is>
          <t>HMT Ltd</t>
        </is>
      </c>
      <c r="B464" s="379" t="inlineStr">
        <is>
          <t>HMT</t>
        </is>
      </c>
      <c r="C464" s="380" t="n">
        <v>100191</v>
      </c>
      <c r="D464" s="379" t="inlineStr">
        <is>
          <t>HMT IN</t>
        </is>
      </c>
      <c r="E464" s="379" t="inlineStr">
        <is>
          <t>INE262A01018</t>
        </is>
      </c>
    </row>
    <row r="465">
      <c r="A465" s="379" t="inlineStr">
        <is>
          <t>Home First Finance Company India Ltd</t>
        </is>
      </c>
      <c r="B465" s="379" t="inlineStr">
        <is>
          <t>HOMEFIRST</t>
        </is>
      </c>
      <c r="C465" s="380" t="n">
        <v>235955</v>
      </c>
      <c r="D465" s="379" t="inlineStr">
        <is>
          <t>HOMEFIRS IN</t>
        </is>
      </c>
      <c r="E465" s="379" t="inlineStr">
        <is>
          <t>INE481N01025</t>
        </is>
      </c>
    </row>
    <row r="466">
      <c r="A466" s="379" t="inlineStr">
        <is>
          <t>Honda India Power Products Ltd</t>
        </is>
      </c>
      <c r="B466" s="379" t="inlineStr">
        <is>
          <t>HONDAPOWER</t>
        </is>
      </c>
      <c r="C466" s="380" t="n">
        <v>122064</v>
      </c>
      <c r="D466" s="379" t="inlineStr">
        <is>
          <t>HONDAPWR IN</t>
        </is>
      </c>
      <c r="E466" s="379" t="inlineStr">
        <is>
          <t>INE634A01018</t>
        </is>
      </c>
    </row>
    <row r="467">
      <c r="A467" s="379" t="inlineStr">
        <is>
          <t>Honeywell Automation India Ltd</t>
        </is>
      </c>
      <c r="B467" s="379" t="inlineStr">
        <is>
          <t>HONAUT</t>
        </is>
      </c>
      <c r="C467" s="380" t="n">
        <v>117174</v>
      </c>
      <c r="D467" s="379" t="inlineStr">
        <is>
          <t>HWA IN</t>
        </is>
      </c>
      <c r="E467" s="379" t="inlineStr">
        <is>
          <t>INE671A01010</t>
        </is>
      </c>
    </row>
    <row r="468">
      <c r="A468" s="379" t="inlineStr">
        <is>
          <t>Housing &amp; Urban Development Corporation Ltd</t>
        </is>
      </c>
      <c r="B468" s="379" t="inlineStr">
        <is>
          <t>HUDCO</t>
        </is>
      </c>
      <c r="C468" s="380" t="n">
        <v>213327</v>
      </c>
      <c r="D468" s="379" t="inlineStr">
        <is>
          <t>HUDCO IN</t>
        </is>
      </c>
      <c r="E468" s="379" t="inlineStr">
        <is>
          <t>INE031A01017</t>
        </is>
      </c>
    </row>
    <row r="469">
      <c r="A469" s="379" t="inlineStr">
        <is>
          <t>Housing Development Finance Corporation Ltd</t>
        </is>
      </c>
      <c r="B469" s="379" t="inlineStr">
        <is>
          <t>HDFC</t>
        </is>
      </c>
      <c r="C469" s="380" t="n">
        <v>100010</v>
      </c>
      <c r="D469" s="379" t="inlineStr">
        <is>
          <t>HDFC IN</t>
        </is>
      </c>
      <c r="E469" s="379" t="inlineStr">
        <is>
          <t>INE001A01036</t>
        </is>
      </c>
    </row>
    <row r="470">
      <c r="A470" s="379" t="inlineStr">
        <is>
          <t>HP Adhesives Ltd</t>
        </is>
      </c>
      <c r="B470" s="379" t="inlineStr">
        <is>
          <t>HPAL</t>
        </is>
      </c>
      <c r="C470" s="380" t="n">
        <v>302830</v>
      </c>
      <c r="D470" s="379" t="inlineStr">
        <is>
          <t>HPAL IN</t>
        </is>
      </c>
      <c r="E470" s="379" t="inlineStr">
        <is>
          <t>INE0GSL01016</t>
        </is>
      </c>
    </row>
    <row r="471">
      <c r="A471" s="379" t="inlineStr">
        <is>
          <t>HSIL Ltd</t>
        </is>
      </c>
      <c r="B471" s="379" t="inlineStr">
        <is>
          <t>HSIL</t>
        </is>
      </c>
      <c r="C471" s="380" t="n">
        <v>100187</v>
      </c>
      <c r="D471" s="379" t="inlineStr">
        <is>
          <t>HSI IN</t>
        </is>
      </c>
      <c r="E471" s="379" t="inlineStr">
        <is>
          <t>INE415A01038</t>
        </is>
      </c>
    </row>
    <row r="472">
      <c r="A472" s="379" t="inlineStr">
        <is>
          <t>HT Media Ltd</t>
        </is>
      </c>
      <c r="B472" s="379" t="inlineStr">
        <is>
          <t>HTMEDIA</t>
        </is>
      </c>
      <c r="C472" s="380" t="n">
        <v>132662</v>
      </c>
      <c r="D472" s="379" t="inlineStr">
        <is>
          <t>HTML IN</t>
        </is>
      </c>
      <c r="E472" s="379" t="inlineStr">
        <is>
          <t>INE501G01024</t>
        </is>
      </c>
    </row>
    <row r="473">
      <c r="A473" s="379" t="inlineStr">
        <is>
          <t>Huhtamaki India Ltd</t>
        </is>
      </c>
      <c r="B473" s="379" t="inlineStr">
        <is>
          <t>HUHTAMAKI</t>
        </is>
      </c>
      <c r="C473" s="380" t="n">
        <v>109820</v>
      </c>
      <c r="D473" s="379" t="inlineStr">
        <is>
          <t>HUIN IN</t>
        </is>
      </c>
      <c r="E473" s="379" t="inlineStr">
        <is>
          <t>INE275B01026</t>
        </is>
      </c>
    </row>
    <row r="474">
      <c r="A474" s="379" t="inlineStr">
        <is>
          <t>ICICI Bank Ltd</t>
        </is>
      </c>
      <c r="B474" s="379" t="inlineStr">
        <is>
          <t>ICICIBANK</t>
        </is>
      </c>
      <c r="C474" s="380" t="n">
        <v>132174</v>
      </c>
      <c r="D474" s="379" t="inlineStr">
        <is>
          <t>ICICIBC IN</t>
        </is>
      </c>
      <c r="E474" s="379" t="inlineStr">
        <is>
          <t>INE090A01021</t>
        </is>
      </c>
    </row>
    <row r="475">
      <c r="A475" s="379" t="inlineStr">
        <is>
          <t>ICICI Lombard General Insurance Company Ltd</t>
        </is>
      </c>
      <c r="B475" s="379" t="inlineStr">
        <is>
          <t>ICICIGI</t>
        </is>
      </c>
      <c r="C475" s="380" t="n">
        <v>217379</v>
      </c>
      <c r="D475" s="379" t="inlineStr">
        <is>
          <t>ICICIGI IN</t>
        </is>
      </c>
      <c r="E475" s="379" t="inlineStr">
        <is>
          <t>INE765G01017</t>
        </is>
      </c>
    </row>
    <row r="476">
      <c r="A476" s="379" t="inlineStr">
        <is>
          <t>ICICI Prudential Life Insurance Company Ltd</t>
        </is>
      </c>
      <c r="B476" s="379" t="inlineStr">
        <is>
          <t>ICICIPRULI</t>
        </is>
      </c>
      <c r="C476" s="380" t="n">
        <v>210258</v>
      </c>
      <c r="D476" s="379" t="inlineStr">
        <is>
          <t>IPRU IN</t>
        </is>
      </c>
      <c r="E476" s="379" t="inlineStr">
        <is>
          <t>INE726G01019</t>
        </is>
      </c>
    </row>
    <row r="477">
      <c r="A477" s="379" t="inlineStr">
        <is>
          <t>ICICI Securities Ltd</t>
        </is>
      </c>
      <c r="B477" s="379" t="inlineStr">
        <is>
          <t>ISEC</t>
        </is>
      </c>
      <c r="C477" s="380" t="n">
        <v>208365</v>
      </c>
      <c r="D477" s="379" t="inlineStr">
        <is>
          <t>ISEC IN</t>
        </is>
      </c>
      <c r="E477" s="379" t="inlineStr">
        <is>
          <t>INE763G01038</t>
        </is>
      </c>
    </row>
    <row r="478">
      <c r="A478" s="379" t="inlineStr">
        <is>
          <t>ICRA Ltd</t>
        </is>
      </c>
      <c r="B478" s="379" t="inlineStr">
        <is>
          <t>ICRA</t>
        </is>
      </c>
      <c r="C478" s="380" t="n">
        <v>132835</v>
      </c>
      <c r="D478" s="379" t="inlineStr">
        <is>
          <t>ICRA IN</t>
        </is>
      </c>
      <c r="E478" s="379" t="inlineStr">
        <is>
          <t>INE725G01011</t>
        </is>
      </c>
    </row>
    <row r="479">
      <c r="A479" s="379" t="inlineStr">
        <is>
          <t>IDBI Bank Ltd</t>
        </is>
      </c>
      <c r="B479" s="379" t="inlineStr">
        <is>
          <t>IDBI</t>
        </is>
      </c>
      <c r="C479" s="380" t="n">
        <v>100116</v>
      </c>
      <c r="D479" s="379" t="inlineStr">
        <is>
          <t>IDBI IN</t>
        </is>
      </c>
      <c r="E479" s="379" t="inlineStr">
        <is>
          <t>INE008A01015</t>
        </is>
      </c>
    </row>
    <row r="480">
      <c r="A480" s="379" t="inlineStr">
        <is>
          <t>IDFC First Bank Ltd</t>
        </is>
      </c>
      <c r="B480" s="379" t="inlineStr">
        <is>
          <t>IDFCFIRSTB</t>
        </is>
      </c>
      <c r="C480" s="380" t="n">
        <v>278580</v>
      </c>
      <c r="D480" s="379" t="inlineStr">
        <is>
          <t>IDFCFB IN</t>
        </is>
      </c>
      <c r="E480" s="379" t="inlineStr">
        <is>
          <t>INE092T01019</t>
        </is>
      </c>
    </row>
    <row r="481">
      <c r="A481" s="379" t="inlineStr">
        <is>
          <t>IDFC Ltd</t>
        </is>
      </c>
      <c r="B481" s="379" t="inlineStr">
        <is>
          <t>IDFC</t>
        </is>
      </c>
      <c r="C481" s="380" t="n">
        <v>132659</v>
      </c>
      <c r="D481" s="379" t="inlineStr">
        <is>
          <t>IDFC IN</t>
        </is>
      </c>
      <c r="E481" s="379" t="inlineStr">
        <is>
          <t>INE043D01016</t>
        </is>
      </c>
    </row>
    <row r="482">
      <c r="A482" s="379" t="inlineStr">
        <is>
          <t>IFB Agro Industries Ltd</t>
        </is>
      </c>
      <c r="B482" s="379" t="inlineStr">
        <is>
          <t>IFBAGRO</t>
        </is>
      </c>
      <c r="C482" s="380" t="n">
        <v>107438</v>
      </c>
      <c r="D482" s="379" t="inlineStr">
        <is>
          <t>IFBA IN</t>
        </is>
      </c>
      <c r="E482" s="379" t="inlineStr">
        <is>
          <t>INE076C01018</t>
        </is>
      </c>
    </row>
    <row r="483">
      <c r="A483" s="379" t="inlineStr">
        <is>
          <t>IFB Industries Ltd</t>
        </is>
      </c>
      <c r="B483" s="379" t="inlineStr">
        <is>
          <t>IFBIND</t>
        </is>
      </c>
      <c r="C483" s="380" t="n">
        <v>105726</v>
      </c>
      <c r="D483" s="379" t="inlineStr">
        <is>
          <t>IFBI IN</t>
        </is>
      </c>
      <c r="E483" s="379" t="inlineStr">
        <is>
          <t>INE559A01017</t>
        </is>
      </c>
    </row>
    <row r="484">
      <c r="A484" s="379" t="inlineStr">
        <is>
          <t>IFCI Ltd</t>
        </is>
      </c>
      <c r="B484" s="379" t="inlineStr">
        <is>
          <t>IFCI</t>
        </is>
      </c>
      <c r="C484" s="380" t="n">
        <v>100106</v>
      </c>
      <c r="D484" s="379" t="inlineStr">
        <is>
          <t>IFCI IN</t>
        </is>
      </c>
      <c r="E484" s="379" t="inlineStr">
        <is>
          <t>INE039A01010</t>
        </is>
      </c>
    </row>
    <row r="485">
      <c r="A485" s="379" t="inlineStr">
        <is>
          <t>IFGL Refractories Ltd</t>
        </is>
      </c>
      <c r="B485" s="379" t="inlineStr">
        <is>
          <t>IFGLEXPOR</t>
        </is>
      </c>
      <c r="C485" s="380" t="n">
        <v>243998</v>
      </c>
      <c r="D485" s="379" t="inlineStr">
        <is>
          <t>IFGLRF IN</t>
        </is>
      </c>
      <c r="E485" s="379" t="inlineStr">
        <is>
          <t>INE133Y01011</t>
        </is>
      </c>
    </row>
    <row r="486">
      <c r="A486" s="379" t="inlineStr">
        <is>
          <t>IG Petrochemicals Ltd</t>
        </is>
      </c>
      <c r="B486" s="379" t="inlineStr">
        <is>
          <t>IGPL</t>
        </is>
      </c>
      <c r="C486" s="380" t="n">
        <v>100199</v>
      </c>
      <c r="D486" s="379" t="inlineStr">
        <is>
          <t>IGPL IN</t>
        </is>
      </c>
      <c r="E486" s="379" t="inlineStr">
        <is>
          <t>INE204A01010</t>
        </is>
      </c>
    </row>
    <row r="487">
      <c r="A487" s="379" t="inlineStr">
        <is>
          <t>Igarashi Motors India Ltd</t>
        </is>
      </c>
      <c r="B487" s="379" t="inlineStr">
        <is>
          <t>IGARASHI</t>
        </is>
      </c>
      <c r="C487" s="380" t="n">
        <v>117380</v>
      </c>
      <c r="D487" s="379" t="inlineStr">
        <is>
          <t>IGM IN</t>
        </is>
      </c>
      <c r="E487" s="379" t="inlineStr">
        <is>
          <t>INE188B01013</t>
        </is>
      </c>
    </row>
    <row r="488">
      <c r="A488" s="379" t="inlineStr">
        <is>
          <t>IIFL Finance Ltd</t>
        </is>
      </c>
      <c r="B488" s="379" t="inlineStr">
        <is>
          <t>IIFL</t>
        </is>
      </c>
      <c r="C488" s="380" t="n">
        <v>132636</v>
      </c>
      <c r="D488" s="379" t="inlineStr">
        <is>
          <t>IIFL IN</t>
        </is>
      </c>
      <c r="E488" s="379" t="inlineStr">
        <is>
          <t>INE530B01024</t>
        </is>
      </c>
    </row>
    <row r="489">
      <c r="A489" s="379" t="inlineStr">
        <is>
          <t>IIFL Securities Ltd</t>
        </is>
      </c>
      <c r="B489" s="379" t="inlineStr">
        <is>
          <t>IIFLSEC</t>
        </is>
      </c>
      <c r="C489" s="380" t="n">
        <v>244005</v>
      </c>
      <c r="D489" s="379" t="inlineStr">
        <is>
          <t>IIFLSEC IN</t>
        </is>
      </c>
      <c r="E489" s="379" t="inlineStr">
        <is>
          <t>INE489L01022</t>
        </is>
      </c>
    </row>
    <row r="490">
      <c r="A490" s="379" t="inlineStr">
        <is>
          <t>IIFL Wealth Management Ltd</t>
        </is>
      </c>
      <c r="B490" s="379" t="inlineStr">
        <is>
          <t>IIFLWAM</t>
        </is>
      </c>
      <c r="C490" s="380" t="n">
        <v>228974</v>
      </c>
      <c r="D490" s="379" t="inlineStr">
        <is>
          <t>IIFLWAM IN</t>
        </is>
      </c>
      <c r="E490" s="379" t="inlineStr">
        <is>
          <t>INE466L01020</t>
        </is>
      </c>
    </row>
    <row r="491">
      <c r="A491" s="379" t="inlineStr">
        <is>
          <t>India Glycols Ltd</t>
        </is>
      </c>
      <c r="B491" s="379" t="inlineStr">
        <is>
          <t>INDIAGLYCO</t>
        </is>
      </c>
      <c r="C491" s="380" t="n">
        <v>100201</v>
      </c>
      <c r="D491" s="379" t="inlineStr">
        <is>
          <t>IGLY IN</t>
        </is>
      </c>
      <c r="E491" s="379" t="inlineStr">
        <is>
          <t>INE560A01015</t>
        </is>
      </c>
    </row>
    <row r="492">
      <c r="A492" s="379" t="inlineStr">
        <is>
          <t>India Motor Parts &amp; Accessories Ltd</t>
        </is>
      </c>
      <c r="B492" s="379" t="inlineStr">
        <is>
          <t>IMPAL</t>
        </is>
      </c>
      <c r="C492" s="380" t="n">
        <v>190065</v>
      </c>
      <c r="D492" s="379" t="inlineStr">
        <is>
          <t>IMPL IN</t>
        </is>
      </c>
      <c r="E492" s="379" t="inlineStr">
        <is>
          <t>INE547E01014</t>
        </is>
      </c>
    </row>
    <row r="493">
      <c r="A493" s="379" t="inlineStr">
        <is>
          <t>India Nippon Electricals Ltd</t>
        </is>
      </c>
      <c r="B493" s="379" t="inlineStr">
        <is>
          <t>INDNIPPON</t>
        </is>
      </c>
      <c r="C493" s="380" t="n">
        <v>132240</v>
      </c>
      <c r="D493" s="379" t="inlineStr">
        <is>
          <t>INE IN</t>
        </is>
      </c>
      <c r="E493" s="379" t="inlineStr">
        <is>
          <t>INE092B01025</t>
        </is>
      </c>
    </row>
    <row r="494">
      <c r="A494" s="379" t="inlineStr">
        <is>
          <t>India Pesticides Ltd</t>
        </is>
      </c>
      <c r="B494" s="379" t="inlineStr">
        <is>
          <t>IPL</t>
        </is>
      </c>
      <c r="C494" s="380" t="n">
        <v>301327</v>
      </c>
      <c r="D494" s="379" t="inlineStr">
        <is>
          <t>IPL IN</t>
        </is>
      </c>
      <c r="E494" s="379" t="inlineStr">
        <is>
          <t>INE0D6701023</t>
        </is>
      </c>
    </row>
    <row r="495">
      <c r="A495" s="379" t="inlineStr">
        <is>
          <t>India Power Corporation Ltd</t>
        </is>
      </c>
      <c r="B495" s="379" t="inlineStr">
        <is>
          <t>DPSCLTD</t>
        </is>
      </c>
      <c r="C495" s="380" t="n">
        <v>200503</v>
      </c>
      <c r="D495" s="379" t="inlineStr">
        <is>
          <t>DPSC IN</t>
        </is>
      </c>
      <c r="E495" s="379" t="inlineStr">
        <is>
          <t>INE360C01024</t>
        </is>
      </c>
    </row>
    <row r="496">
      <c r="A496" s="379" t="inlineStr">
        <is>
          <t>India Tourism Development Corporation Ltd</t>
        </is>
      </c>
      <c r="B496" s="379" t="inlineStr">
        <is>
          <t>ITDC</t>
        </is>
      </c>
      <c r="C496" s="380" t="n">
        <v>132189</v>
      </c>
      <c r="D496" s="379" t="inlineStr">
        <is>
          <t>ITDC IN</t>
        </is>
      </c>
      <c r="E496" s="379" t="inlineStr">
        <is>
          <t>INE353K01014</t>
        </is>
      </c>
    </row>
    <row r="497">
      <c r="A497" s="379" t="inlineStr">
        <is>
          <t>Indiabulls Housing Finance Ltd</t>
        </is>
      </c>
      <c r="B497" s="379" t="inlineStr">
        <is>
          <t>IBULHSGFIN</t>
        </is>
      </c>
      <c r="C497" s="380" t="n">
        <v>220741</v>
      </c>
      <c r="D497" s="379" t="inlineStr">
        <is>
          <t>IHFL IN</t>
        </is>
      </c>
      <c r="E497" s="379" t="inlineStr">
        <is>
          <t>INE148I01020</t>
        </is>
      </c>
    </row>
    <row r="498">
      <c r="A498" s="379" t="inlineStr">
        <is>
          <t>Indiabulls Real Estate Ltd</t>
        </is>
      </c>
      <c r="B498" s="379" t="inlineStr">
        <is>
          <t>IBREALEST</t>
        </is>
      </c>
      <c r="C498" s="380" t="n">
        <v>132832</v>
      </c>
      <c r="D498" s="379" t="inlineStr">
        <is>
          <t>IBREL IN</t>
        </is>
      </c>
      <c r="E498" s="379" t="inlineStr">
        <is>
          <t>INE069I01010</t>
        </is>
      </c>
    </row>
    <row r="499">
      <c r="A499" s="379" t="inlineStr">
        <is>
          <t>Indiamart Intermesh Ltd</t>
        </is>
      </c>
      <c r="B499" s="379" t="inlineStr">
        <is>
          <t>INDIAMART</t>
        </is>
      </c>
      <c r="C499" s="380" t="n">
        <v>290269</v>
      </c>
      <c r="D499" s="379" t="inlineStr">
        <is>
          <t>INMART IN</t>
        </is>
      </c>
      <c r="E499" s="379" t="inlineStr">
        <is>
          <t>INE933S01016</t>
        </is>
      </c>
    </row>
    <row r="500">
      <c r="A500" s="379" t="inlineStr">
        <is>
          <t>Indian Bank</t>
        </is>
      </c>
      <c r="B500" s="379" t="inlineStr">
        <is>
          <t>INDIANB</t>
        </is>
      </c>
      <c r="C500" s="380" t="n">
        <v>132814</v>
      </c>
      <c r="D500" s="379" t="inlineStr">
        <is>
          <t>INBK IN</t>
        </is>
      </c>
      <c r="E500" s="379" t="inlineStr">
        <is>
          <t>INE562A01011</t>
        </is>
      </c>
    </row>
    <row r="501">
      <c r="A501" s="379" t="inlineStr">
        <is>
          <t>Indian Energy Exchange Ltd</t>
        </is>
      </c>
      <c r="B501" s="379" t="inlineStr">
        <is>
          <t>IEX</t>
        </is>
      </c>
      <c r="C501" s="380" t="n">
        <v>224623</v>
      </c>
      <c r="D501" s="379" t="inlineStr">
        <is>
          <t>IEX IN</t>
        </is>
      </c>
      <c r="E501" s="379" t="inlineStr">
        <is>
          <t>INE022Q01020</t>
        </is>
      </c>
    </row>
    <row r="502">
      <c r="A502" s="379" t="inlineStr">
        <is>
          <t>Indian Hume Pipe Company Ltd</t>
        </is>
      </c>
      <c r="B502" s="379" t="inlineStr">
        <is>
          <t>INDIANHUME</t>
        </is>
      </c>
      <c r="C502" s="380" t="n">
        <v>104741</v>
      </c>
      <c r="D502" s="379" t="inlineStr">
        <is>
          <t>INHP IN</t>
        </is>
      </c>
      <c r="E502" s="379" t="inlineStr">
        <is>
          <t>INE323C01030</t>
        </is>
      </c>
    </row>
    <row r="503">
      <c r="A503" s="379" t="inlineStr">
        <is>
          <t>Indian Infotech &amp; Software Ltd</t>
        </is>
      </c>
      <c r="B503" s="379" t="n"/>
      <c r="C503" s="380" t="n">
        <v>109051</v>
      </c>
      <c r="D503" s="379" t="inlineStr">
        <is>
          <t>INL IN</t>
        </is>
      </c>
      <c r="E503" s="379" t="inlineStr">
        <is>
          <t>INE300B01022</t>
        </is>
      </c>
    </row>
    <row r="504">
      <c r="A504" s="379" t="inlineStr">
        <is>
          <t>Indian Metals &amp; Ferro Alloys Ltd</t>
        </is>
      </c>
      <c r="B504" s="379" t="inlineStr">
        <is>
          <t>IMFA</t>
        </is>
      </c>
      <c r="C504" s="380" t="n">
        <v>217582</v>
      </c>
      <c r="D504" s="379" t="inlineStr">
        <is>
          <t>IMFA IN</t>
        </is>
      </c>
      <c r="E504" s="379" t="inlineStr">
        <is>
          <t>INE919H01018</t>
        </is>
      </c>
    </row>
    <row r="505">
      <c r="A505" s="379" t="inlineStr">
        <is>
          <t>Indian Oil Corporation Ltd</t>
        </is>
      </c>
      <c r="B505" s="379" t="inlineStr">
        <is>
          <t>IOC</t>
        </is>
      </c>
      <c r="C505" s="380" t="n">
        <v>130965</v>
      </c>
      <c r="D505" s="379" t="inlineStr">
        <is>
          <t>IOCL IN</t>
        </is>
      </c>
      <c r="E505" s="379" t="inlineStr">
        <is>
          <t>INE242A01010</t>
        </is>
      </c>
    </row>
    <row r="506">
      <c r="A506" s="379" t="inlineStr">
        <is>
          <t>Indian Overseas Bank</t>
        </is>
      </c>
      <c r="B506" s="379" t="inlineStr">
        <is>
          <t>IOB</t>
        </is>
      </c>
      <c r="C506" s="380" t="n">
        <v>132388</v>
      </c>
      <c r="D506" s="379" t="inlineStr">
        <is>
          <t>IOB IN</t>
        </is>
      </c>
      <c r="E506" s="379" t="inlineStr">
        <is>
          <t>INE565A01014</t>
        </is>
      </c>
    </row>
    <row r="507">
      <c r="A507" s="379" t="inlineStr">
        <is>
          <t>Indian Railway Catering And Tourism Corporation Ltd</t>
        </is>
      </c>
      <c r="B507" s="379" t="inlineStr">
        <is>
          <t>IRCTC</t>
        </is>
      </c>
      <c r="C507" s="380" t="n">
        <v>208412</v>
      </c>
      <c r="D507" s="379" t="inlineStr">
        <is>
          <t>IRCTC IN</t>
        </is>
      </c>
      <c r="E507" s="379" t="inlineStr">
        <is>
          <t>INE335Y01020</t>
        </is>
      </c>
    </row>
    <row r="508">
      <c r="A508" s="379" t="inlineStr">
        <is>
          <t>Indian Railway Finance Corporation Ltd</t>
        </is>
      </c>
      <c r="B508" s="379" t="inlineStr">
        <is>
          <t>IRFC</t>
        </is>
      </c>
      <c r="C508" s="380" t="n">
        <v>217280</v>
      </c>
      <c r="D508" s="379" t="inlineStr">
        <is>
          <t>IRFC IN</t>
        </is>
      </c>
      <c r="E508" s="379" t="inlineStr">
        <is>
          <t>INE053F01010</t>
        </is>
      </c>
    </row>
    <row r="509">
      <c r="A509" s="379" t="inlineStr">
        <is>
          <t>Indigo Paints Ltd</t>
        </is>
      </c>
      <c r="B509" s="379" t="inlineStr">
        <is>
          <t>INDIGOPNTS</t>
        </is>
      </c>
      <c r="C509" s="380" t="n">
        <v>296050</v>
      </c>
      <c r="D509" s="379" t="inlineStr">
        <is>
          <t>INDIGOPN IN</t>
        </is>
      </c>
      <c r="E509" s="379" t="inlineStr">
        <is>
          <t>INE09VQ01012</t>
        </is>
      </c>
    </row>
    <row r="510">
      <c r="A510" s="379" t="inlineStr">
        <is>
          <t>Indo Amines Ltd</t>
        </is>
      </c>
      <c r="B510" s="379" t="n"/>
      <c r="C510" s="380" t="n">
        <v>124648</v>
      </c>
      <c r="D510" s="379" t="inlineStr">
        <is>
          <t>INAM IN</t>
        </is>
      </c>
      <c r="E510" s="379" t="inlineStr">
        <is>
          <t>INE760F01010</t>
        </is>
      </c>
    </row>
    <row r="511">
      <c r="A511" s="379" t="inlineStr">
        <is>
          <t>Indo Count Industries Ltd</t>
        </is>
      </c>
      <c r="B511" s="379" t="inlineStr">
        <is>
          <t>ICIL</t>
        </is>
      </c>
      <c r="C511" s="380" t="n">
        <v>121016</v>
      </c>
      <c r="D511" s="379" t="inlineStr">
        <is>
          <t>ICNT IN</t>
        </is>
      </c>
      <c r="E511" s="379" t="inlineStr">
        <is>
          <t>INE483B01026</t>
        </is>
      </c>
    </row>
    <row r="512">
      <c r="A512" s="379" t="inlineStr">
        <is>
          <t>Indo Rama Synthetics (India) Ltd</t>
        </is>
      </c>
      <c r="B512" s="379" t="inlineStr">
        <is>
          <t>INDORAMA</t>
        </is>
      </c>
      <c r="C512" s="380" t="n">
        <v>100207</v>
      </c>
      <c r="D512" s="379" t="inlineStr">
        <is>
          <t>IRS IN</t>
        </is>
      </c>
      <c r="E512" s="379" t="inlineStr">
        <is>
          <t>INE156A01020</t>
        </is>
      </c>
    </row>
    <row r="513">
      <c r="A513" s="379" t="inlineStr">
        <is>
          <t>Indoco Remedies Ltd</t>
        </is>
      </c>
      <c r="B513" s="379" t="inlineStr">
        <is>
          <t>INDOCO</t>
        </is>
      </c>
      <c r="C513" s="380" t="n">
        <v>132612</v>
      </c>
      <c r="D513" s="379" t="inlineStr">
        <is>
          <t>INDR IN</t>
        </is>
      </c>
      <c r="E513" s="379" t="inlineStr">
        <is>
          <t>INE873D01024</t>
        </is>
      </c>
    </row>
    <row r="514">
      <c r="A514" s="379" t="inlineStr">
        <is>
          <t>Indostar Capital Finance Ltd</t>
        </is>
      </c>
      <c r="B514" s="379" t="inlineStr">
        <is>
          <t>INDOSTAR</t>
        </is>
      </c>
      <c r="C514" s="380" t="n">
        <v>233932</v>
      </c>
      <c r="D514" s="379" t="inlineStr">
        <is>
          <t>INDOSTAR IN</t>
        </is>
      </c>
      <c r="E514" s="379" t="inlineStr">
        <is>
          <t>INE896L01010</t>
        </is>
      </c>
    </row>
    <row r="515">
      <c r="A515" s="379" t="inlineStr">
        <is>
          <t>Indraprastha Gas Ltd</t>
        </is>
      </c>
      <c r="B515" s="379" t="inlineStr">
        <is>
          <t>IGL</t>
        </is>
      </c>
      <c r="C515" s="380" t="n">
        <v>132514</v>
      </c>
      <c r="D515" s="379" t="inlineStr">
        <is>
          <t>IGL IN</t>
        </is>
      </c>
      <c r="E515" s="379" t="inlineStr">
        <is>
          <t>INE203G01027</t>
        </is>
      </c>
    </row>
    <row r="516">
      <c r="A516" s="379" t="inlineStr">
        <is>
          <t>Indraprastha Medical Corporation Ltd</t>
        </is>
      </c>
      <c r="B516" s="379" t="inlineStr">
        <is>
          <t>INDRAMEDCO</t>
        </is>
      </c>
      <c r="C516" s="380" t="n">
        <v>132150</v>
      </c>
      <c r="D516" s="379" t="inlineStr">
        <is>
          <t>IPMC IN</t>
        </is>
      </c>
      <c r="E516" s="379" t="inlineStr">
        <is>
          <t>INE681B01017</t>
        </is>
      </c>
    </row>
    <row r="517">
      <c r="A517" s="379" t="inlineStr">
        <is>
          <t>Indus Towers Ltd</t>
        </is>
      </c>
      <c r="B517" s="379" t="inlineStr">
        <is>
          <t>INDUSTOWER</t>
        </is>
      </c>
      <c r="C517" s="380" t="n">
        <v>209967</v>
      </c>
      <c r="D517" s="379" t="inlineStr">
        <is>
          <t>INDUSTOW IN</t>
        </is>
      </c>
      <c r="E517" s="379" t="inlineStr">
        <is>
          <t>INE121J01017</t>
        </is>
      </c>
    </row>
    <row r="518">
      <c r="A518" s="379" t="inlineStr">
        <is>
          <t>IndusInd Bank Ltd</t>
        </is>
      </c>
      <c r="B518" s="379" t="inlineStr">
        <is>
          <t>INDUSINDBK</t>
        </is>
      </c>
      <c r="C518" s="380" t="n">
        <v>132187</v>
      </c>
      <c r="D518" s="379" t="inlineStr">
        <is>
          <t>IIB IN</t>
        </is>
      </c>
      <c r="E518" s="379" t="inlineStr">
        <is>
          <t>INE095A01012</t>
        </is>
      </c>
    </row>
    <row r="519">
      <c r="A519" s="379" t="inlineStr">
        <is>
          <t>INEOS Styrolution India Ltd</t>
        </is>
      </c>
      <c r="B519" s="379" t="inlineStr">
        <is>
          <t>INEOSSTYRO</t>
        </is>
      </c>
      <c r="C519" s="380" t="n">
        <v>106222</v>
      </c>
      <c r="D519" s="379" t="inlineStr">
        <is>
          <t>INEOS IN</t>
        </is>
      </c>
      <c r="E519" s="379" t="inlineStr">
        <is>
          <t>INE189B01011</t>
        </is>
      </c>
    </row>
    <row r="520">
      <c r="A520" s="379" t="inlineStr">
        <is>
          <t>Infibeam Avenues Ltd</t>
        </is>
      </c>
      <c r="B520" s="379" t="inlineStr">
        <is>
          <t>INFIBEAM</t>
        </is>
      </c>
      <c r="C520" s="380" t="n">
        <v>275070</v>
      </c>
      <c r="D520" s="379" t="inlineStr">
        <is>
          <t>INFIBEAM IN</t>
        </is>
      </c>
      <c r="E520" s="379" t="inlineStr">
        <is>
          <t>INE483S01020</t>
        </is>
      </c>
    </row>
    <row r="521">
      <c r="A521" s="379" t="inlineStr">
        <is>
          <t>Info Edge (India) Ltd</t>
        </is>
      </c>
      <c r="B521" s="379" t="inlineStr">
        <is>
          <t>NAUKRI</t>
        </is>
      </c>
      <c r="C521" s="380" t="n">
        <v>132777</v>
      </c>
      <c r="D521" s="379" t="inlineStr">
        <is>
          <t>INFOE IN</t>
        </is>
      </c>
      <c r="E521" s="379" t="inlineStr">
        <is>
          <t>INE663F01024</t>
        </is>
      </c>
    </row>
    <row r="522">
      <c r="A522" s="379" t="inlineStr">
        <is>
          <t>Infobeans Technologies Ltd</t>
        </is>
      </c>
      <c r="B522" s="379" t="inlineStr">
        <is>
          <t>INFOBEAN</t>
        </is>
      </c>
      <c r="C522" s="380" t="n">
        <v>275220</v>
      </c>
      <c r="D522" s="379" t="inlineStr">
        <is>
          <t>INBT IN</t>
        </is>
      </c>
      <c r="E522" s="379" t="inlineStr">
        <is>
          <t>INE344S01016</t>
        </is>
      </c>
    </row>
    <row r="523">
      <c r="A523" s="379" t="inlineStr">
        <is>
          <t>Infosys Ltd</t>
        </is>
      </c>
      <c r="B523" s="379" t="inlineStr">
        <is>
          <t>INFY</t>
        </is>
      </c>
      <c r="C523" s="380" t="n">
        <v>100209</v>
      </c>
      <c r="D523" s="379" t="inlineStr">
        <is>
          <t>INFO IN</t>
        </is>
      </c>
      <c r="E523" s="379" t="inlineStr">
        <is>
          <t>INE009A01021</t>
        </is>
      </c>
    </row>
    <row r="524">
      <c r="A524" s="379" t="inlineStr">
        <is>
          <t>Ingersoll-Rand (India) Ltd</t>
        </is>
      </c>
      <c r="B524" s="379" t="inlineStr">
        <is>
          <t>INGERRAND</t>
        </is>
      </c>
      <c r="C524" s="380" t="n">
        <v>100210</v>
      </c>
      <c r="D524" s="379" t="inlineStr">
        <is>
          <t>INGR IN</t>
        </is>
      </c>
      <c r="E524" s="379" t="inlineStr">
        <is>
          <t>INE177A01018</t>
        </is>
      </c>
    </row>
    <row r="525">
      <c r="A525" s="379" t="inlineStr">
        <is>
          <t>Inox Leisure Ltd</t>
        </is>
      </c>
      <c r="B525" s="379" t="inlineStr">
        <is>
          <t>INOXLEISUR</t>
        </is>
      </c>
      <c r="C525" s="380" t="n">
        <v>132706</v>
      </c>
      <c r="D525" s="379" t="inlineStr">
        <is>
          <t>INOL IN</t>
        </is>
      </c>
      <c r="E525" s="379" t="inlineStr">
        <is>
          <t>INE312H01016</t>
        </is>
      </c>
    </row>
    <row r="526">
      <c r="A526" s="379" t="inlineStr">
        <is>
          <t>Inox Wind Energy Ltd</t>
        </is>
      </c>
      <c r="B526" s="379" t="inlineStr">
        <is>
          <t>IWEL</t>
        </is>
      </c>
      <c r="C526" s="380" t="n">
        <v>301915</v>
      </c>
      <c r="D526" s="379" t="inlineStr">
        <is>
          <t>IWEL IN</t>
        </is>
      </c>
      <c r="E526" s="379" t="inlineStr">
        <is>
          <t>INE0FLR01028</t>
        </is>
      </c>
    </row>
    <row r="527">
      <c r="A527" s="379" t="inlineStr">
        <is>
          <t>Inox Wind Ltd</t>
        </is>
      </c>
      <c r="B527" s="379" t="inlineStr">
        <is>
          <t>INOXWIND</t>
        </is>
      </c>
      <c r="C527" s="380" t="n">
        <v>221809</v>
      </c>
      <c r="D527" s="379" t="inlineStr">
        <is>
          <t>INXW IN</t>
        </is>
      </c>
      <c r="E527" s="379" t="inlineStr">
        <is>
          <t>INE066P01011</t>
        </is>
      </c>
    </row>
    <row r="528">
      <c r="A528" s="379" t="inlineStr">
        <is>
          <t>Insecticides (India) Ltd</t>
        </is>
      </c>
      <c r="B528" s="379" t="inlineStr">
        <is>
          <t>INSECTICID</t>
        </is>
      </c>
      <c r="C528" s="380" t="n">
        <v>132851</v>
      </c>
      <c r="D528" s="379" t="inlineStr">
        <is>
          <t>INST IN</t>
        </is>
      </c>
      <c r="E528" s="379" t="inlineStr">
        <is>
          <t>INE070I01018</t>
        </is>
      </c>
    </row>
    <row r="529">
      <c r="A529" s="379" t="inlineStr">
        <is>
          <t>Intellect Design Arena Ltd</t>
        </is>
      </c>
      <c r="B529" s="379" t="inlineStr">
        <is>
          <t>INTELLECT</t>
        </is>
      </c>
      <c r="C529" s="380" t="n">
        <v>271581</v>
      </c>
      <c r="D529" s="379" t="inlineStr">
        <is>
          <t>INDA IN</t>
        </is>
      </c>
      <c r="E529" s="379" t="inlineStr">
        <is>
          <t>INE306R01017</t>
        </is>
      </c>
    </row>
    <row r="530">
      <c r="A530" s="379" t="inlineStr">
        <is>
          <t>Interglobe Aviation Ltd</t>
        </is>
      </c>
      <c r="B530" s="379" t="inlineStr">
        <is>
          <t>INDIGO</t>
        </is>
      </c>
      <c r="C530" s="380" t="n">
        <v>222055</v>
      </c>
      <c r="D530" s="379" t="inlineStr">
        <is>
          <t>INDIGO IN</t>
        </is>
      </c>
      <c r="E530" s="379" t="inlineStr">
        <is>
          <t>INE646L01027</t>
        </is>
      </c>
    </row>
    <row r="531">
      <c r="A531" s="379" t="inlineStr">
        <is>
          <t>IOL Chemicals And Pharmaceuticals Ltd</t>
        </is>
      </c>
      <c r="B531" s="379" t="inlineStr">
        <is>
          <t>IOLCP</t>
        </is>
      </c>
      <c r="C531" s="380" t="n">
        <v>124164</v>
      </c>
      <c r="D531" s="379" t="inlineStr">
        <is>
          <t>ICP IN</t>
        </is>
      </c>
      <c r="E531" s="379" t="inlineStr">
        <is>
          <t>INE485C01011</t>
        </is>
      </c>
    </row>
    <row r="532">
      <c r="A532" s="379" t="inlineStr">
        <is>
          <t>Ion Exchange (India) Ltd</t>
        </is>
      </c>
      <c r="B532" s="379" t="inlineStr">
        <is>
          <t>IONEXCHANG</t>
        </is>
      </c>
      <c r="C532" s="380" t="n">
        <v>100214</v>
      </c>
      <c r="D532" s="379" t="inlineStr">
        <is>
          <t>ION IN</t>
        </is>
      </c>
      <c r="E532" s="379" t="inlineStr">
        <is>
          <t>INE570A01014</t>
        </is>
      </c>
    </row>
    <row r="533">
      <c r="A533" s="379" t="inlineStr">
        <is>
          <t>Ipca Laboratories Ltd</t>
        </is>
      </c>
      <c r="B533" s="379" t="inlineStr">
        <is>
          <t>IPCALAB</t>
        </is>
      </c>
      <c r="C533" s="380" t="n">
        <v>124494</v>
      </c>
      <c r="D533" s="379" t="inlineStr">
        <is>
          <t>IPCA IN</t>
        </is>
      </c>
      <c r="E533" s="379" t="inlineStr">
        <is>
          <t>INE571A01020</t>
        </is>
      </c>
    </row>
    <row r="534">
      <c r="A534" s="379" t="inlineStr">
        <is>
          <t>IRB Infrastructure Developers Ltd</t>
        </is>
      </c>
      <c r="B534" s="379" t="inlineStr">
        <is>
          <t>IRB</t>
        </is>
      </c>
      <c r="C534" s="380" t="n">
        <v>200048</v>
      </c>
      <c r="D534" s="379" t="inlineStr">
        <is>
          <t>IRB IN</t>
        </is>
      </c>
      <c r="E534" s="379" t="inlineStr">
        <is>
          <t>INE821I01014</t>
        </is>
      </c>
    </row>
    <row r="535">
      <c r="A535" s="379" t="inlineStr">
        <is>
          <t>Ircon International Ltd</t>
        </is>
      </c>
      <c r="B535" s="379" t="inlineStr">
        <is>
          <t>IRCON</t>
        </is>
      </c>
      <c r="C535" s="380" t="n">
        <v>123596</v>
      </c>
      <c r="D535" s="379" t="inlineStr">
        <is>
          <t>IRCON IN</t>
        </is>
      </c>
      <c r="E535" s="379" t="inlineStr">
        <is>
          <t>INE962Y01021</t>
        </is>
      </c>
    </row>
    <row r="536">
      <c r="A536" s="379" t="inlineStr">
        <is>
          <t>ISGEC Heavy Engineering Ltd</t>
        </is>
      </c>
      <c r="B536" s="379" t="inlineStr">
        <is>
          <t>ISGEC</t>
        </is>
      </c>
      <c r="C536" s="380" t="n">
        <v>200025</v>
      </c>
      <c r="D536" s="379" t="inlineStr">
        <is>
          <t>IGSEC IN</t>
        </is>
      </c>
      <c r="E536" s="379" t="inlineStr">
        <is>
          <t>INE858B01029</t>
        </is>
      </c>
    </row>
    <row r="537">
      <c r="A537" s="379" t="inlineStr">
        <is>
          <t>ISMT Ltd</t>
        </is>
      </c>
      <c r="B537" s="379" t="inlineStr">
        <is>
          <t>ISMTLTD</t>
        </is>
      </c>
      <c r="C537" s="380" t="n">
        <v>132479</v>
      </c>
      <c r="D537" s="379" t="inlineStr">
        <is>
          <t>ISMT IN</t>
        </is>
      </c>
      <c r="E537" s="379" t="inlineStr">
        <is>
          <t>INE732F01019</t>
        </is>
      </c>
    </row>
    <row r="538">
      <c r="A538" s="379" t="inlineStr">
        <is>
          <t>IST Ltd</t>
        </is>
      </c>
      <c r="B538" s="379" t="n"/>
      <c r="C538" s="380" t="n">
        <v>108807</v>
      </c>
      <c r="D538" s="379" t="inlineStr">
        <is>
          <t>IST IN</t>
        </is>
      </c>
      <c r="E538" s="379" t="inlineStr">
        <is>
          <t>INE684B01029</t>
        </is>
      </c>
    </row>
    <row r="539">
      <c r="A539" s="379" t="inlineStr">
        <is>
          <t>ITC Ltd</t>
        </is>
      </c>
      <c r="B539" s="379" t="inlineStr">
        <is>
          <t>ITC</t>
        </is>
      </c>
      <c r="C539" s="380" t="n">
        <v>100875</v>
      </c>
      <c r="D539" s="379" t="inlineStr">
        <is>
          <t>ITC IN</t>
        </is>
      </c>
      <c r="E539" s="379" t="inlineStr">
        <is>
          <t>INE154A01025</t>
        </is>
      </c>
    </row>
    <row r="540">
      <c r="A540" s="379" t="inlineStr">
        <is>
          <t>ITD Cementation India Ltd</t>
        </is>
      </c>
      <c r="B540" s="379" t="inlineStr">
        <is>
          <t>ITDCEM</t>
        </is>
      </c>
      <c r="C540" s="380" t="n">
        <v>109496</v>
      </c>
      <c r="D540" s="379" t="inlineStr">
        <is>
          <t>ITCE IN</t>
        </is>
      </c>
      <c r="E540" s="379" t="inlineStr">
        <is>
          <t>INE686A01026</t>
        </is>
      </c>
    </row>
    <row r="541">
      <c r="A541" s="379" t="inlineStr">
        <is>
          <t>ITI Ltd</t>
        </is>
      </c>
      <c r="B541" s="379" t="inlineStr">
        <is>
          <t>ITI</t>
        </is>
      </c>
      <c r="C541" s="380" t="n">
        <v>123610</v>
      </c>
      <c r="D541" s="379" t="inlineStr">
        <is>
          <t>ITI IN</t>
        </is>
      </c>
      <c r="E541" s="379" t="inlineStr">
        <is>
          <t>INE248A01017</t>
        </is>
      </c>
    </row>
    <row r="542">
      <c r="A542" s="379" t="inlineStr">
        <is>
          <t>J Kumar Infraprojects Ltd</t>
        </is>
      </c>
      <c r="B542" s="379" t="inlineStr">
        <is>
          <t>JKIL</t>
        </is>
      </c>
      <c r="C542" s="380" t="n">
        <v>200043</v>
      </c>
      <c r="D542" s="379" t="inlineStr">
        <is>
          <t>JKIL IN</t>
        </is>
      </c>
      <c r="E542" s="379" t="inlineStr">
        <is>
          <t>INE576I01022</t>
        </is>
      </c>
    </row>
    <row r="543">
      <c r="A543" s="379" t="inlineStr">
        <is>
          <t>Jagran Prakashan Ltd</t>
        </is>
      </c>
      <c r="B543" s="379" t="inlineStr">
        <is>
          <t>JAGRAN</t>
        </is>
      </c>
      <c r="C543" s="380" t="n">
        <v>132705</v>
      </c>
      <c r="D543" s="379" t="inlineStr">
        <is>
          <t>JAGP IN</t>
        </is>
      </c>
      <c r="E543" s="379" t="inlineStr">
        <is>
          <t>INE199G01027</t>
        </is>
      </c>
    </row>
    <row r="544">
      <c r="A544" s="379" t="inlineStr">
        <is>
          <t>Jai Balaji Industries Ltd</t>
        </is>
      </c>
      <c r="B544" s="379" t="inlineStr">
        <is>
          <t>JAIBALAJI</t>
        </is>
      </c>
      <c r="C544" s="380" t="n">
        <v>190064</v>
      </c>
      <c r="D544" s="379" t="inlineStr">
        <is>
          <t>JBIL IN</t>
        </is>
      </c>
      <c r="E544" s="379" t="inlineStr">
        <is>
          <t>INE091G01018</t>
        </is>
      </c>
    </row>
    <row r="545">
      <c r="A545" s="379" t="inlineStr">
        <is>
          <t>Jai Corp Ltd</t>
        </is>
      </c>
      <c r="B545" s="379" t="inlineStr">
        <is>
          <t>JAICORPLTD</t>
        </is>
      </c>
      <c r="C545" s="380" t="n">
        <v>112237</v>
      </c>
      <c r="D545" s="379" t="inlineStr">
        <is>
          <t>JFI IN</t>
        </is>
      </c>
      <c r="E545" s="379" t="inlineStr">
        <is>
          <t>INE070D01027</t>
        </is>
      </c>
    </row>
    <row r="546">
      <c r="A546" s="379" t="inlineStr">
        <is>
          <t>Jain Irrigation Systems Ltd</t>
        </is>
      </c>
      <c r="B546" s="379" t="inlineStr">
        <is>
          <t>JISLJALEQS</t>
        </is>
      </c>
      <c r="C546" s="380" t="n">
        <v>100219</v>
      </c>
      <c r="D546" s="379" t="inlineStr">
        <is>
          <t>JI IN</t>
        </is>
      </c>
      <c r="E546" s="379" t="inlineStr">
        <is>
          <t>INE175A01038</t>
        </is>
      </c>
    </row>
    <row r="547">
      <c r="A547" s="379" t="inlineStr">
        <is>
          <t>Jaiprakash Associates Ltd</t>
        </is>
      </c>
      <c r="B547" s="379" t="inlineStr">
        <is>
          <t>JPASSOCIAT</t>
        </is>
      </c>
      <c r="C547" s="380" t="n">
        <v>132532</v>
      </c>
      <c r="D547" s="379" t="inlineStr">
        <is>
          <t>JPA IN</t>
        </is>
      </c>
      <c r="E547" s="379" t="inlineStr">
        <is>
          <t>INE455F01025</t>
        </is>
      </c>
    </row>
    <row r="548">
      <c r="A548" s="379" t="inlineStr">
        <is>
          <t>Jaiprakash Power Ventures Ltd</t>
        </is>
      </c>
      <c r="B548" s="379" t="inlineStr">
        <is>
          <t>JPPOWER</t>
        </is>
      </c>
      <c r="C548" s="380" t="n">
        <v>132627</v>
      </c>
      <c r="D548" s="379" t="inlineStr">
        <is>
          <t>JPVL IN</t>
        </is>
      </c>
      <c r="E548" s="379" t="inlineStr">
        <is>
          <t>INE351F01018</t>
        </is>
      </c>
    </row>
    <row r="549">
      <c r="A549" s="379" t="inlineStr">
        <is>
          <t>Jamna Auto Industries Ltd</t>
        </is>
      </c>
      <c r="B549" s="379" t="inlineStr">
        <is>
          <t>JAMNAAUTO</t>
        </is>
      </c>
      <c r="C549" s="380" t="n">
        <v>120051</v>
      </c>
      <c r="D549" s="379" t="inlineStr">
        <is>
          <t>JMNA IN</t>
        </is>
      </c>
      <c r="E549" s="379" t="inlineStr">
        <is>
          <t>INE039C01032</t>
        </is>
      </c>
    </row>
    <row r="550">
      <c r="A550" s="379" t="inlineStr">
        <is>
          <t>Jash Engineering Ltd</t>
        </is>
      </c>
      <c r="B550" s="379" t="inlineStr">
        <is>
          <t>JASH</t>
        </is>
      </c>
      <c r="C550" s="380" t="n">
        <v>229403</v>
      </c>
      <c r="D550" s="379" t="inlineStr">
        <is>
          <t>JASH IN</t>
        </is>
      </c>
      <c r="E550" s="379" t="inlineStr">
        <is>
          <t>INE039O01011</t>
        </is>
      </c>
    </row>
    <row r="551">
      <c r="A551" s="379" t="inlineStr">
        <is>
          <t>Jay Bharat Maruti Ltd</t>
        </is>
      </c>
      <c r="B551" s="379" t="inlineStr">
        <is>
          <t>JAYBARMARU</t>
        </is>
      </c>
      <c r="C551" s="380" t="n">
        <v>120066</v>
      </c>
      <c r="D551" s="379" t="inlineStr">
        <is>
          <t>JBM IN</t>
        </is>
      </c>
      <c r="E551" s="379" t="inlineStr">
        <is>
          <t>INE571B01028</t>
        </is>
      </c>
    </row>
    <row r="552">
      <c r="A552" s="379" t="inlineStr">
        <is>
          <t>Jayant Agro-Organics Ltd</t>
        </is>
      </c>
      <c r="B552" s="379" t="inlineStr">
        <is>
          <t>JAYAGROGN</t>
        </is>
      </c>
      <c r="C552" s="380" t="n">
        <v>124330</v>
      </c>
      <c r="D552" s="379" t="inlineStr">
        <is>
          <t>JAO IN</t>
        </is>
      </c>
      <c r="E552" s="379" t="inlineStr">
        <is>
          <t>INE785A01026</t>
        </is>
      </c>
    </row>
    <row r="553">
      <c r="A553" s="379" t="inlineStr">
        <is>
          <t>Jayaswal Neco Industries Ltd</t>
        </is>
      </c>
      <c r="B553" s="379" t="inlineStr">
        <is>
          <t>JAYNECOIND</t>
        </is>
      </c>
      <c r="C553" s="380" t="n">
        <v>122285</v>
      </c>
      <c r="D553" s="379" t="inlineStr">
        <is>
          <t>NGE IN</t>
        </is>
      </c>
      <c r="E553" s="379" t="inlineStr">
        <is>
          <t>INE854B01010</t>
        </is>
      </c>
    </row>
    <row r="554">
      <c r="A554" s="379" t="inlineStr">
        <is>
          <t>JB Chemicals &amp; Pharmaceuticals Ltd</t>
        </is>
      </c>
      <c r="B554" s="379" t="inlineStr">
        <is>
          <t>JBCHEPHARM</t>
        </is>
      </c>
      <c r="C554" s="380" t="n">
        <v>106943</v>
      </c>
      <c r="D554" s="379" t="inlineStr">
        <is>
          <t>JBCP IN</t>
        </is>
      </c>
      <c r="E554" s="379" t="inlineStr">
        <is>
          <t>INE572A01028</t>
        </is>
      </c>
    </row>
    <row r="555">
      <c r="A555" s="379" t="inlineStr">
        <is>
          <t>JBM Auto Ltd</t>
        </is>
      </c>
      <c r="B555" s="379" t="inlineStr">
        <is>
          <t>JBMA</t>
        </is>
      </c>
      <c r="C555" s="380" t="n">
        <v>132605</v>
      </c>
      <c r="D555" s="379" t="inlineStr">
        <is>
          <t>JBMA IN</t>
        </is>
      </c>
      <c r="E555" s="379" t="inlineStr">
        <is>
          <t>INE927D01028</t>
        </is>
      </c>
    </row>
    <row r="556">
      <c r="A556" s="379" t="inlineStr">
        <is>
          <t>JCT Ltd</t>
        </is>
      </c>
      <c r="B556" s="379" t="inlineStr">
        <is>
          <t>JCT</t>
        </is>
      </c>
      <c r="C556" s="380" t="n">
        <v>100223</v>
      </c>
      <c r="D556" s="379" t="inlineStr">
        <is>
          <t>JCT IN</t>
        </is>
      </c>
      <c r="E556" s="379" t="inlineStr">
        <is>
          <t>INE945A01026</t>
        </is>
      </c>
    </row>
    <row r="557">
      <c r="A557" s="379" t="inlineStr">
        <is>
          <t>Jet Airways (India) Ltd</t>
        </is>
      </c>
      <c r="B557" s="379" t="inlineStr">
        <is>
          <t>JETAIRWAYS</t>
        </is>
      </c>
      <c r="C557" s="380" t="n">
        <v>132617</v>
      </c>
      <c r="D557" s="379" t="inlineStr">
        <is>
          <t>JETIN IN</t>
        </is>
      </c>
      <c r="E557" s="379" t="inlineStr">
        <is>
          <t>INE802G01018</t>
        </is>
      </c>
    </row>
    <row r="558">
      <c r="A558" s="379" t="inlineStr">
        <is>
          <t>Jindal Poly Films Ltd</t>
        </is>
      </c>
      <c r="B558" s="379" t="inlineStr">
        <is>
          <t>JINDALPOLY</t>
        </is>
      </c>
      <c r="C558" s="380" t="n">
        <v>100227</v>
      </c>
      <c r="D558" s="379" t="inlineStr">
        <is>
          <t>JDPF IN</t>
        </is>
      </c>
      <c r="E558" s="379" t="inlineStr">
        <is>
          <t>INE197D01010</t>
        </is>
      </c>
    </row>
    <row r="559">
      <c r="A559" s="379" t="inlineStr">
        <is>
          <t>Jindal Saw Ltd</t>
        </is>
      </c>
      <c r="B559" s="379" t="inlineStr">
        <is>
          <t>JINDALSAW</t>
        </is>
      </c>
      <c r="C559" s="380" t="n">
        <v>100378</v>
      </c>
      <c r="D559" s="379" t="inlineStr">
        <is>
          <t>JSAW IN</t>
        </is>
      </c>
      <c r="E559" s="379" t="inlineStr">
        <is>
          <t>INE324A01024</t>
        </is>
      </c>
    </row>
    <row r="560">
      <c r="A560" s="379" t="inlineStr">
        <is>
          <t>Jindal Stainless (Hisar) Ltd</t>
        </is>
      </c>
      <c r="B560" s="379" t="inlineStr">
        <is>
          <t>JSLHISAR</t>
        </is>
      </c>
      <c r="C560" s="380" t="n">
        <v>279682</v>
      </c>
      <c r="D560" s="379" t="inlineStr">
        <is>
          <t>JSHL IN</t>
        </is>
      </c>
      <c r="E560" s="379" t="inlineStr">
        <is>
          <t>INE455T01018</t>
        </is>
      </c>
    </row>
    <row r="561">
      <c r="A561" s="379" t="inlineStr">
        <is>
          <t>Jindal Stainless Ltd</t>
        </is>
      </c>
      <c r="B561" s="379" t="inlineStr">
        <is>
          <t>JSL</t>
        </is>
      </c>
      <c r="C561" s="380" t="n">
        <v>132508</v>
      </c>
      <c r="D561" s="379" t="inlineStr">
        <is>
          <t>JDSL IN</t>
        </is>
      </c>
      <c r="E561" s="379" t="inlineStr">
        <is>
          <t>INE220G01021</t>
        </is>
      </c>
    </row>
    <row r="562">
      <c r="A562" s="379" t="inlineStr">
        <is>
          <t>Jindal Steel &amp; Power Ltd</t>
        </is>
      </c>
      <c r="B562" s="379" t="inlineStr">
        <is>
          <t>JINDALSTEL</t>
        </is>
      </c>
      <c r="C562" s="380" t="n">
        <v>132286</v>
      </c>
      <c r="D562" s="379" t="inlineStr">
        <is>
          <t>JSP IN</t>
        </is>
      </c>
      <c r="E562" s="379" t="inlineStr">
        <is>
          <t>INE749A01030</t>
        </is>
      </c>
    </row>
    <row r="563">
      <c r="A563" s="379" t="inlineStr">
        <is>
          <t>Jindal Worldwide Ltd</t>
        </is>
      </c>
      <c r="B563" s="379" t="inlineStr">
        <is>
          <t>JINDWORLD</t>
        </is>
      </c>
      <c r="C563" s="380" t="n">
        <v>131543</v>
      </c>
      <c r="D563" s="379" t="inlineStr">
        <is>
          <t>JINW IN</t>
        </is>
      </c>
      <c r="E563" s="379" t="inlineStr">
        <is>
          <t>INE247D01039</t>
        </is>
      </c>
    </row>
    <row r="564">
      <c r="A564" s="379" t="inlineStr">
        <is>
          <t>JK Cement Ltd</t>
        </is>
      </c>
      <c r="B564" s="379" t="inlineStr">
        <is>
          <t>JKCEMENT</t>
        </is>
      </c>
      <c r="C564" s="380" t="n">
        <v>132644</v>
      </c>
      <c r="D564" s="379" t="inlineStr">
        <is>
          <t>JKCE IN</t>
        </is>
      </c>
      <c r="E564" s="379" t="inlineStr">
        <is>
          <t>INE823G01014</t>
        </is>
      </c>
    </row>
    <row r="565">
      <c r="A565" s="379" t="inlineStr">
        <is>
          <t>JK Lakshmi Cement Ltd</t>
        </is>
      </c>
      <c r="B565" s="379" t="inlineStr">
        <is>
          <t>JKLAKSHMI</t>
        </is>
      </c>
      <c r="C565" s="380" t="n">
        <v>100380</v>
      </c>
      <c r="D565" s="379" t="inlineStr">
        <is>
          <t>JKLC IN</t>
        </is>
      </c>
      <c r="E565" s="379" t="inlineStr">
        <is>
          <t>INE786A01032</t>
        </is>
      </c>
    </row>
    <row r="566">
      <c r="A566" s="379" t="inlineStr">
        <is>
          <t>JK Paper Ltd</t>
        </is>
      </c>
      <c r="B566" s="379" t="inlineStr">
        <is>
          <t>JKPAPER</t>
        </is>
      </c>
      <c r="C566" s="380" t="n">
        <v>132162</v>
      </c>
      <c r="D566" s="379" t="inlineStr">
        <is>
          <t>JKPAPER IN</t>
        </is>
      </c>
      <c r="E566" s="379" t="inlineStr">
        <is>
          <t>INE789E01012</t>
        </is>
      </c>
    </row>
    <row r="567">
      <c r="A567" s="379" t="inlineStr">
        <is>
          <t>JK Tyre &amp; Industries Ltd</t>
        </is>
      </c>
      <c r="B567" s="379" t="inlineStr">
        <is>
          <t>JKTYRE</t>
        </is>
      </c>
      <c r="C567" s="380" t="n">
        <v>130007</v>
      </c>
      <c r="D567" s="379" t="inlineStr">
        <is>
          <t>JKI IN</t>
        </is>
      </c>
      <c r="E567" s="379" t="inlineStr">
        <is>
          <t>INE573A01042</t>
        </is>
      </c>
    </row>
    <row r="568">
      <c r="A568" s="379" t="inlineStr">
        <is>
          <t>JM Financial Ltd</t>
        </is>
      </c>
      <c r="B568" s="379" t="inlineStr">
        <is>
          <t>JMFINANCIL</t>
        </is>
      </c>
      <c r="C568" s="380" t="n">
        <v>123405</v>
      </c>
      <c r="D568" s="379" t="inlineStr">
        <is>
          <t>JM IN</t>
        </is>
      </c>
      <c r="E568" s="379" t="inlineStr">
        <is>
          <t>INE780C01023</t>
        </is>
      </c>
    </row>
    <row r="569">
      <c r="A569" s="379" t="inlineStr">
        <is>
          <t>JMC Projects (India) Ltd</t>
        </is>
      </c>
      <c r="B569" s="379" t="inlineStr">
        <is>
          <t>JMCPROJECT</t>
        </is>
      </c>
      <c r="C569" s="380" t="n">
        <v>122263</v>
      </c>
      <c r="D569" s="379" t="inlineStr">
        <is>
          <t>JMCP IN</t>
        </is>
      </c>
      <c r="E569" s="379" t="inlineStr">
        <is>
          <t>INE890A01024</t>
        </is>
      </c>
    </row>
    <row r="570">
      <c r="A570" s="379" t="inlineStr">
        <is>
          <t>John Cockrill India Ltd</t>
        </is>
      </c>
      <c r="B570" s="379" t="inlineStr">
        <is>
          <t>FLATPROD</t>
        </is>
      </c>
      <c r="C570" s="380" t="n">
        <v>100147</v>
      </c>
      <c r="D570" s="379" t="inlineStr">
        <is>
          <t>FPE IN</t>
        </is>
      </c>
      <c r="E570" s="379" t="inlineStr">
        <is>
          <t>INE515A01019</t>
        </is>
      </c>
    </row>
    <row r="571">
      <c r="A571" s="379" t="inlineStr">
        <is>
          <t>Johnson Controls - Hitachi Air Conditioning India Ltd</t>
        </is>
      </c>
      <c r="B571" s="379" t="inlineStr">
        <is>
          <t>JCHAC</t>
        </is>
      </c>
      <c r="C571" s="380" t="n">
        <v>123398</v>
      </c>
      <c r="D571" s="379" t="inlineStr">
        <is>
          <t>JCHAC IN</t>
        </is>
      </c>
      <c r="E571" s="379" t="inlineStr">
        <is>
          <t>INE782A01015</t>
        </is>
      </c>
    </row>
    <row r="572">
      <c r="A572" s="379" t="inlineStr">
        <is>
          <t>JSW Energy Ltd</t>
        </is>
      </c>
      <c r="B572" s="379" t="inlineStr">
        <is>
          <t>JSWENERGY</t>
        </is>
      </c>
      <c r="C572" s="380" t="n">
        <v>208461</v>
      </c>
      <c r="D572" s="379" t="inlineStr">
        <is>
          <t>JSW IN</t>
        </is>
      </c>
      <c r="E572" s="379" t="inlineStr">
        <is>
          <t>INE121E01018</t>
        </is>
      </c>
    </row>
    <row r="573">
      <c r="A573" s="379" t="inlineStr">
        <is>
          <t>JSW Holdings Ltd</t>
        </is>
      </c>
      <c r="B573" s="379" t="inlineStr">
        <is>
          <t>JSWHL</t>
        </is>
      </c>
      <c r="C573" s="380" t="n">
        <v>132642</v>
      </c>
      <c r="D573" s="379" t="inlineStr">
        <is>
          <t>SWH IN</t>
        </is>
      </c>
      <c r="E573" s="379" t="inlineStr">
        <is>
          <t>INE824G01012</t>
        </is>
      </c>
    </row>
    <row r="574">
      <c r="A574" s="379" t="inlineStr">
        <is>
          <t>JSW Ispat Special Products Ltd</t>
        </is>
      </c>
      <c r="B574" s="379" t="inlineStr">
        <is>
          <t>JSWISPL</t>
        </is>
      </c>
      <c r="C574" s="380" t="n">
        <v>113446</v>
      </c>
      <c r="D574" s="379" t="inlineStr">
        <is>
          <t>JSWISPL IN</t>
        </is>
      </c>
      <c r="E574" s="379" t="inlineStr">
        <is>
          <t>INE743C01021</t>
        </is>
      </c>
    </row>
    <row r="575">
      <c r="A575" s="379" t="inlineStr">
        <is>
          <t>JSW Steel Ltd</t>
        </is>
      </c>
      <c r="B575" s="379" t="inlineStr">
        <is>
          <t>JSWSTEEL</t>
        </is>
      </c>
      <c r="C575" s="380" t="n">
        <v>100228</v>
      </c>
      <c r="D575" s="379" t="inlineStr">
        <is>
          <t>JSTL IN</t>
        </is>
      </c>
      <c r="E575" s="379" t="inlineStr">
        <is>
          <t>INE019A01038</t>
        </is>
      </c>
    </row>
    <row r="576">
      <c r="A576" s="379" t="inlineStr">
        <is>
          <t>JTEKT India Ltd</t>
        </is>
      </c>
      <c r="B576" s="379" t="inlineStr">
        <is>
          <t>JTEKTINDIA</t>
        </is>
      </c>
      <c r="C576" s="380" t="n">
        <v>120057</v>
      </c>
      <c r="D576" s="379" t="inlineStr">
        <is>
          <t>JTEKT IN</t>
        </is>
      </c>
      <c r="E576" s="379" t="inlineStr">
        <is>
          <t>INE643A01035</t>
        </is>
      </c>
    </row>
    <row r="577">
      <c r="A577" s="379" t="inlineStr">
        <is>
          <t>JTL Infra Ltd</t>
        </is>
      </c>
      <c r="B577" s="379" t="inlineStr">
        <is>
          <t>JTLINFRA</t>
        </is>
      </c>
      <c r="C577" s="380" t="n">
        <v>237594</v>
      </c>
      <c r="D577" s="379" t="inlineStr">
        <is>
          <t>JTL IN</t>
        </is>
      </c>
      <c r="E577" s="379" t="inlineStr">
        <is>
          <t>INE391J01024</t>
        </is>
      </c>
    </row>
    <row r="578">
      <c r="A578" s="379" t="inlineStr">
        <is>
          <t>Jubilant FoodWorks Ltd</t>
        </is>
      </c>
      <c r="B578" s="379" t="inlineStr">
        <is>
          <t>JUBLFOOD</t>
        </is>
      </c>
      <c r="C578" s="380" t="n">
        <v>215367</v>
      </c>
      <c r="D578" s="379" t="inlineStr">
        <is>
          <t>JUBI IN</t>
        </is>
      </c>
      <c r="E578" s="379" t="inlineStr">
        <is>
          <t>INE797F01012</t>
        </is>
      </c>
    </row>
    <row r="579">
      <c r="A579" s="379" t="inlineStr">
        <is>
          <t>Jubilant Industries Ltd</t>
        </is>
      </c>
      <c r="B579" s="379" t="inlineStr">
        <is>
          <t>JUBLINDS</t>
        </is>
      </c>
      <c r="C579" s="380" t="n">
        <v>222821</v>
      </c>
      <c r="D579" s="379" t="inlineStr">
        <is>
          <t>JIND IN</t>
        </is>
      </c>
      <c r="E579" s="379" t="inlineStr">
        <is>
          <t>INE645L01011</t>
        </is>
      </c>
    </row>
    <row r="580">
      <c r="A580" s="379" t="inlineStr">
        <is>
          <t>Jubilant Ingrevia Ltd</t>
        </is>
      </c>
      <c r="B580" s="379" t="inlineStr">
        <is>
          <t>JUBLINGREA</t>
        </is>
      </c>
      <c r="C580" s="380" t="n">
        <v>301578</v>
      </c>
      <c r="D580" s="379" t="inlineStr">
        <is>
          <t>JUBLINGR IN</t>
        </is>
      </c>
      <c r="E580" s="379" t="inlineStr">
        <is>
          <t>INE0BY001018</t>
        </is>
      </c>
    </row>
    <row r="581">
      <c r="A581" s="379" t="inlineStr">
        <is>
          <t>Jubilant Pharmova Ltd</t>
        </is>
      </c>
      <c r="B581" s="379" t="inlineStr">
        <is>
          <t>JUBLPHARMA</t>
        </is>
      </c>
      <c r="C581" s="380" t="n">
        <v>130019</v>
      </c>
      <c r="D581" s="379" t="inlineStr">
        <is>
          <t>JUBLPHAR IN</t>
        </is>
      </c>
      <c r="E581" s="379" t="inlineStr">
        <is>
          <t>INE700A01033</t>
        </is>
      </c>
    </row>
    <row r="582">
      <c r="A582" s="379" t="inlineStr">
        <is>
          <t>Just Dial Ltd</t>
        </is>
      </c>
      <c r="B582" s="379" t="inlineStr">
        <is>
          <t>JUSTDIAL</t>
        </is>
      </c>
      <c r="C582" s="380" t="n">
        <v>211531</v>
      </c>
      <c r="D582" s="379" t="inlineStr">
        <is>
          <t>JUST IN</t>
        </is>
      </c>
      <c r="E582" s="379" t="inlineStr">
        <is>
          <t>INE599M01018</t>
        </is>
      </c>
    </row>
    <row r="583">
      <c r="A583" s="379" t="inlineStr">
        <is>
          <t>Jyothy Labs Ltd</t>
        </is>
      </c>
      <c r="B583" s="379" t="inlineStr">
        <is>
          <t>JYOTHYLAB</t>
        </is>
      </c>
      <c r="C583" s="380" t="n">
        <v>200007</v>
      </c>
      <c r="D583" s="379" t="inlineStr">
        <is>
          <t>JYL IN</t>
        </is>
      </c>
      <c r="E583" s="379" t="inlineStr">
        <is>
          <t>INE668F01031</t>
        </is>
      </c>
    </row>
    <row r="584">
      <c r="A584" s="379" t="inlineStr">
        <is>
          <t>Jyoti Structures Ltd</t>
        </is>
      </c>
      <c r="B584" s="379" t="inlineStr">
        <is>
          <t>JYOTISTRUC</t>
        </is>
      </c>
      <c r="C584" s="380" t="n">
        <v>113250</v>
      </c>
      <c r="D584" s="379" t="inlineStr">
        <is>
          <t>JYS IN</t>
        </is>
      </c>
      <c r="E584" s="379" t="inlineStr">
        <is>
          <t>INE197A01024</t>
        </is>
      </c>
    </row>
    <row r="585">
      <c r="A585" s="379" t="inlineStr">
        <is>
          <t>KPRMill Ltd</t>
        </is>
      </c>
      <c r="B585" s="379" t="inlineStr">
        <is>
          <t>KPRMILL</t>
        </is>
      </c>
      <c r="C585" s="380" t="n">
        <v>132889</v>
      </c>
      <c r="D585" s="379" t="inlineStr">
        <is>
          <t>KPR IN</t>
        </is>
      </c>
      <c r="E585" s="379" t="inlineStr">
        <is>
          <t>INE930H01031</t>
        </is>
      </c>
    </row>
    <row r="586">
      <c r="A586" s="379" t="inlineStr">
        <is>
          <t>Kabra Extrusiontechnik Ltd</t>
        </is>
      </c>
      <c r="B586" s="379" t="inlineStr">
        <is>
          <t>KABRAEXTRU</t>
        </is>
      </c>
      <c r="C586" s="380" t="n">
        <v>124109</v>
      </c>
      <c r="D586" s="379" t="inlineStr">
        <is>
          <t>KE IN</t>
        </is>
      </c>
      <c r="E586" s="379" t="inlineStr">
        <is>
          <t>INE900B01029</t>
        </is>
      </c>
    </row>
    <row r="587">
      <c r="A587" s="379" t="inlineStr">
        <is>
          <t>Kajaria Ceramics Ltd</t>
        </is>
      </c>
      <c r="B587" s="379" t="inlineStr">
        <is>
          <t>KAJARIACER</t>
        </is>
      </c>
      <c r="C587" s="380" t="n">
        <v>100233</v>
      </c>
      <c r="D587" s="379" t="inlineStr">
        <is>
          <t>KJC IN</t>
        </is>
      </c>
      <c r="E587" s="379" t="inlineStr">
        <is>
          <t>INE217B01036</t>
        </is>
      </c>
    </row>
    <row r="588">
      <c r="A588" s="379" t="inlineStr">
        <is>
          <t>Kalpataru Power Transmission Ltd</t>
        </is>
      </c>
      <c r="B588" s="379" t="inlineStr">
        <is>
          <t>KALPATPOWR</t>
        </is>
      </c>
      <c r="C588" s="380" t="n">
        <v>122287</v>
      </c>
      <c r="D588" s="379" t="inlineStr">
        <is>
          <t>KPP IN</t>
        </is>
      </c>
      <c r="E588" s="379" t="inlineStr">
        <is>
          <t>INE220B01022</t>
        </is>
      </c>
    </row>
    <row r="589">
      <c r="A589" s="379" t="inlineStr">
        <is>
          <t>Kalyan Jewellers India Ltd</t>
        </is>
      </c>
      <c r="B589" s="379" t="inlineStr">
        <is>
          <t>KALYANKJIL</t>
        </is>
      </c>
      <c r="C589" s="380" t="n">
        <v>226720</v>
      </c>
      <c r="D589" s="379" t="inlineStr">
        <is>
          <t>KALYANKJ IN</t>
        </is>
      </c>
      <c r="E589" s="379" t="inlineStr">
        <is>
          <t>INE303R01014</t>
        </is>
      </c>
    </row>
    <row r="590">
      <c r="A590" s="379" t="inlineStr">
        <is>
          <t>Kalyani Investment Company Ltd</t>
        </is>
      </c>
      <c r="B590" s="379" t="inlineStr">
        <is>
          <t>KICL</t>
        </is>
      </c>
      <c r="C590" s="380" t="n">
        <v>220965</v>
      </c>
      <c r="D590" s="379" t="inlineStr">
        <is>
          <t>KALY IN</t>
        </is>
      </c>
      <c r="E590" s="379" t="inlineStr">
        <is>
          <t>INE029L01018</t>
        </is>
      </c>
    </row>
    <row r="591">
      <c r="A591" s="379" t="inlineStr">
        <is>
          <t>Kalyani Steels Ltd</t>
        </is>
      </c>
      <c r="B591" s="379" t="inlineStr">
        <is>
          <t>KSL</t>
        </is>
      </c>
      <c r="C591" s="380" t="n">
        <v>100235</v>
      </c>
      <c r="D591" s="379" t="inlineStr">
        <is>
          <t>KS IN</t>
        </is>
      </c>
      <c r="E591" s="379" t="inlineStr">
        <is>
          <t>INE907A01026</t>
        </is>
      </c>
    </row>
    <row r="592">
      <c r="A592" s="379" t="inlineStr">
        <is>
          <t>Kama Holdings Ltd</t>
        </is>
      </c>
      <c r="B592" s="379" t="n"/>
      <c r="C592" s="380" t="n">
        <v>132468</v>
      </c>
      <c r="D592" s="379" t="inlineStr">
        <is>
          <t>KHL IN</t>
        </is>
      </c>
      <c r="E592" s="379" t="inlineStr">
        <is>
          <t>INE411F01010</t>
        </is>
      </c>
    </row>
    <row r="593">
      <c r="A593" s="379" t="inlineStr">
        <is>
          <t>Kamdhenu Ltd</t>
        </is>
      </c>
      <c r="B593" s="379" t="inlineStr">
        <is>
          <t>KAMDHENU</t>
        </is>
      </c>
      <c r="C593" s="380" t="n">
        <v>132741</v>
      </c>
      <c r="D593" s="379" t="inlineStr">
        <is>
          <t>KAMD IN</t>
        </is>
      </c>
      <c r="E593" s="379" t="inlineStr">
        <is>
          <t>INE390H01012</t>
        </is>
      </c>
    </row>
    <row r="594">
      <c r="A594" s="379" t="inlineStr">
        <is>
          <t>Kanoria Chemicals &amp; Industries Ltd</t>
        </is>
      </c>
      <c r="B594" s="379" t="inlineStr">
        <is>
          <t>KANORICHEM</t>
        </is>
      </c>
      <c r="C594" s="380" t="n">
        <v>106525</v>
      </c>
      <c r="D594" s="379" t="inlineStr">
        <is>
          <t>KC IN</t>
        </is>
      </c>
      <c r="E594" s="379" t="inlineStr">
        <is>
          <t>INE138C01024</t>
        </is>
      </c>
    </row>
    <row r="595">
      <c r="A595" s="379" t="inlineStr">
        <is>
          <t>Kansai Nerolac Paints Ltd</t>
        </is>
      </c>
      <c r="B595" s="379" t="inlineStr">
        <is>
          <t>KANSAINER</t>
        </is>
      </c>
      <c r="C595" s="380" t="n">
        <v>100165</v>
      </c>
      <c r="D595" s="379" t="inlineStr">
        <is>
          <t>KNPL IN</t>
        </is>
      </c>
      <c r="E595" s="379" t="inlineStr">
        <is>
          <t>INE531A01024</t>
        </is>
      </c>
    </row>
    <row r="596">
      <c r="A596" s="379" t="inlineStr">
        <is>
          <t>Karur Vysya Bank Ltd</t>
        </is>
      </c>
      <c r="B596" s="379" t="inlineStr">
        <is>
          <t>KARURVYSYA</t>
        </is>
      </c>
      <c r="C596" s="380" t="n">
        <v>190003</v>
      </c>
      <c r="D596" s="379" t="inlineStr">
        <is>
          <t>KVB IN</t>
        </is>
      </c>
      <c r="E596" s="379" t="inlineStr">
        <is>
          <t>INE036D01028</t>
        </is>
      </c>
    </row>
    <row r="597">
      <c r="A597" s="379" t="inlineStr">
        <is>
          <t>Kaveri Seed Company Ltd</t>
        </is>
      </c>
      <c r="B597" s="379" t="inlineStr">
        <is>
          <t>KSCL</t>
        </is>
      </c>
      <c r="C597" s="380" t="n">
        <v>132899</v>
      </c>
      <c r="D597" s="379" t="inlineStr">
        <is>
          <t>KSCL IN</t>
        </is>
      </c>
      <c r="E597" s="379" t="inlineStr">
        <is>
          <t>INE455I01029</t>
        </is>
      </c>
    </row>
    <row r="598">
      <c r="A598" s="379" t="inlineStr">
        <is>
          <t>Kaya Ltd</t>
        </is>
      </c>
      <c r="B598" s="379" t="inlineStr">
        <is>
          <t>KAYA</t>
        </is>
      </c>
      <c r="C598" s="380" t="n">
        <v>224770</v>
      </c>
      <c r="D598" s="379" t="inlineStr">
        <is>
          <t>KAYA IN</t>
        </is>
      </c>
      <c r="E598" s="379" t="inlineStr">
        <is>
          <t>INE587G01015</t>
        </is>
      </c>
    </row>
    <row r="599">
      <c r="A599" s="379" t="inlineStr">
        <is>
          <t>KBC Global Ltd</t>
        </is>
      </c>
      <c r="B599" s="379" t="inlineStr">
        <is>
          <t>KBCGLOBAL</t>
        </is>
      </c>
      <c r="C599" s="380" t="n">
        <v>273610</v>
      </c>
      <c r="D599" s="379" t="inlineStr">
        <is>
          <t>KARDA IN</t>
        </is>
      </c>
      <c r="E599" s="379" t="inlineStr">
        <is>
          <t>INE278R01034</t>
        </is>
      </c>
    </row>
    <row r="600">
      <c r="A600" s="379" t="inlineStr">
        <is>
          <t>KCP Ltd</t>
        </is>
      </c>
      <c r="B600" s="379" t="inlineStr">
        <is>
          <t>KCP</t>
        </is>
      </c>
      <c r="C600" s="380" t="n">
        <v>190066</v>
      </c>
      <c r="D600" s="379" t="inlineStr">
        <is>
          <t>KCPL IN</t>
        </is>
      </c>
      <c r="E600" s="379" t="inlineStr">
        <is>
          <t>INE805C01028</t>
        </is>
      </c>
    </row>
    <row r="601">
      <c r="A601" s="379" t="inlineStr">
        <is>
          <t>KDDL Ltd</t>
        </is>
      </c>
      <c r="B601" s="379" t="inlineStr">
        <is>
          <t>KDDL</t>
        </is>
      </c>
      <c r="C601" s="380" t="n">
        <v>132054</v>
      </c>
      <c r="D601" s="379" t="inlineStr">
        <is>
          <t>KDDL IN</t>
        </is>
      </c>
      <c r="E601" s="379" t="inlineStr">
        <is>
          <t>INE291D01011</t>
        </is>
      </c>
    </row>
    <row r="602">
      <c r="A602" s="379" t="inlineStr">
        <is>
          <t>KEC International Ltd</t>
        </is>
      </c>
      <c r="B602" s="379" t="inlineStr">
        <is>
          <t>KEC</t>
        </is>
      </c>
      <c r="C602" s="380" t="n">
        <v>132714</v>
      </c>
      <c r="D602" s="379" t="inlineStr">
        <is>
          <t>KECI IN</t>
        </is>
      </c>
      <c r="E602" s="379" t="inlineStr">
        <is>
          <t>INE389H01022</t>
        </is>
      </c>
    </row>
    <row r="603">
      <c r="A603" s="379" t="inlineStr">
        <is>
          <t>KEI Industries Ltd</t>
        </is>
      </c>
      <c r="B603" s="379" t="inlineStr">
        <is>
          <t>KEI</t>
        </is>
      </c>
      <c r="C603" s="380" t="n">
        <v>117569</v>
      </c>
      <c r="D603" s="379" t="inlineStr">
        <is>
          <t>KEII IN</t>
        </is>
      </c>
      <c r="E603" s="379" t="inlineStr">
        <is>
          <t>INE878B01027</t>
        </is>
      </c>
    </row>
    <row r="604">
      <c r="A604" s="379" t="inlineStr">
        <is>
          <t>Kellton Tech Solutions Ltd</t>
        </is>
      </c>
      <c r="B604" s="379" t="inlineStr">
        <is>
          <t>KELLTONTEC</t>
        </is>
      </c>
      <c r="C604" s="380" t="n">
        <v>119602</v>
      </c>
      <c r="D604" s="379" t="inlineStr">
        <is>
          <t>KTSL IN</t>
        </is>
      </c>
      <c r="E604" s="379" t="inlineStr">
        <is>
          <t>INE164B01022</t>
        </is>
      </c>
    </row>
    <row r="605">
      <c r="A605" s="379" t="inlineStr">
        <is>
          <t>Kennametal India Ltd</t>
        </is>
      </c>
      <c r="B605" s="379" t="inlineStr">
        <is>
          <t>KENNAMET</t>
        </is>
      </c>
      <c r="C605" s="380" t="n">
        <v>105890</v>
      </c>
      <c r="D605" s="379" t="inlineStr">
        <is>
          <t>KNM IN</t>
        </is>
      </c>
      <c r="E605" s="379" t="inlineStr">
        <is>
          <t>INE717A01029</t>
        </is>
      </c>
    </row>
    <row r="606">
      <c r="A606" s="379" t="inlineStr">
        <is>
          <t>Kesoram Industries Ltd</t>
        </is>
      </c>
      <c r="B606" s="379" t="inlineStr">
        <is>
          <t>KESORAMIND</t>
        </is>
      </c>
      <c r="C606" s="380" t="n">
        <v>102937</v>
      </c>
      <c r="D606" s="379" t="inlineStr">
        <is>
          <t>KSI IN</t>
        </is>
      </c>
      <c r="E606" s="379" t="inlineStr">
        <is>
          <t>INE087A01019</t>
        </is>
      </c>
    </row>
    <row r="607">
      <c r="A607" s="379" t="inlineStr">
        <is>
          <t>Kewal Kiran Clothing Ltd</t>
        </is>
      </c>
      <c r="B607" s="379" t="inlineStr">
        <is>
          <t>KKCL</t>
        </is>
      </c>
      <c r="C607" s="380" t="n">
        <v>132732</v>
      </c>
      <c r="D607" s="379" t="inlineStr">
        <is>
          <t>KEKC IN</t>
        </is>
      </c>
      <c r="E607" s="379" t="inlineStr">
        <is>
          <t>INE401H01017</t>
        </is>
      </c>
    </row>
    <row r="608">
      <c r="A608" s="379" t="inlineStr">
        <is>
          <t>Khaitan Chemicals &amp; Fertilizers Ltd</t>
        </is>
      </c>
      <c r="B608" s="379" t="inlineStr">
        <is>
          <t>KHAICHEM</t>
        </is>
      </c>
      <c r="C608" s="380" t="n">
        <v>107794</v>
      </c>
      <c r="D608" s="379" t="inlineStr">
        <is>
          <t>KCF IN</t>
        </is>
      </c>
      <c r="E608" s="379" t="inlineStr">
        <is>
          <t>INE745B01028</t>
        </is>
      </c>
    </row>
    <row r="609">
      <c r="A609" s="379" t="inlineStr">
        <is>
          <t>Kingfa Science &amp; Technology (India) Ltd</t>
        </is>
      </c>
      <c r="B609" s="379" t="inlineStr">
        <is>
          <t>KINGFA</t>
        </is>
      </c>
      <c r="C609" s="380" t="n">
        <v>124019</v>
      </c>
      <c r="D609" s="379" t="inlineStr">
        <is>
          <t>KINGFA IN</t>
        </is>
      </c>
      <c r="E609" s="379" t="inlineStr">
        <is>
          <t>INE473D01015</t>
        </is>
      </c>
    </row>
    <row r="610">
      <c r="A610" s="379" t="inlineStr">
        <is>
          <t>KIOCL Ltd</t>
        </is>
      </c>
      <c r="B610" s="379" t="inlineStr">
        <is>
          <t>KIOCL</t>
        </is>
      </c>
      <c r="C610" s="380" t="n">
        <v>220053</v>
      </c>
      <c r="D610" s="379" t="inlineStr">
        <is>
          <t>KIOCL IN</t>
        </is>
      </c>
      <c r="E610" s="379" t="inlineStr">
        <is>
          <t>INE880L01014</t>
        </is>
      </c>
    </row>
    <row r="611">
      <c r="A611" s="379" t="inlineStr">
        <is>
          <t>Kiri Industries Ltd</t>
        </is>
      </c>
      <c r="B611" s="379" t="inlineStr">
        <is>
          <t>KIRIINDUS</t>
        </is>
      </c>
      <c r="C611" s="380" t="n">
        <v>200079</v>
      </c>
      <c r="D611" s="379" t="inlineStr">
        <is>
          <t>KIRI IN</t>
        </is>
      </c>
      <c r="E611" s="379" t="inlineStr">
        <is>
          <t>INE415I01015</t>
        </is>
      </c>
    </row>
    <row r="612">
      <c r="A612" s="379" t="inlineStr">
        <is>
          <t>Kirloskar Brothers Ltd</t>
        </is>
      </c>
      <c r="B612" s="379" t="inlineStr">
        <is>
          <t>KIRLOSBROS</t>
        </is>
      </c>
      <c r="C612" s="380" t="n">
        <v>100241</v>
      </c>
      <c r="D612" s="379" t="inlineStr">
        <is>
          <t>KKB IN</t>
        </is>
      </c>
      <c r="E612" s="379" t="inlineStr">
        <is>
          <t>INE732A01036</t>
        </is>
      </c>
    </row>
    <row r="613">
      <c r="A613" s="379" t="inlineStr">
        <is>
          <t>Kirloskar Ferrous Industries Ltd</t>
        </is>
      </c>
      <c r="B613" s="379" t="inlineStr">
        <is>
          <t>KIRLFER</t>
        </is>
      </c>
      <c r="C613" s="380" t="n">
        <v>100245</v>
      </c>
      <c r="D613" s="379" t="inlineStr">
        <is>
          <t>KKF IN</t>
        </is>
      </c>
      <c r="E613" s="379" t="inlineStr">
        <is>
          <t>INE884B01025</t>
        </is>
      </c>
    </row>
    <row r="614">
      <c r="A614" s="379" t="inlineStr">
        <is>
          <t>Kirloskar Industries Ltd</t>
        </is>
      </c>
      <c r="B614" s="379" t="inlineStr">
        <is>
          <t>KIRLOSIND</t>
        </is>
      </c>
      <c r="C614" s="380" t="n">
        <v>100243</v>
      </c>
      <c r="D614" s="379" t="inlineStr">
        <is>
          <t>KKIL IN</t>
        </is>
      </c>
      <c r="E614" s="379" t="inlineStr">
        <is>
          <t>INE250A01039</t>
        </is>
      </c>
    </row>
    <row r="615">
      <c r="A615" s="379" t="inlineStr">
        <is>
          <t>Kirloskar Oil Engines Ltd</t>
        </is>
      </c>
      <c r="B615" s="379" t="inlineStr">
        <is>
          <t>KIRLOSENG</t>
        </is>
      </c>
      <c r="C615" s="380" t="n">
        <v>222961</v>
      </c>
      <c r="D615" s="379" t="inlineStr">
        <is>
          <t>KOEL IN</t>
        </is>
      </c>
      <c r="E615" s="379" t="inlineStr">
        <is>
          <t>INE146L01010</t>
        </is>
      </c>
    </row>
    <row r="616">
      <c r="A616" s="379" t="inlineStr">
        <is>
          <t>Kirloskar Pneumatic Company Ltd</t>
        </is>
      </c>
      <c r="B616" s="379" t="inlineStr">
        <is>
          <t>KGKHOSLA</t>
        </is>
      </c>
      <c r="C616" s="380" t="n">
        <v>105283</v>
      </c>
      <c r="D616" s="379" t="inlineStr">
        <is>
          <t>KKPC IN</t>
        </is>
      </c>
      <c r="E616" s="379" t="inlineStr">
        <is>
          <t>INE811A01020</t>
        </is>
      </c>
    </row>
    <row r="617">
      <c r="A617" s="379" t="inlineStr">
        <is>
          <t>Kitex Garments Ltd</t>
        </is>
      </c>
      <c r="B617" s="379" t="inlineStr">
        <is>
          <t>KITEX</t>
        </is>
      </c>
      <c r="C617" s="380" t="n">
        <v>121248</v>
      </c>
      <c r="D617" s="379" t="inlineStr">
        <is>
          <t>KTG IN</t>
        </is>
      </c>
      <c r="E617" s="379" t="inlineStr">
        <is>
          <t>INE602G01020</t>
        </is>
      </c>
    </row>
    <row r="618">
      <c r="A618" s="379" t="inlineStr">
        <is>
          <t>KMC Speciality Hospitals (India) Ltd</t>
        </is>
      </c>
      <c r="B618" s="379" t="n"/>
      <c r="C618" s="380" t="n">
        <v>124520</v>
      </c>
      <c r="D618" s="379" t="inlineStr">
        <is>
          <t>KMCS IN</t>
        </is>
      </c>
      <c r="E618" s="379" t="inlineStr">
        <is>
          <t>INE879K01018</t>
        </is>
      </c>
    </row>
    <row r="619">
      <c r="A619" s="379" t="inlineStr">
        <is>
          <t>KNR Constructions Ltd</t>
        </is>
      </c>
      <c r="B619" s="379" t="inlineStr">
        <is>
          <t>KNRCON</t>
        </is>
      </c>
      <c r="C619" s="380" t="n">
        <v>200046</v>
      </c>
      <c r="D619" s="379" t="inlineStr">
        <is>
          <t>KNRC IN</t>
        </is>
      </c>
      <c r="E619" s="379" t="inlineStr">
        <is>
          <t>INE634I01029</t>
        </is>
      </c>
    </row>
    <row r="620">
      <c r="A620" s="379" t="inlineStr">
        <is>
          <t>Kokuyo Camlin Ltd</t>
        </is>
      </c>
      <c r="B620" s="379" t="inlineStr">
        <is>
          <t>KOKUYOCMLN</t>
        </is>
      </c>
      <c r="C620" s="380" t="n">
        <v>123207</v>
      </c>
      <c r="D620" s="379" t="inlineStr">
        <is>
          <t>CAMLN IN</t>
        </is>
      </c>
      <c r="E620" s="379" t="inlineStr">
        <is>
          <t>INE760A01029</t>
        </is>
      </c>
    </row>
    <row r="621">
      <c r="A621" s="379" t="inlineStr">
        <is>
          <t>Kolte-Patil Developers Ltd</t>
        </is>
      </c>
      <c r="B621" s="379" t="inlineStr">
        <is>
          <t>KOLTEPATIL</t>
        </is>
      </c>
      <c r="C621" s="380" t="n">
        <v>200009</v>
      </c>
      <c r="D621" s="379" t="inlineStr">
        <is>
          <t>KPDL IN</t>
        </is>
      </c>
      <c r="E621" s="379" t="inlineStr">
        <is>
          <t>INE094I01018</t>
        </is>
      </c>
    </row>
    <row r="622">
      <c r="A622" s="379" t="inlineStr">
        <is>
          <t>Kopran Ltd</t>
        </is>
      </c>
      <c r="B622" s="379" t="inlineStr">
        <is>
          <t>KOPRAN</t>
        </is>
      </c>
      <c r="C622" s="380" t="n">
        <v>124280</v>
      </c>
      <c r="D622" s="379" t="inlineStr">
        <is>
          <t>KOP IN</t>
        </is>
      </c>
      <c r="E622" s="379" t="inlineStr">
        <is>
          <t>INE082A01010</t>
        </is>
      </c>
    </row>
    <row r="623">
      <c r="A623" s="379" t="inlineStr">
        <is>
          <t>Kotak Mahindra Bank Ltd</t>
        </is>
      </c>
      <c r="B623" s="379" t="inlineStr">
        <is>
          <t>KOTAKBANK</t>
        </is>
      </c>
      <c r="C623" s="380" t="n">
        <v>100247</v>
      </c>
      <c r="D623" s="379" t="inlineStr">
        <is>
          <t>KMB IN</t>
        </is>
      </c>
      <c r="E623" s="379" t="inlineStr">
        <is>
          <t>INE237A01028</t>
        </is>
      </c>
    </row>
    <row r="624">
      <c r="A624" s="379" t="inlineStr">
        <is>
          <t>Kovai Medical Center &amp; Hospital Ltd</t>
        </is>
      </c>
      <c r="B624" s="379" t="inlineStr">
        <is>
          <t>KOVAI</t>
        </is>
      </c>
      <c r="C624" s="380" t="n">
        <v>123323</v>
      </c>
      <c r="D624" s="379" t="inlineStr">
        <is>
          <t>KMC IN</t>
        </is>
      </c>
      <c r="E624" s="379" t="inlineStr">
        <is>
          <t>INE177F01017</t>
        </is>
      </c>
    </row>
    <row r="625">
      <c r="A625" s="379" t="inlineStr">
        <is>
          <t>KPI Global Infrastructure Ltd</t>
        </is>
      </c>
      <c r="B625" s="379" t="inlineStr">
        <is>
          <t>KPIGLOBAL</t>
        </is>
      </c>
      <c r="C625" s="380" t="n">
        <v>293000</v>
      </c>
      <c r="D625" s="379" t="inlineStr">
        <is>
          <t>KPIG IN</t>
        </is>
      </c>
      <c r="E625" s="379" t="inlineStr">
        <is>
          <t>INE542W01017</t>
        </is>
      </c>
    </row>
    <row r="626">
      <c r="A626" s="379" t="inlineStr">
        <is>
          <t>KPIT Technologies Ltd</t>
        </is>
      </c>
      <c r="B626" s="379" t="inlineStr">
        <is>
          <t>KPITTECH</t>
        </is>
      </c>
      <c r="C626" s="380" t="n">
        <v>294320</v>
      </c>
      <c r="D626" s="379" t="inlineStr">
        <is>
          <t>KPITTECH IN</t>
        </is>
      </c>
      <c r="E626" s="379" t="inlineStr">
        <is>
          <t>INE04I401011</t>
        </is>
      </c>
    </row>
    <row r="627">
      <c r="A627" s="379" t="inlineStr">
        <is>
          <t>KRBL Ltd</t>
        </is>
      </c>
      <c r="B627" s="379" t="inlineStr">
        <is>
          <t>KRBL</t>
        </is>
      </c>
      <c r="C627" s="380" t="n">
        <v>130813</v>
      </c>
      <c r="D627" s="379" t="inlineStr">
        <is>
          <t>KRB IN</t>
        </is>
      </c>
      <c r="E627" s="379" t="inlineStr">
        <is>
          <t>INE001B01026</t>
        </is>
      </c>
    </row>
    <row r="628">
      <c r="A628" s="379" t="inlineStr">
        <is>
          <t>Krishana Phoschem Ltd</t>
        </is>
      </c>
      <c r="B628" s="379" t="inlineStr">
        <is>
          <t>KRISHANA</t>
        </is>
      </c>
      <c r="C628" s="380" t="n">
        <v>284634</v>
      </c>
      <c r="D628" s="379" t="inlineStr">
        <is>
          <t>KRISHANA IN</t>
        </is>
      </c>
      <c r="E628" s="379" t="inlineStr">
        <is>
          <t>INE506W01012</t>
        </is>
      </c>
    </row>
    <row r="629">
      <c r="A629" s="379" t="inlineStr">
        <is>
          <t>Krishna Institute of Medical Sciences Ltd</t>
        </is>
      </c>
      <c r="B629" s="379" t="inlineStr">
        <is>
          <t>KIMS</t>
        </is>
      </c>
      <c r="C629" s="380" t="n">
        <v>221645</v>
      </c>
      <c r="D629" s="379" t="inlineStr">
        <is>
          <t>KIMS IN</t>
        </is>
      </c>
      <c r="E629" s="379" t="inlineStr">
        <is>
          <t>INE967H01017</t>
        </is>
      </c>
    </row>
    <row r="630">
      <c r="A630" s="379" t="inlineStr">
        <is>
          <t>Kriti Industries (India) Ltd</t>
        </is>
      </c>
      <c r="B630" s="379" t="inlineStr">
        <is>
          <t>KRITI</t>
        </is>
      </c>
      <c r="C630" s="380" t="n">
        <v>126423</v>
      </c>
      <c r="D630" s="379" t="inlineStr">
        <is>
          <t>KAP IN</t>
        </is>
      </c>
      <c r="E630" s="379" t="inlineStr">
        <is>
          <t>INE479D01038</t>
        </is>
      </c>
    </row>
    <row r="631">
      <c r="A631" s="379" t="inlineStr">
        <is>
          <t>Krsnaa Diagnostics Ltd</t>
        </is>
      </c>
      <c r="B631" s="379" t="inlineStr">
        <is>
          <t>KRSNAA</t>
        </is>
      </c>
      <c r="C631" s="380" t="n">
        <v>302244</v>
      </c>
      <c r="D631" s="379" t="inlineStr">
        <is>
          <t>KRSNAA IN</t>
        </is>
      </c>
      <c r="E631" s="379" t="inlineStr">
        <is>
          <t>INE08LI01020</t>
        </is>
      </c>
    </row>
    <row r="632">
      <c r="A632" s="379" t="inlineStr">
        <is>
          <t>KSB Ltd</t>
        </is>
      </c>
      <c r="B632" s="379" t="inlineStr">
        <is>
          <t>KSB</t>
        </is>
      </c>
      <c r="C632" s="380" t="n">
        <v>100249</v>
      </c>
      <c r="D632" s="379" t="inlineStr">
        <is>
          <t>KSB IN</t>
        </is>
      </c>
      <c r="E632" s="379" t="inlineStr">
        <is>
          <t>INE999A01015</t>
        </is>
      </c>
    </row>
    <row r="633">
      <c r="A633" s="379" t="inlineStr">
        <is>
          <t>KSE Ltd</t>
        </is>
      </c>
      <c r="B633" s="379" t="inlineStr">
        <is>
          <t>KSE</t>
        </is>
      </c>
      <c r="C633" s="380" t="n">
        <v>119421</v>
      </c>
      <c r="D633" s="379" t="inlineStr">
        <is>
          <t>KRSE IN</t>
        </is>
      </c>
      <c r="E633" s="379" t="inlineStr">
        <is>
          <t>INE953E01014</t>
        </is>
      </c>
    </row>
    <row r="634">
      <c r="A634" s="379" t="inlineStr">
        <is>
          <t>Kuantum Papers Ltd</t>
        </is>
      </c>
      <c r="B634" s="379" t="inlineStr">
        <is>
          <t>KUANTUM</t>
        </is>
      </c>
      <c r="C634" s="380" t="n">
        <v>200572</v>
      </c>
      <c r="D634" s="379" t="inlineStr">
        <is>
          <t>KAUN IN</t>
        </is>
      </c>
      <c r="E634" s="379" t="inlineStr">
        <is>
          <t>INE529I01021</t>
        </is>
      </c>
    </row>
    <row r="635">
      <c r="A635" s="379" t="inlineStr">
        <is>
          <t>Kwality Pharmaceuticals Ltd</t>
        </is>
      </c>
      <c r="B635" s="379" t="n"/>
      <c r="C635" s="380" t="n">
        <v>281566</v>
      </c>
      <c r="D635" s="379" t="inlineStr">
        <is>
          <t>KWPL IN</t>
        </is>
      </c>
      <c r="E635" s="379" t="inlineStr">
        <is>
          <t>INE552U01010</t>
        </is>
      </c>
    </row>
    <row r="636">
      <c r="A636" s="379" t="inlineStr">
        <is>
          <t>L&amp;T Finance Holdings Ltd</t>
        </is>
      </c>
      <c r="B636" s="379" t="inlineStr">
        <is>
          <t>L&amp;TFH</t>
        </is>
      </c>
      <c r="C636" s="380" t="n">
        <v>220350</v>
      </c>
      <c r="D636" s="379" t="inlineStr">
        <is>
          <t>LTFH IN</t>
        </is>
      </c>
      <c r="E636" s="379" t="inlineStr">
        <is>
          <t>INE498L01015</t>
        </is>
      </c>
    </row>
    <row r="637">
      <c r="A637" s="379" t="inlineStr">
        <is>
          <t>L&amp;T Technology Services Ltd</t>
        </is>
      </c>
      <c r="B637" s="379" t="inlineStr">
        <is>
          <t>LTTS</t>
        </is>
      </c>
      <c r="C637" s="380" t="n">
        <v>268618</v>
      </c>
      <c r="D637" s="379" t="inlineStr">
        <is>
          <t>LTTS IN</t>
        </is>
      </c>
      <c r="E637" s="379" t="inlineStr">
        <is>
          <t>INE010V01017</t>
        </is>
      </c>
    </row>
    <row r="638">
      <c r="A638" s="379" t="inlineStr">
        <is>
          <t>La Opala RG Ltd</t>
        </is>
      </c>
      <c r="B638" s="379" t="inlineStr">
        <is>
          <t>LAOPALA</t>
        </is>
      </c>
      <c r="C638" s="380" t="n">
        <v>126947</v>
      </c>
      <c r="D638" s="379" t="inlineStr">
        <is>
          <t>LOG IN</t>
        </is>
      </c>
      <c r="E638" s="379" t="inlineStr">
        <is>
          <t>INE059D01020</t>
        </is>
      </c>
    </row>
    <row r="639">
      <c r="A639" s="379" t="inlineStr">
        <is>
          <t>Lakshmi Machine Works Ltd</t>
        </is>
      </c>
      <c r="B639" s="379" t="inlineStr">
        <is>
          <t>LAXMIMACH</t>
        </is>
      </c>
      <c r="C639" s="380" t="n">
        <v>100252</v>
      </c>
      <c r="D639" s="379" t="inlineStr">
        <is>
          <t>LMW IN</t>
        </is>
      </c>
      <c r="E639" s="379" t="inlineStr">
        <is>
          <t>INE269B01029</t>
        </is>
      </c>
    </row>
    <row r="640">
      <c r="A640" s="379" t="inlineStr">
        <is>
          <t>Lancer Containers Lines Ltd</t>
        </is>
      </c>
      <c r="B640" s="379" t="n"/>
      <c r="C640" s="380" t="n">
        <v>254912</v>
      </c>
      <c r="D640" s="379" t="inlineStr">
        <is>
          <t>LANCER IN</t>
        </is>
      </c>
      <c r="E640" s="379" t="inlineStr">
        <is>
          <t>INE359U01010</t>
        </is>
      </c>
    </row>
    <row r="641">
      <c r="A641" s="379" t="inlineStr">
        <is>
          <t>Larsen &amp; Toubro Infotech Ltd</t>
        </is>
      </c>
      <c r="B641" s="379" t="inlineStr">
        <is>
          <t>LTI</t>
        </is>
      </c>
      <c r="C641" s="380" t="n">
        <v>216156</v>
      </c>
      <c r="D641" s="379" t="inlineStr">
        <is>
          <t>LTI IN</t>
        </is>
      </c>
      <c r="E641" s="379" t="inlineStr">
        <is>
          <t>INE214T01019</t>
        </is>
      </c>
    </row>
    <row r="642">
      <c r="A642" s="379" t="inlineStr">
        <is>
          <t>Larsen &amp; Toubro Ltd</t>
        </is>
      </c>
      <c r="B642" s="379" t="inlineStr">
        <is>
          <t>LT</t>
        </is>
      </c>
      <c r="C642" s="380" t="n">
        <v>100510</v>
      </c>
      <c r="D642" s="379" t="inlineStr">
        <is>
          <t>LT IN</t>
        </is>
      </c>
      <c r="E642" s="379" t="inlineStr">
        <is>
          <t>INE018A01030</t>
        </is>
      </c>
    </row>
    <row r="643">
      <c r="A643" s="379" t="inlineStr">
        <is>
          <t>Latent View Analytics Ltd</t>
        </is>
      </c>
      <c r="B643" s="379" t="inlineStr">
        <is>
          <t>LATENTVIEW</t>
        </is>
      </c>
      <c r="C643" s="380" t="n">
        <v>232592</v>
      </c>
      <c r="D643" s="379" t="inlineStr">
        <is>
          <t>LATENTVI IN</t>
        </is>
      </c>
      <c r="E643" s="379" t="inlineStr">
        <is>
          <t>INE0I7C01011</t>
        </is>
      </c>
    </row>
    <row r="644">
      <c r="A644" s="379" t="inlineStr">
        <is>
          <t>Laurus Labs Ltd</t>
        </is>
      </c>
      <c r="B644" s="379" t="inlineStr">
        <is>
          <t>LAURUSLABS</t>
        </is>
      </c>
      <c r="C644" s="380" t="n">
        <v>271867</v>
      </c>
      <c r="D644" s="379" t="inlineStr">
        <is>
          <t>LAURUS IN</t>
        </is>
      </c>
      <c r="E644" s="379" t="inlineStr">
        <is>
          <t>INE947Q01028</t>
        </is>
      </c>
    </row>
    <row r="645">
      <c r="A645" s="379" t="inlineStr">
        <is>
          <t>Laxmi Organic Industries Ltd</t>
        </is>
      </c>
      <c r="B645" s="379" t="inlineStr">
        <is>
          <t>LXCHEM</t>
        </is>
      </c>
      <c r="C645" s="380" t="n">
        <v>208615</v>
      </c>
      <c r="D645" s="379" t="inlineStr">
        <is>
          <t>LXCHEM IN</t>
        </is>
      </c>
      <c r="E645" s="379" t="inlineStr">
        <is>
          <t>INE576O01020</t>
        </is>
      </c>
    </row>
    <row r="646">
      <c r="A646" s="379" t="inlineStr">
        <is>
          <t>Lemon Tree Hotels Ltd</t>
        </is>
      </c>
      <c r="B646" s="379" t="inlineStr">
        <is>
          <t>LEMONTREE</t>
        </is>
      </c>
      <c r="C646" s="380" t="n">
        <v>213429</v>
      </c>
      <c r="D646" s="379" t="inlineStr">
        <is>
          <t>LEMONTRE IN</t>
        </is>
      </c>
      <c r="E646" s="379" t="inlineStr">
        <is>
          <t>INE970X01018</t>
        </is>
      </c>
    </row>
    <row r="647">
      <c r="A647" s="379" t="inlineStr">
        <is>
          <t>LG Balakrishnan &amp; Bros Ltd</t>
        </is>
      </c>
      <c r="B647" s="379" t="inlineStr">
        <is>
          <t>LGBBROSLTD</t>
        </is>
      </c>
      <c r="C647" s="380" t="n">
        <v>100250</v>
      </c>
      <c r="D647" s="379" t="inlineStr">
        <is>
          <t>LGBB IN</t>
        </is>
      </c>
      <c r="E647" s="379" t="inlineStr">
        <is>
          <t>INE337A01034</t>
        </is>
      </c>
    </row>
    <row r="648">
      <c r="A648" s="379" t="inlineStr">
        <is>
          <t>LIC Housing Finance Ltd</t>
        </is>
      </c>
      <c r="B648" s="379" t="inlineStr">
        <is>
          <t>LICHSGFIN</t>
        </is>
      </c>
      <c r="C648" s="380" t="n">
        <v>100253</v>
      </c>
      <c r="D648" s="379" t="inlineStr">
        <is>
          <t>LICHF IN</t>
        </is>
      </c>
      <c r="E648" s="379" t="inlineStr">
        <is>
          <t>INE115A01026</t>
        </is>
      </c>
    </row>
    <row r="649">
      <c r="A649" s="379" t="inlineStr">
        <is>
          <t>Likhitha Infrastructure Ltd</t>
        </is>
      </c>
      <c r="B649" s="379" t="inlineStr">
        <is>
          <t>LIKHITHA</t>
        </is>
      </c>
      <c r="C649" s="380" t="n">
        <v>297009</v>
      </c>
      <c r="D649" s="379" t="inlineStr">
        <is>
          <t>LIKHITHA IN</t>
        </is>
      </c>
      <c r="E649" s="379" t="inlineStr">
        <is>
          <t>INE060901019</t>
        </is>
      </c>
    </row>
    <row r="650">
      <c r="A650" s="379" t="inlineStr">
        <is>
          <t>Lincoln Pharmaceuticals Ltd</t>
        </is>
      </c>
      <c r="B650" s="379" t="inlineStr">
        <is>
          <t>LINCOLN</t>
        </is>
      </c>
      <c r="C650" s="380" t="n">
        <v>131633</v>
      </c>
      <c r="D650" s="379" t="inlineStr">
        <is>
          <t>LPH IN</t>
        </is>
      </c>
      <c r="E650" s="379" t="inlineStr">
        <is>
          <t>INE405C01035</t>
        </is>
      </c>
    </row>
    <row r="651">
      <c r="A651" s="379" t="inlineStr">
        <is>
          <t>Linde India Ltd</t>
        </is>
      </c>
      <c r="B651" s="379" t="inlineStr">
        <is>
          <t>LINDEINDIA</t>
        </is>
      </c>
      <c r="C651" s="380" t="n">
        <v>123457</v>
      </c>
      <c r="D651" s="379" t="inlineStr">
        <is>
          <t>LIIL IN</t>
        </is>
      </c>
      <c r="E651" s="379" t="inlineStr">
        <is>
          <t>INE473A01011</t>
        </is>
      </c>
    </row>
    <row r="652">
      <c r="A652" s="379" t="inlineStr">
        <is>
          <t>Lloyds Metals &amp; Energy Ltd</t>
        </is>
      </c>
      <c r="B652" s="379" t="inlineStr">
        <is>
          <t>LLOYDMETAL</t>
        </is>
      </c>
      <c r="C652" s="380" t="n">
        <v>112455</v>
      </c>
      <c r="D652" s="379" t="inlineStr">
        <is>
          <t>LYDM IN</t>
        </is>
      </c>
      <c r="E652" s="379" t="inlineStr">
        <is>
          <t>INE281B01032</t>
        </is>
      </c>
    </row>
    <row r="653">
      <c r="A653" s="379" t="inlineStr">
        <is>
          <t>Lloyds Steels Industries Ltd</t>
        </is>
      </c>
      <c r="B653" s="379" t="inlineStr">
        <is>
          <t>LSIL</t>
        </is>
      </c>
      <c r="C653" s="380" t="n">
        <v>282112</v>
      </c>
      <c r="D653" s="379" t="inlineStr">
        <is>
          <t>LSILIN IN</t>
        </is>
      </c>
      <c r="E653" s="379" t="inlineStr">
        <is>
          <t>INE093R01011</t>
        </is>
      </c>
    </row>
    <row r="654">
      <c r="A654" s="379" t="inlineStr">
        <is>
          <t>Loyal Textile Mills Ltd</t>
        </is>
      </c>
      <c r="B654" s="379" t="n"/>
      <c r="C654" s="380" t="n">
        <v>114036</v>
      </c>
      <c r="D654" s="379" t="inlineStr">
        <is>
          <t>LOYL IN</t>
        </is>
      </c>
      <c r="E654" s="379" t="inlineStr">
        <is>
          <t>INE970D01010</t>
        </is>
      </c>
    </row>
    <row r="655">
      <c r="A655" s="379" t="inlineStr">
        <is>
          <t>LT Foods Ltd</t>
        </is>
      </c>
      <c r="B655" s="379" t="inlineStr">
        <is>
          <t>DAAWAT</t>
        </is>
      </c>
      <c r="C655" s="380" t="n">
        <v>132783</v>
      </c>
      <c r="D655" s="379" t="inlineStr">
        <is>
          <t>LTFO IN</t>
        </is>
      </c>
      <c r="E655" s="379" t="inlineStr">
        <is>
          <t>INE818H01020</t>
        </is>
      </c>
    </row>
    <row r="656">
      <c r="A656" s="379" t="inlineStr">
        <is>
          <t>Lumax Auto Technologies Ltd</t>
        </is>
      </c>
      <c r="B656" s="379" t="inlineStr">
        <is>
          <t>LUMAXTECH</t>
        </is>
      </c>
      <c r="C656" s="380" t="n">
        <v>132796</v>
      </c>
      <c r="D656" s="379" t="inlineStr">
        <is>
          <t>LMAX IN</t>
        </is>
      </c>
      <c r="E656" s="379" t="inlineStr">
        <is>
          <t>INE872H01027</t>
        </is>
      </c>
    </row>
    <row r="657">
      <c r="A657" s="379" t="inlineStr">
        <is>
          <t>Lumax Industries Ltd</t>
        </is>
      </c>
      <c r="B657" s="379" t="inlineStr">
        <is>
          <t>LUMAXIND</t>
        </is>
      </c>
      <c r="C657" s="380" t="n">
        <v>117206</v>
      </c>
      <c r="D657" s="379" t="inlineStr">
        <is>
          <t>LUMX IN</t>
        </is>
      </c>
      <c r="E657" s="379" t="inlineStr">
        <is>
          <t>INE162B01018</t>
        </is>
      </c>
    </row>
    <row r="658">
      <c r="A658" s="379" t="inlineStr">
        <is>
          <t>Lupin Ltd</t>
        </is>
      </c>
      <c r="B658" s="379" t="inlineStr">
        <is>
          <t>LUPIN</t>
        </is>
      </c>
      <c r="C658" s="380" t="n">
        <v>100257</v>
      </c>
      <c r="D658" s="379" t="inlineStr">
        <is>
          <t>LPC IN</t>
        </is>
      </c>
      <c r="E658" s="379" t="inlineStr">
        <is>
          <t>INE326A01037</t>
        </is>
      </c>
    </row>
    <row r="659">
      <c r="A659" s="379" t="inlineStr">
        <is>
          <t>Lux Industries Ltd</t>
        </is>
      </c>
      <c r="B659" s="379" t="inlineStr">
        <is>
          <t>LUXIND</t>
        </is>
      </c>
      <c r="C659" s="380" t="n">
        <v>213488</v>
      </c>
      <c r="D659" s="379" t="inlineStr">
        <is>
          <t>LUX IN</t>
        </is>
      </c>
      <c r="E659" s="379" t="inlineStr">
        <is>
          <t>INE150G01020</t>
        </is>
      </c>
    </row>
    <row r="660">
      <c r="A660" s="379" t="inlineStr">
        <is>
          <t>Lyka Labs Ltd</t>
        </is>
      </c>
      <c r="B660" s="379" t="inlineStr">
        <is>
          <t>LYKALABS</t>
        </is>
      </c>
      <c r="C660" s="380" t="n">
        <v>100259</v>
      </c>
      <c r="D660" s="379" t="inlineStr">
        <is>
          <t>LYKA IN</t>
        </is>
      </c>
      <c r="E660" s="379" t="inlineStr">
        <is>
          <t>INE933A01014</t>
        </is>
      </c>
    </row>
    <row r="661">
      <c r="A661" s="379" t="inlineStr">
        <is>
          <t>Mac Charles (India) Ltd</t>
        </is>
      </c>
      <c r="B661" s="379" t="n"/>
      <c r="C661" s="380" t="n">
        <v>107836</v>
      </c>
      <c r="D661" s="379" t="inlineStr">
        <is>
          <t>MAC IN</t>
        </is>
      </c>
      <c r="E661" s="379" t="inlineStr">
        <is>
          <t>INE435D01014</t>
        </is>
      </c>
    </row>
    <row r="662">
      <c r="A662" s="379" t="inlineStr">
        <is>
          <t>Macrotech Developers Ltd</t>
        </is>
      </c>
      <c r="B662" s="379" t="inlineStr">
        <is>
          <t>LODHA</t>
        </is>
      </c>
      <c r="C662" s="380" t="n">
        <v>219442</v>
      </c>
      <c r="D662" s="379" t="inlineStr">
        <is>
          <t>LODHA IN</t>
        </is>
      </c>
      <c r="E662" s="379" t="inlineStr">
        <is>
          <t>INE670K01029</t>
        </is>
      </c>
    </row>
    <row r="663">
      <c r="A663" s="379" t="inlineStr">
        <is>
          <t>Mahanagar Gas Ltd</t>
        </is>
      </c>
      <c r="B663" s="379" t="inlineStr">
        <is>
          <t>MGL</t>
        </is>
      </c>
      <c r="C663" s="380" t="n">
        <v>208661</v>
      </c>
      <c r="D663" s="379" t="inlineStr">
        <is>
          <t>MAHGL IN</t>
        </is>
      </c>
      <c r="E663" s="379" t="inlineStr">
        <is>
          <t>INE002S01010</t>
        </is>
      </c>
    </row>
    <row r="664">
      <c r="A664" s="379" t="inlineStr">
        <is>
          <t>Mahanagar Telephone Nigam Ltd</t>
        </is>
      </c>
      <c r="B664" s="379" t="inlineStr">
        <is>
          <t>MTNL</t>
        </is>
      </c>
      <c r="C664" s="380" t="n">
        <v>100108</v>
      </c>
      <c r="D664" s="379" t="inlineStr">
        <is>
          <t>MTNL IN</t>
        </is>
      </c>
      <c r="E664" s="379" t="inlineStr">
        <is>
          <t>INE153A01019</t>
        </is>
      </c>
    </row>
    <row r="665">
      <c r="A665" s="379" t="inlineStr">
        <is>
          <t>Maharashtra Scooters Ltd</t>
        </is>
      </c>
      <c r="B665" s="379" t="inlineStr">
        <is>
          <t>MAHSCOOTER</t>
        </is>
      </c>
      <c r="C665" s="380" t="n">
        <v>100266</v>
      </c>
      <c r="D665" s="379" t="inlineStr">
        <is>
          <t>MHSC IN</t>
        </is>
      </c>
      <c r="E665" s="379" t="inlineStr">
        <is>
          <t>INE288A01013</t>
        </is>
      </c>
    </row>
    <row r="666">
      <c r="A666" s="379" t="inlineStr">
        <is>
          <t>Maharashtra Seamless Ltd</t>
        </is>
      </c>
      <c r="B666" s="379" t="inlineStr">
        <is>
          <t>MAHSEAMLES</t>
        </is>
      </c>
      <c r="C666" s="380" t="n">
        <v>100265</v>
      </c>
      <c r="D666" s="379" t="inlineStr">
        <is>
          <t>MHS IN</t>
        </is>
      </c>
      <c r="E666" s="379" t="inlineStr">
        <is>
          <t>INE271B01025</t>
        </is>
      </c>
    </row>
    <row r="667">
      <c r="A667" s="379" t="inlineStr">
        <is>
          <t>Mahindra &amp; Mahindra Financial Services Ltd</t>
        </is>
      </c>
      <c r="B667" s="379" t="inlineStr">
        <is>
          <t>M&amp;MFIN</t>
        </is>
      </c>
      <c r="C667" s="380" t="n">
        <v>132720</v>
      </c>
      <c r="D667" s="379" t="inlineStr">
        <is>
          <t>MMFS IN</t>
        </is>
      </c>
      <c r="E667" s="379" t="inlineStr">
        <is>
          <t>INE774D01024</t>
        </is>
      </c>
    </row>
    <row r="668">
      <c r="A668" s="379" t="inlineStr">
        <is>
          <t>Mahindra &amp; Mahindra Ltd</t>
        </is>
      </c>
      <c r="B668" s="379" t="inlineStr">
        <is>
          <t>M&amp;M</t>
        </is>
      </c>
      <c r="C668" s="380" t="n">
        <v>100520</v>
      </c>
      <c r="D668" s="379" t="inlineStr">
        <is>
          <t>MM IN</t>
        </is>
      </c>
      <c r="E668" s="379" t="inlineStr">
        <is>
          <t>INE101A01026</t>
        </is>
      </c>
    </row>
    <row r="669">
      <c r="A669" s="379" t="inlineStr">
        <is>
          <t>Mahindra CIE Automotive Ltd</t>
        </is>
      </c>
      <c r="B669" s="379" t="inlineStr">
        <is>
          <t>MAHINDCIE</t>
        </is>
      </c>
      <c r="C669" s="380" t="n">
        <v>132756</v>
      </c>
      <c r="D669" s="379" t="inlineStr">
        <is>
          <t>MACA IN</t>
        </is>
      </c>
      <c r="E669" s="379" t="inlineStr">
        <is>
          <t>INE536H01010</t>
        </is>
      </c>
    </row>
    <row r="670">
      <c r="A670" s="379" t="inlineStr">
        <is>
          <t>Mahindra Holidays &amp; Resorts India Ltd</t>
        </is>
      </c>
      <c r="B670" s="379" t="inlineStr">
        <is>
          <t>MHRIL</t>
        </is>
      </c>
      <c r="C670" s="380" t="n">
        <v>200082</v>
      </c>
      <c r="D670" s="379" t="inlineStr">
        <is>
          <t>MHRL IN</t>
        </is>
      </c>
      <c r="E670" s="379" t="inlineStr">
        <is>
          <t>INE998I01010</t>
        </is>
      </c>
    </row>
    <row r="671">
      <c r="A671" s="379" t="inlineStr">
        <is>
          <t>Mahindra Lifespace Developers Ltd</t>
        </is>
      </c>
      <c r="B671" s="379" t="inlineStr">
        <is>
          <t>MAHLIFE</t>
        </is>
      </c>
      <c r="C671" s="380" t="n">
        <v>132313</v>
      </c>
      <c r="D671" s="379" t="inlineStr">
        <is>
          <t>MLIFE IN</t>
        </is>
      </c>
      <c r="E671" s="379" t="inlineStr">
        <is>
          <t>INE813A01018</t>
        </is>
      </c>
    </row>
    <row r="672">
      <c r="A672" s="379" t="inlineStr">
        <is>
          <t>Mahindra Logistics Ltd</t>
        </is>
      </c>
      <c r="B672" s="379" t="inlineStr">
        <is>
          <t>MAHLOG</t>
        </is>
      </c>
      <c r="C672" s="380" t="n">
        <v>218067</v>
      </c>
      <c r="D672" s="379" t="inlineStr">
        <is>
          <t>MAHLOG IN</t>
        </is>
      </c>
      <c r="E672" s="379" t="inlineStr">
        <is>
          <t>INE766P01016</t>
        </is>
      </c>
    </row>
    <row r="673">
      <c r="A673" s="379" t="inlineStr">
        <is>
          <t>Maithan Alloys Ltd</t>
        </is>
      </c>
      <c r="B673" s="379" t="inlineStr">
        <is>
          <t>MAITHANALL</t>
        </is>
      </c>
      <c r="C673" s="380" t="n">
        <v>200556</v>
      </c>
      <c r="D673" s="379" t="inlineStr">
        <is>
          <t>MAIT IN</t>
        </is>
      </c>
      <c r="E673" s="379" t="inlineStr">
        <is>
          <t>INE683C01011</t>
        </is>
      </c>
    </row>
    <row r="674">
      <c r="A674" s="379" t="inlineStr">
        <is>
          <t>Man Industries (India) Ltd</t>
        </is>
      </c>
      <c r="B674" s="379" t="inlineStr">
        <is>
          <t>MANINDS</t>
        </is>
      </c>
      <c r="C674" s="380" t="n">
        <v>113269</v>
      </c>
      <c r="D674" s="379" t="inlineStr">
        <is>
          <t>MAN IN</t>
        </is>
      </c>
      <c r="E674" s="379" t="inlineStr">
        <is>
          <t>INE993A01026</t>
        </is>
      </c>
    </row>
    <row r="675">
      <c r="A675" s="379" t="inlineStr">
        <is>
          <t>Man InfraConstruction Ltd</t>
        </is>
      </c>
      <c r="B675" s="379" t="inlineStr">
        <is>
          <t>MANINFRA</t>
        </is>
      </c>
      <c r="C675" s="380" t="n">
        <v>200083</v>
      </c>
      <c r="D675" s="379" t="inlineStr">
        <is>
          <t>MINF IN</t>
        </is>
      </c>
      <c r="E675" s="379" t="inlineStr">
        <is>
          <t>INE949H01023</t>
        </is>
      </c>
    </row>
    <row r="676">
      <c r="A676" s="379" t="inlineStr">
        <is>
          <t>Manali Petrochemicals Ltd</t>
        </is>
      </c>
      <c r="B676" s="379" t="inlineStr">
        <is>
          <t>MANALIPETC</t>
        </is>
      </c>
      <c r="C676" s="380" t="n">
        <v>100268</v>
      </c>
      <c r="D676" s="379" t="inlineStr">
        <is>
          <t>MPCH IN</t>
        </is>
      </c>
      <c r="E676" s="379" t="inlineStr">
        <is>
          <t>INE201A01024</t>
        </is>
      </c>
    </row>
    <row r="677">
      <c r="A677" s="379" t="inlineStr">
        <is>
          <t>Manappuram Finance Ltd</t>
        </is>
      </c>
      <c r="B677" s="379" t="inlineStr">
        <is>
          <t>MANAPPURAM</t>
        </is>
      </c>
      <c r="C677" s="380" t="n">
        <v>131213</v>
      </c>
      <c r="D677" s="379" t="inlineStr">
        <is>
          <t>MGFL IN</t>
        </is>
      </c>
      <c r="E677" s="379" t="inlineStr">
        <is>
          <t>INE522D01027</t>
        </is>
      </c>
    </row>
    <row r="678">
      <c r="A678" s="379" t="inlineStr">
        <is>
          <t>Mangalam Cement Ltd</t>
        </is>
      </c>
      <c r="B678" s="379" t="inlineStr">
        <is>
          <t>MANGLMCEM</t>
        </is>
      </c>
      <c r="C678" s="380" t="n">
        <v>102157</v>
      </c>
      <c r="D678" s="379" t="inlineStr">
        <is>
          <t>MGC IN</t>
        </is>
      </c>
      <c r="E678" s="379" t="inlineStr">
        <is>
          <t>INE347A01017</t>
        </is>
      </c>
    </row>
    <row r="679">
      <c r="A679" s="379" t="inlineStr">
        <is>
          <t>Mangalam Industrial Finance Ltd</t>
        </is>
      </c>
      <c r="B679" s="379" t="n"/>
      <c r="C679" s="380" t="n">
        <v>244361</v>
      </c>
      <c r="D679" s="379" t="inlineStr">
        <is>
          <t>MIFL IN</t>
        </is>
      </c>
      <c r="E679" s="379" t="inlineStr">
        <is>
          <t>INE717C01025</t>
        </is>
      </c>
    </row>
    <row r="680">
      <c r="A680" s="379" t="inlineStr">
        <is>
          <t>Mangalam Organics Ltd</t>
        </is>
      </c>
      <c r="B680" s="379" t="inlineStr">
        <is>
          <t>MANORG</t>
        </is>
      </c>
      <c r="C680" s="380" t="n">
        <v>114418</v>
      </c>
      <c r="D680" s="379" t="inlineStr">
        <is>
          <t>MANORG IN</t>
        </is>
      </c>
      <c r="E680" s="379" t="inlineStr">
        <is>
          <t>INE370D01013</t>
        </is>
      </c>
    </row>
    <row r="681">
      <c r="A681" s="379" t="inlineStr">
        <is>
          <t>Mangalore Chemicals &amp; Fertilizers Ltd</t>
        </is>
      </c>
      <c r="B681" s="379" t="inlineStr">
        <is>
          <t>MANGCHEFER</t>
        </is>
      </c>
      <c r="C681" s="380" t="n">
        <v>130011</v>
      </c>
      <c r="D681" s="379" t="inlineStr">
        <is>
          <t>MCF IN</t>
        </is>
      </c>
      <c r="E681" s="379" t="inlineStr">
        <is>
          <t>INE558B01017</t>
        </is>
      </c>
    </row>
    <row r="682">
      <c r="A682" s="379" t="inlineStr">
        <is>
          <t>Mangalore Refinery And Petrochemicals Ltd</t>
        </is>
      </c>
      <c r="B682" s="379" t="inlineStr">
        <is>
          <t>MRPL</t>
        </is>
      </c>
      <c r="C682" s="380" t="n">
        <v>100109</v>
      </c>
      <c r="D682" s="379" t="inlineStr">
        <is>
          <t>MRPL IN</t>
        </is>
      </c>
      <c r="E682" s="379" t="inlineStr">
        <is>
          <t>INE103A01014</t>
        </is>
      </c>
    </row>
    <row r="683">
      <c r="A683" s="379" t="inlineStr">
        <is>
          <t>Manorama Industries Ltd</t>
        </is>
      </c>
      <c r="B683" s="379" t="n"/>
      <c r="C683" s="380" t="n">
        <v>289858</v>
      </c>
      <c r="D683" s="379" t="inlineStr">
        <is>
          <t>MANORAMA IN</t>
        </is>
      </c>
      <c r="E683" s="379" t="inlineStr">
        <is>
          <t>INE00VM01010</t>
        </is>
      </c>
    </row>
    <row r="684">
      <c r="A684" s="379" t="inlineStr">
        <is>
          <t>Marathon Nextgen Realty Ltd</t>
        </is>
      </c>
      <c r="B684" s="379" t="inlineStr">
        <is>
          <t>MARATHON</t>
        </is>
      </c>
      <c r="C684" s="380" t="n">
        <v>103101</v>
      </c>
      <c r="D684" s="379" t="inlineStr">
        <is>
          <t>MNRT IN</t>
        </is>
      </c>
      <c r="E684" s="379" t="inlineStr">
        <is>
          <t>INE182D01020</t>
        </is>
      </c>
    </row>
    <row r="685">
      <c r="A685" s="379" t="inlineStr">
        <is>
          <t>Marico Ltd</t>
        </is>
      </c>
      <c r="B685" s="379" t="inlineStr">
        <is>
          <t>MARICO</t>
        </is>
      </c>
      <c r="C685" s="380" t="n">
        <v>131642</v>
      </c>
      <c r="D685" s="379" t="inlineStr">
        <is>
          <t>MRCO IN</t>
        </is>
      </c>
      <c r="E685" s="379" t="inlineStr">
        <is>
          <t>INE196A01026</t>
        </is>
      </c>
    </row>
    <row r="686">
      <c r="A686" s="379" t="inlineStr">
        <is>
          <t>Marine Electricals (India) Ltd</t>
        </is>
      </c>
      <c r="B686" s="379" t="inlineStr">
        <is>
          <t>MARINE</t>
        </is>
      </c>
      <c r="C686" s="380" t="n">
        <v>291578</v>
      </c>
      <c r="D686" s="379" t="inlineStr">
        <is>
          <t>MARINE IN</t>
        </is>
      </c>
      <c r="E686" s="379" t="inlineStr">
        <is>
          <t>INE01JE01028</t>
        </is>
      </c>
    </row>
    <row r="687">
      <c r="A687" s="379" t="inlineStr">
        <is>
          <t>Marksans Pharma Ltd</t>
        </is>
      </c>
      <c r="B687" s="379" t="inlineStr">
        <is>
          <t>MARKSANS</t>
        </is>
      </c>
      <c r="C687" s="380" t="n">
        <v>124404</v>
      </c>
      <c r="D687" s="379" t="inlineStr">
        <is>
          <t>MRKS IN</t>
        </is>
      </c>
      <c r="E687" s="379" t="inlineStr">
        <is>
          <t>INE750C01026</t>
        </is>
      </c>
    </row>
    <row r="688">
      <c r="A688" s="379" t="inlineStr">
        <is>
          <t>Maruti Suzuki India Ltd</t>
        </is>
      </c>
      <c r="B688" s="379" t="inlineStr">
        <is>
          <t>MARUTI</t>
        </is>
      </c>
      <c r="C688" s="380" t="n">
        <v>132500</v>
      </c>
      <c r="D688" s="379" t="inlineStr">
        <is>
          <t>MSIL IN</t>
        </is>
      </c>
      <c r="E688" s="379" t="inlineStr">
        <is>
          <t>INE585B01010</t>
        </is>
      </c>
    </row>
    <row r="689">
      <c r="A689" s="379" t="inlineStr">
        <is>
          <t>MAS Financial Services Ltd</t>
        </is>
      </c>
      <c r="B689" s="379" t="inlineStr">
        <is>
          <t>MASFIN</t>
        </is>
      </c>
      <c r="C689" s="380" t="n">
        <v>226625</v>
      </c>
      <c r="D689" s="379" t="inlineStr">
        <is>
          <t>MASFIN IN</t>
        </is>
      </c>
      <c r="E689" s="379" t="inlineStr">
        <is>
          <t>INE348L01012</t>
        </is>
      </c>
    </row>
    <row r="690">
      <c r="A690" s="379" t="inlineStr">
        <is>
          <t>Mastek Ltd</t>
        </is>
      </c>
      <c r="B690" s="379" t="inlineStr">
        <is>
          <t>MASTEK</t>
        </is>
      </c>
      <c r="C690" s="380" t="n">
        <v>123704</v>
      </c>
      <c r="D690" s="379" t="inlineStr">
        <is>
          <t>MAST IN</t>
        </is>
      </c>
      <c r="E690" s="379" t="inlineStr">
        <is>
          <t>INE759A01021</t>
        </is>
      </c>
    </row>
    <row r="691">
      <c r="A691" s="379" t="inlineStr">
        <is>
          <t>MatrimonyCom Ltd</t>
        </is>
      </c>
      <c r="B691" s="379" t="inlineStr">
        <is>
          <t>MATRIMONY</t>
        </is>
      </c>
      <c r="C691" s="380" t="n">
        <v>223140</v>
      </c>
      <c r="D691" s="379" t="inlineStr">
        <is>
          <t>MATRIM IN</t>
        </is>
      </c>
      <c r="E691" s="379" t="inlineStr">
        <is>
          <t>INE866R01028</t>
        </is>
      </c>
    </row>
    <row r="692">
      <c r="A692" s="379" t="inlineStr">
        <is>
          <t>Max Financial Services Ltd</t>
        </is>
      </c>
      <c r="B692" s="379" t="inlineStr">
        <is>
          <t>MFSL</t>
        </is>
      </c>
      <c r="C692" s="380" t="n">
        <v>100271</v>
      </c>
      <c r="D692" s="379" t="inlineStr">
        <is>
          <t>MAXF IN</t>
        </is>
      </c>
      <c r="E692" s="379" t="inlineStr">
        <is>
          <t>INE180A01020</t>
        </is>
      </c>
    </row>
    <row r="693">
      <c r="A693" s="379" t="inlineStr">
        <is>
          <t>Max Healthcare Institute Ltd</t>
        </is>
      </c>
      <c r="B693" s="379" t="inlineStr">
        <is>
          <t>MAXHEALTH</t>
        </is>
      </c>
      <c r="C693" s="380" t="n">
        <v>218071</v>
      </c>
      <c r="D693" s="379" t="inlineStr">
        <is>
          <t>MAXHEALT IN</t>
        </is>
      </c>
      <c r="E693" s="379" t="inlineStr">
        <is>
          <t>INE027H01010</t>
        </is>
      </c>
    </row>
    <row r="694">
      <c r="A694" s="379" t="inlineStr">
        <is>
          <t>Max Ventures And Industries Ltd</t>
        </is>
      </c>
      <c r="B694" s="379" t="inlineStr">
        <is>
          <t>MAXVIL</t>
        </is>
      </c>
      <c r="C694" s="380" t="n">
        <v>279685</v>
      </c>
      <c r="D694" s="379" t="inlineStr">
        <is>
          <t>MVIL IN</t>
        </is>
      </c>
      <c r="E694" s="379" t="inlineStr">
        <is>
          <t>INE154U01015</t>
        </is>
      </c>
    </row>
    <row r="695">
      <c r="A695" s="379" t="inlineStr">
        <is>
          <t>Mayur Uniquoters Ltd</t>
        </is>
      </c>
      <c r="B695" s="379" t="inlineStr">
        <is>
          <t>MAYURUNIQ</t>
        </is>
      </c>
      <c r="C695" s="380" t="n">
        <v>122249</v>
      </c>
      <c r="D695" s="379" t="inlineStr">
        <is>
          <t>MUNI IN</t>
        </is>
      </c>
      <c r="E695" s="379" t="inlineStr">
        <is>
          <t>INE040D01038</t>
        </is>
      </c>
    </row>
    <row r="696">
      <c r="A696" s="379" t="inlineStr">
        <is>
          <t>Mazagon Dock Shipbuilders Ltd</t>
        </is>
      </c>
      <c r="B696" s="379" t="inlineStr">
        <is>
          <t>MAZDOCK</t>
        </is>
      </c>
      <c r="C696" s="380" t="n">
        <v>219700</v>
      </c>
      <c r="D696" s="379" t="inlineStr">
        <is>
          <t>MAZDOCKS IN</t>
        </is>
      </c>
      <c r="E696" s="379" t="inlineStr">
        <is>
          <t>INE249Z01012</t>
        </is>
      </c>
    </row>
    <row r="697">
      <c r="A697" s="379" t="inlineStr">
        <is>
          <t>Media Matrix Worldwide Ltd</t>
        </is>
      </c>
      <c r="B697" s="379" t="inlineStr">
        <is>
          <t>MMWL</t>
        </is>
      </c>
      <c r="C697" s="380" t="n">
        <v>112267</v>
      </c>
      <c r="D697" s="379" t="inlineStr">
        <is>
          <t>GFL IN</t>
        </is>
      </c>
      <c r="E697" s="379" t="inlineStr">
        <is>
          <t>INE200D01020</t>
        </is>
      </c>
    </row>
    <row r="698">
      <c r="A698" s="379" t="inlineStr">
        <is>
          <t>Medicamen Biotech Ltd</t>
        </is>
      </c>
      <c r="B698" s="379" t="inlineStr">
        <is>
          <t>MEDICAMEQ</t>
        </is>
      </c>
      <c r="C698" s="380" t="n">
        <v>131146</v>
      </c>
      <c r="D698" s="379" t="inlineStr">
        <is>
          <t>MDCB IN</t>
        </is>
      </c>
      <c r="E698" s="379" t="inlineStr">
        <is>
          <t>INE646B01010</t>
        </is>
      </c>
    </row>
    <row r="699">
      <c r="A699" s="379" t="inlineStr">
        <is>
          <t>Medplus Health Services Ltd</t>
        </is>
      </c>
      <c r="B699" s="379" t="inlineStr">
        <is>
          <t>MEDPLUS</t>
        </is>
      </c>
      <c r="C699" s="380" t="n">
        <v>232604</v>
      </c>
      <c r="D699" s="379" t="inlineStr">
        <is>
          <t>MEDPLUS IN</t>
        </is>
      </c>
      <c r="E699" s="379" t="inlineStr">
        <is>
          <t>INE804L01022</t>
        </is>
      </c>
    </row>
    <row r="700">
      <c r="A700" s="379" t="inlineStr">
        <is>
          <t>Megasoft Ltd</t>
        </is>
      </c>
      <c r="B700" s="379" t="inlineStr">
        <is>
          <t>MEGASOFT</t>
        </is>
      </c>
      <c r="C700" s="380" t="n">
        <v>132408</v>
      </c>
      <c r="D700" s="379" t="inlineStr">
        <is>
          <t>MGSF IN</t>
        </is>
      </c>
      <c r="E700" s="379" t="inlineStr">
        <is>
          <t>INE933B01012</t>
        </is>
      </c>
    </row>
    <row r="701">
      <c r="A701" s="379" t="inlineStr">
        <is>
          <t>Meghmani Finechem Ltd</t>
        </is>
      </c>
      <c r="B701" s="379" t="inlineStr">
        <is>
          <t>MFL</t>
        </is>
      </c>
      <c r="C701" s="380" t="n">
        <v>210481</v>
      </c>
      <c r="D701" s="379" t="inlineStr">
        <is>
          <t>MEGHFL IN</t>
        </is>
      </c>
      <c r="E701" s="379" t="inlineStr">
        <is>
          <t>INE071N01016</t>
        </is>
      </c>
    </row>
    <row r="702">
      <c r="A702" s="379" t="inlineStr">
        <is>
          <t>Meghmani Organics Ltd</t>
        </is>
      </c>
      <c r="B702" s="379" t="inlineStr">
        <is>
          <t>MOL</t>
        </is>
      </c>
      <c r="C702" s="380" t="n">
        <v>302222</v>
      </c>
      <c r="D702" s="379" t="inlineStr">
        <is>
          <t>MEGH IN</t>
        </is>
      </c>
      <c r="E702" s="379" t="inlineStr">
        <is>
          <t>INE0CT101020</t>
        </is>
      </c>
    </row>
    <row r="703">
      <c r="A703" s="379" t="inlineStr">
        <is>
          <t>Metro Brands Ltd</t>
        </is>
      </c>
      <c r="B703" s="379" t="inlineStr">
        <is>
          <t>METROBRAND</t>
        </is>
      </c>
      <c r="C703" s="380" t="n">
        <v>208727</v>
      </c>
      <c r="D703" s="379" t="inlineStr">
        <is>
          <t>METROBRA IN</t>
        </is>
      </c>
      <c r="E703" s="379" t="inlineStr">
        <is>
          <t>INE317I01021</t>
        </is>
      </c>
    </row>
    <row r="704">
      <c r="A704" s="379" t="inlineStr">
        <is>
          <t>Metropolis Healthcare Ltd</t>
        </is>
      </c>
      <c r="B704" s="379" t="inlineStr">
        <is>
          <t>METROPOLIS</t>
        </is>
      </c>
      <c r="C704" s="380" t="n">
        <v>235506</v>
      </c>
      <c r="D704" s="379" t="inlineStr">
        <is>
          <t>METROHL IN</t>
        </is>
      </c>
      <c r="E704" s="379" t="inlineStr">
        <is>
          <t>INE112L01020</t>
        </is>
      </c>
    </row>
    <row r="705">
      <c r="A705" s="379" t="inlineStr">
        <is>
          <t>Minda Corporation Ltd</t>
        </is>
      </c>
      <c r="B705" s="379" t="inlineStr">
        <is>
          <t>MINDACORP</t>
        </is>
      </c>
      <c r="C705" s="380" t="n">
        <v>213597</v>
      </c>
      <c r="D705" s="379" t="inlineStr">
        <is>
          <t>MDA IN</t>
        </is>
      </c>
      <c r="E705" s="379" t="inlineStr">
        <is>
          <t>INE842C01021</t>
        </is>
      </c>
    </row>
    <row r="706">
      <c r="A706" s="379" t="inlineStr">
        <is>
          <t>Minda Industries Ltd</t>
        </is>
      </c>
      <c r="B706" s="379" t="inlineStr">
        <is>
          <t>MINDAIND</t>
        </is>
      </c>
      <c r="C706" s="380" t="n">
        <v>132539</v>
      </c>
      <c r="D706" s="379" t="inlineStr">
        <is>
          <t>MNDA IN</t>
        </is>
      </c>
      <c r="E706" s="379" t="inlineStr">
        <is>
          <t>INE405E01023</t>
        </is>
      </c>
    </row>
    <row r="707">
      <c r="A707" s="379" t="inlineStr">
        <is>
          <t>Mindtree Ltd</t>
        </is>
      </c>
      <c r="B707" s="379" t="inlineStr">
        <is>
          <t>MINDTREE</t>
        </is>
      </c>
      <c r="C707" s="380" t="n">
        <v>132819</v>
      </c>
      <c r="D707" s="379" t="inlineStr">
        <is>
          <t>MTCL IN</t>
        </is>
      </c>
      <c r="E707" s="379" t="inlineStr">
        <is>
          <t>INE018I01017</t>
        </is>
      </c>
    </row>
    <row r="708">
      <c r="A708" s="379" t="inlineStr">
        <is>
          <t>Mirc Electronics Ltd</t>
        </is>
      </c>
      <c r="B708" s="379" t="inlineStr">
        <is>
          <t>MIRCELECTR</t>
        </is>
      </c>
      <c r="C708" s="380" t="n">
        <v>100279</v>
      </c>
      <c r="D708" s="379" t="inlineStr">
        <is>
          <t>MIRC IN</t>
        </is>
      </c>
      <c r="E708" s="379" t="inlineStr">
        <is>
          <t>INE831A01028</t>
        </is>
      </c>
    </row>
    <row r="709">
      <c r="A709" s="379" t="inlineStr">
        <is>
          <t>Mirza International Ltd</t>
        </is>
      </c>
      <c r="B709" s="379" t="inlineStr">
        <is>
          <t>MIRZAINT</t>
        </is>
      </c>
      <c r="C709" s="380" t="n">
        <v>126642</v>
      </c>
      <c r="D709" s="379" t="inlineStr">
        <is>
          <t>MRZI IN</t>
        </is>
      </c>
      <c r="E709" s="379" t="inlineStr">
        <is>
          <t>INE771A01026</t>
        </is>
      </c>
    </row>
    <row r="710">
      <c r="A710" s="379" t="inlineStr">
        <is>
          <t>Mishra Dhatu Nigam Ltd</t>
        </is>
      </c>
      <c r="B710" s="379" t="inlineStr">
        <is>
          <t>MIDHANI</t>
        </is>
      </c>
      <c r="C710" s="380" t="n">
        <v>208745</v>
      </c>
      <c r="D710" s="379" t="inlineStr">
        <is>
          <t>MIDHANI IN</t>
        </is>
      </c>
      <c r="E710" s="379" t="inlineStr">
        <is>
          <t>INE099Z01011</t>
        </is>
      </c>
    </row>
    <row r="711">
      <c r="A711" s="379" t="inlineStr">
        <is>
          <t>Mishtann Foods Ltd</t>
        </is>
      </c>
      <c r="B711" s="379" t="n"/>
      <c r="C711" s="380" t="n">
        <v>279657</v>
      </c>
      <c r="D711" s="379" t="inlineStr">
        <is>
          <t>MISHF IN</t>
        </is>
      </c>
      <c r="E711" s="379" t="inlineStr">
        <is>
          <t>INE094S01041</t>
        </is>
      </c>
    </row>
    <row r="712">
      <c r="A712" s="379" t="inlineStr">
        <is>
          <t>MM Forgings Ltd</t>
        </is>
      </c>
      <c r="B712" s="379" t="inlineStr">
        <is>
          <t>MMFL</t>
        </is>
      </c>
      <c r="C712" s="380" t="n">
        <v>122241</v>
      </c>
      <c r="D712" s="379" t="inlineStr">
        <is>
          <t>MMFG IN</t>
        </is>
      </c>
      <c r="E712" s="379" t="inlineStr">
        <is>
          <t>INE227C01017</t>
        </is>
      </c>
    </row>
    <row r="713">
      <c r="A713" s="379" t="inlineStr">
        <is>
          <t>MMTC Ltd</t>
        </is>
      </c>
      <c r="B713" s="379" t="inlineStr">
        <is>
          <t>MMTC</t>
        </is>
      </c>
      <c r="C713" s="380" t="n">
        <v>113377</v>
      </c>
      <c r="D713" s="379" t="inlineStr">
        <is>
          <t>MMTC IN</t>
        </is>
      </c>
      <c r="E713" s="379" t="inlineStr">
        <is>
          <t>INE123F01029</t>
        </is>
      </c>
    </row>
    <row r="714">
      <c r="A714" s="379" t="inlineStr">
        <is>
          <t>MOIL Ltd</t>
        </is>
      </c>
      <c r="B714" s="379" t="inlineStr">
        <is>
          <t>MOIL</t>
        </is>
      </c>
      <c r="C714" s="380" t="n">
        <v>208690</v>
      </c>
      <c r="D714" s="379" t="inlineStr">
        <is>
          <t>MOIL IN</t>
        </is>
      </c>
      <c r="E714" s="379" t="inlineStr">
        <is>
          <t>INE490G01020</t>
        </is>
      </c>
    </row>
    <row r="715">
      <c r="A715" s="379" t="inlineStr">
        <is>
          <t>Mold-Tek Packaging Ltd</t>
        </is>
      </c>
      <c r="B715" s="379" t="inlineStr">
        <is>
          <t>MOLDTKPAC</t>
        </is>
      </c>
      <c r="C715" s="380" t="n">
        <v>218761</v>
      </c>
      <c r="D715" s="379" t="inlineStr">
        <is>
          <t>MTEP IN</t>
        </is>
      </c>
      <c r="E715" s="379" t="inlineStr">
        <is>
          <t>INE893J01029</t>
        </is>
      </c>
    </row>
    <row r="716">
      <c r="A716" s="379" t="inlineStr">
        <is>
          <t>Monte Carlo Fashions Ltd</t>
        </is>
      </c>
      <c r="B716" s="379" t="inlineStr">
        <is>
          <t>MONTECARLO</t>
        </is>
      </c>
      <c r="C716" s="380" t="n">
        <v>255045</v>
      </c>
      <c r="D716" s="379" t="inlineStr">
        <is>
          <t>MOCF IN</t>
        </is>
      </c>
      <c r="E716" s="379" t="inlineStr">
        <is>
          <t>INE950M01013</t>
        </is>
      </c>
    </row>
    <row r="717">
      <c r="A717" s="379" t="inlineStr">
        <is>
          <t>Morepen Laboratories Ltd</t>
        </is>
      </c>
      <c r="B717" s="379" t="inlineStr">
        <is>
          <t>MOREPENLAB</t>
        </is>
      </c>
      <c r="C717" s="380" t="n">
        <v>100288</v>
      </c>
      <c r="D717" s="379" t="inlineStr">
        <is>
          <t>MORE IN</t>
        </is>
      </c>
      <c r="E717" s="379" t="inlineStr">
        <is>
          <t>INE083A01026</t>
        </is>
      </c>
    </row>
    <row r="718">
      <c r="A718" s="379" t="inlineStr">
        <is>
          <t>Morganite Crucible (India) Ltd</t>
        </is>
      </c>
      <c r="B718" s="379" t="n"/>
      <c r="C718" s="380" t="n">
        <v>123160</v>
      </c>
      <c r="D718" s="379" t="inlineStr">
        <is>
          <t>MCIL IN</t>
        </is>
      </c>
      <c r="E718" s="379" t="inlineStr">
        <is>
          <t>INE599F01020</t>
        </is>
      </c>
    </row>
    <row r="719">
      <c r="A719" s="379" t="inlineStr">
        <is>
          <t>Moschip Technologies Ltd</t>
        </is>
      </c>
      <c r="B719" s="379" t="n"/>
      <c r="C719" s="380" t="n">
        <v>132407</v>
      </c>
      <c r="D719" s="379" t="inlineStr">
        <is>
          <t>MOSCHIP IN</t>
        </is>
      </c>
      <c r="E719" s="379" t="inlineStr">
        <is>
          <t>INE935B01025</t>
        </is>
      </c>
    </row>
    <row r="720">
      <c r="A720" s="379" t="inlineStr">
        <is>
          <t>Motherson Sumi Systems Ltd</t>
        </is>
      </c>
      <c r="B720" s="379" t="inlineStr">
        <is>
          <t>MOTHERSUMI</t>
        </is>
      </c>
      <c r="C720" s="380" t="n">
        <v>117334</v>
      </c>
      <c r="D720" s="379" t="inlineStr">
        <is>
          <t>MSS IN</t>
        </is>
      </c>
      <c r="E720" s="379" t="inlineStr">
        <is>
          <t>INE775A01035</t>
        </is>
      </c>
    </row>
    <row r="721">
      <c r="A721" s="379" t="inlineStr">
        <is>
          <t>Motilal Oswal Financial Services Ltd</t>
        </is>
      </c>
      <c r="B721" s="379" t="inlineStr">
        <is>
          <t>MOTILALOFS</t>
        </is>
      </c>
      <c r="C721" s="380" t="n">
        <v>132892</v>
      </c>
      <c r="D721" s="379" t="inlineStr">
        <is>
          <t>MOFS IN</t>
        </is>
      </c>
      <c r="E721" s="379" t="inlineStr">
        <is>
          <t>INE338I01027</t>
        </is>
      </c>
    </row>
    <row r="722">
      <c r="A722" s="379" t="inlineStr">
        <is>
          <t>Mphasis Ltd</t>
        </is>
      </c>
      <c r="B722" s="379" t="inlineStr">
        <is>
          <t>MPHASIS</t>
        </is>
      </c>
      <c r="C722" s="380" t="n">
        <v>126299</v>
      </c>
      <c r="D722" s="379" t="inlineStr">
        <is>
          <t>MPHL IN</t>
        </is>
      </c>
      <c r="E722" s="379" t="inlineStr">
        <is>
          <t>INE356A01018</t>
        </is>
      </c>
    </row>
    <row r="723">
      <c r="A723" s="379" t="inlineStr">
        <is>
          <t>MPS Ltd</t>
        </is>
      </c>
      <c r="B723" s="379" t="inlineStr">
        <is>
          <t>MPSLTD</t>
        </is>
      </c>
      <c r="C723" s="380" t="n">
        <v>132440</v>
      </c>
      <c r="D723" s="379" t="inlineStr">
        <is>
          <t>MPS IN</t>
        </is>
      </c>
      <c r="E723" s="379" t="inlineStr">
        <is>
          <t>INE943D01017</t>
        </is>
      </c>
    </row>
    <row r="724">
      <c r="A724" s="379" t="inlineStr">
        <is>
          <t>MRF Ltd</t>
        </is>
      </c>
      <c r="B724" s="379" t="inlineStr">
        <is>
          <t>MRF</t>
        </is>
      </c>
      <c r="C724" s="380" t="n">
        <v>100290</v>
      </c>
      <c r="D724" s="379" t="inlineStr">
        <is>
          <t>MRF IN</t>
        </is>
      </c>
      <c r="E724" s="379" t="inlineStr">
        <is>
          <t>INE883A01011</t>
        </is>
      </c>
    </row>
    <row r="725">
      <c r="A725" s="379" t="inlineStr">
        <is>
          <t>MrsBectors Food Specialities Ltd</t>
        </is>
      </c>
      <c r="B725" s="379" t="inlineStr">
        <is>
          <t>BECTORFOOD</t>
        </is>
      </c>
      <c r="C725" s="380" t="n">
        <v>223478</v>
      </c>
      <c r="D725" s="379" t="inlineStr">
        <is>
          <t>BECTORS IN</t>
        </is>
      </c>
      <c r="E725" s="379" t="inlineStr">
        <is>
          <t>INE495P01012</t>
        </is>
      </c>
    </row>
    <row r="726">
      <c r="A726" s="379" t="inlineStr">
        <is>
          <t>MSTC Ltd</t>
        </is>
      </c>
      <c r="B726" s="379" t="inlineStr">
        <is>
          <t>MSTCLTD</t>
        </is>
      </c>
      <c r="C726" s="380" t="n">
        <v>208646</v>
      </c>
      <c r="D726" s="379" t="inlineStr">
        <is>
          <t>MSTCLTD IN</t>
        </is>
      </c>
      <c r="E726" s="379" t="inlineStr">
        <is>
          <t>INE255X01014</t>
        </is>
      </c>
    </row>
    <row r="727">
      <c r="A727" s="379" t="inlineStr">
        <is>
          <t>MTAR Technologies Ltd</t>
        </is>
      </c>
      <c r="B727" s="379" t="inlineStr">
        <is>
          <t>MTARTECH</t>
        </is>
      </c>
      <c r="C727" s="380" t="n">
        <v>208763</v>
      </c>
      <c r="D727" s="379" t="inlineStr">
        <is>
          <t>MTARTECH IN</t>
        </is>
      </c>
      <c r="E727" s="379" t="inlineStr">
        <is>
          <t>INE864I01014</t>
        </is>
      </c>
    </row>
    <row r="728">
      <c r="A728" s="379" t="inlineStr">
        <is>
          <t>Mukand Ltd</t>
        </is>
      </c>
      <c r="B728" s="379" t="inlineStr">
        <is>
          <t>MUKANDLTD</t>
        </is>
      </c>
      <c r="C728" s="380" t="n">
        <v>100460</v>
      </c>
      <c r="D728" s="379" t="inlineStr">
        <is>
          <t>MUK IN</t>
        </is>
      </c>
      <c r="E728" s="379" t="inlineStr">
        <is>
          <t>INE304A01026</t>
        </is>
      </c>
    </row>
    <row r="729">
      <c r="A729" s="379" t="inlineStr">
        <is>
          <t>Multi Commodity Exchange Of India Ltd</t>
        </is>
      </c>
      <c r="B729" s="379" t="inlineStr">
        <is>
          <t>MCX</t>
        </is>
      </c>
      <c r="C729" s="380" t="n">
        <v>208766</v>
      </c>
      <c r="D729" s="379" t="inlineStr">
        <is>
          <t>MCX IN</t>
        </is>
      </c>
      <c r="E729" s="379" t="inlineStr">
        <is>
          <t>INE745G01035</t>
        </is>
      </c>
    </row>
    <row r="730">
      <c r="A730" s="379" t="inlineStr">
        <is>
          <t>Munjal Auto Industries Ltd</t>
        </is>
      </c>
      <c r="B730" s="379" t="inlineStr">
        <is>
          <t>MUNJALAU</t>
        </is>
      </c>
      <c r="C730" s="380" t="n">
        <v>120059</v>
      </c>
      <c r="D730" s="379" t="inlineStr">
        <is>
          <t>GCY IN</t>
        </is>
      </c>
      <c r="E730" s="379" t="inlineStr">
        <is>
          <t>INE672B01032</t>
        </is>
      </c>
    </row>
    <row r="731">
      <c r="A731" s="379" t="inlineStr">
        <is>
          <t>Music Broadcast Ltd</t>
        </is>
      </c>
      <c r="B731" s="379" t="inlineStr">
        <is>
          <t>RADIOCITY</t>
        </is>
      </c>
      <c r="C731" s="380" t="n">
        <v>221106</v>
      </c>
      <c r="D731" s="379" t="inlineStr">
        <is>
          <t>RADIOCIT IN</t>
        </is>
      </c>
      <c r="E731" s="379" t="inlineStr">
        <is>
          <t>INE919I01024</t>
        </is>
      </c>
    </row>
    <row r="732">
      <c r="A732" s="379" t="inlineStr">
        <is>
          <t>Muthoot Capital Services Ltd</t>
        </is>
      </c>
      <c r="B732" s="379" t="inlineStr">
        <is>
          <t>MUTHOOTCAP</t>
        </is>
      </c>
      <c r="C732" s="380" t="n">
        <v>111766</v>
      </c>
      <c r="D732" s="379" t="inlineStr">
        <is>
          <t>MTCS IN</t>
        </is>
      </c>
      <c r="E732" s="379" t="inlineStr">
        <is>
          <t>INE296G01013</t>
        </is>
      </c>
    </row>
    <row r="733">
      <c r="A733" s="379" t="inlineStr">
        <is>
          <t>Muthoot Finance Ltd</t>
        </is>
      </c>
      <c r="B733" s="379" t="inlineStr">
        <is>
          <t>MUTHOOTFIN</t>
        </is>
      </c>
      <c r="C733" s="380" t="n">
        <v>221790</v>
      </c>
      <c r="D733" s="379" t="inlineStr">
        <is>
          <t>MUTH IN</t>
        </is>
      </c>
      <c r="E733" s="379" t="inlineStr">
        <is>
          <t>INE414G01012</t>
        </is>
      </c>
    </row>
    <row r="734">
      <c r="A734" s="379" t="inlineStr">
        <is>
          <t>NBIIndustrial Finance CoLtd</t>
        </is>
      </c>
      <c r="B734" s="379" t="inlineStr">
        <is>
          <t>NBIFIN</t>
        </is>
      </c>
      <c r="C734" s="380" t="n">
        <v>225029</v>
      </c>
      <c r="D734" s="379" t="inlineStr">
        <is>
          <t>NBI IN</t>
        </is>
      </c>
      <c r="E734" s="379" t="inlineStr">
        <is>
          <t>INE365I01020</t>
        </is>
      </c>
    </row>
    <row r="735">
      <c r="A735" s="379" t="inlineStr">
        <is>
          <t>NACL Industries Ltd</t>
        </is>
      </c>
      <c r="B735" s="379" t="inlineStr">
        <is>
          <t>NACLIND</t>
        </is>
      </c>
      <c r="C735" s="380" t="n">
        <v>124709</v>
      </c>
      <c r="D735" s="379" t="inlineStr">
        <is>
          <t>NACLIND IN</t>
        </is>
      </c>
      <c r="E735" s="379" t="inlineStr">
        <is>
          <t>INE295D01020</t>
        </is>
      </c>
    </row>
    <row r="736">
      <c r="A736" s="379" t="inlineStr">
        <is>
          <t>Nagarjuna Fertilizers and Chemicals Ltd</t>
        </is>
      </c>
      <c r="B736" s="379" t="inlineStr">
        <is>
          <t>NAGAFERT</t>
        </is>
      </c>
      <c r="C736" s="380" t="n">
        <v>226981</v>
      </c>
      <c r="D736" s="379" t="inlineStr">
        <is>
          <t>NAGARFER IN</t>
        </is>
      </c>
      <c r="E736" s="379" t="inlineStr">
        <is>
          <t>INE454M01024</t>
        </is>
      </c>
    </row>
    <row r="737">
      <c r="A737" s="379" t="inlineStr">
        <is>
          <t>Nahar Capital And Financial Services Ltd</t>
        </is>
      </c>
      <c r="B737" s="379" t="inlineStr">
        <is>
          <t>NAHARCAP</t>
        </is>
      </c>
      <c r="C737" s="380" t="n">
        <v>200126</v>
      </c>
      <c r="D737" s="379" t="inlineStr">
        <is>
          <t>NCFS IN</t>
        </is>
      </c>
      <c r="E737" s="379" t="inlineStr">
        <is>
          <t>INE049I01012</t>
        </is>
      </c>
    </row>
    <row r="738">
      <c r="A738" s="379" t="inlineStr">
        <is>
          <t>Nahar Poly Films Ltd</t>
        </is>
      </c>
      <c r="B738" s="379" t="inlineStr">
        <is>
          <t>NAHARPOLY</t>
        </is>
      </c>
      <c r="C738" s="380" t="n">
        <v>123391</v>
      </c>
      <c r="D738" s="379" t="inlineStr">
        <is>
          <t>NPFL IN</t>
        </is>
      </c>
      <c r="E738" s="379" t="inlineStr">
        <is>
          <t>INE308A01027</t>
        </is>
      </c>
    </row>
    <row r="739">
      <c r="A739" s="379" t="inlineStr">
        <is>
          <t>Nahar Spinning Mills Ltd</t>
        </is>
      </c>
      <c r="B739" s="379" t="inlineStr">
        <is>
          <t>NAHARSPING</t>
        </is>
      </c>
      <c r="C739" s="380" t="n">
        <v>100296</v>
      </c>
      <c r="D739" s="379" t="inlineStr">
        <is>
          <t>NSM IN</t>
        </is>
      </c>
      <c r="E739" s="379" t="inlineStr">
        <is>
          <t>INE290A01027</t>
        </is>
      </c>
    </row>
    <row r="740">
      <c r="A740" s="379" t="inlineStr">
        <is>
          <t>Nalwa Sons Investments Ltd</t>
        </is>
      </c>
      <c r="B740" s="379" t="inlineStr">
        <is>
          <t>NSIL</t>
        </is>
      </c>
      <c r="C740" s="380" t="n">
        <v>132256</v>
      </c>
      <c r="D740" s="379" t="inlineStr">
        <is>
          <t>NINV IN</t>
        </is>
      </c>
      <c r="E740" s="379" t="inlineStr">
        <is>
          <t>INE023A01030</t>
        </is>
      </c>
    </row>
    <row r="741">
      <c r="A741" s="379" t="inlineStr">
        <is>
          <t>Nandan Denim Ltd</t>
        </is>
      </c>
      <c r="B741" s="379" t="inlineStr">
        <is>
          <t>NDL</t>
        </is>
      </c>
      <c r="C741" s="380" t="n">
        <v>132641</v>
      </c>
      <c r="D741" s="379" t="inlineStr">
        <is>
          <t>NAND IN</t>
        </is>
      </c>
      <c r="E741" s="379" t="inlineStr">
        <is>
          <t>INE875G01030</t>
        </is>
      </c>
    </row>
    <row r="742">
      <c r="A742" s="379" t="inlineStr">
        <is>
          <t>Narayana Hrudayalaya Ltd</t>
        </is>
      </c>
      <c r="B742" s="379" t="inlineStr">
        <is>
          <t>NH</t>
        </is>
      </c>
      <c r="C742" s="380" t="n">
        <v>218533</v>
      </c>
      <c r="D742" s="379" t="inlineStr">
        <is>
          <t>NARH IN</t>
        </is>
      </c>
      <c r="E742" s="379" t="inlineStr">
        <is>
          <t>INE410P01011</t>
        </is>
      </c>
    </row>
    <row r="743">
      <c r="A743" s="379" t="inlineStr">
        <is>
          <t>Natco Pharma Ltd</t>
        </is>
      </c>
      <c r="B743" s="379" t="inlineStr">
        <is>
          <t>NATCOPHARM</t>
        </is>
      </c>
      <c r="C743" s="380" t="n">
        <v>124816</v>
      </c>
      <c r="D743" s="379" t="inlineStr">
        <is>
          <t>NTCPH IN</t>
        </is>
      </c>
      <c r="E743" s="379" t="inlineStr">
        <is>
          <t>INE987B01026</t>
        </is>
      </c>
    </row>
    <row r="744">
      <c r="A744" s="379" t="inlineStr">
        <is>
          <t>National Aluminium Company Ltd</t>
        </is>
      </c>
      <c r="B744" s="379" t="inlineStr">
        <is>
          <t>NATIONALUM</t>
        </is>
      </c>
      <c r="C744" s="380" t="n">
        <v>132234</v>
      </c>
      <c r="D744" s="379" t="inlineStr">
        <is>
          <t>NACL IN</t>
        </is>
      </c>
      <c r="E744" s="379" t="inlineStr">
        <is>
          <t>INE139A01034</t>
        </is>
      </c>
    </row>
    <row r="745">
      <c r="A745" s="379" t="inlineStr">
        <is>
          <t>National Fertilizers Ltd</t>
        </is>
      </c>
      <c r="B745" s="379" t="inlineStr">
        <is>
          <t>NFL</t>
        </is>
      </c>
      <c r="C745" s="380" t="n">
        <v>123630</v>
      </c>
      <c r="D745" s="379" t="inlineStr">
        <is>
          <t>NFL IN</t>
        </is>
      </c>
      <c r="E745" s="379" t="inlineStr">
        <is>
          <t>INE870D01012</t>
        </is>
      </c>
    </row>
    <row r="746">
      <c r="A746" s="379" t="inlineStr">
        <is>
          <t>National Peroxide Ltd</t>
        </is>
      </c>
      <c r="B746" s="379" t="inlineStr">
        <is>
          <t>NATPEROXID</t>
        </is>
      </c>
      <c r="C746" s="380" t="n">
        <v>100298</v>
      </c>
      <c r="D746" s="379" t="inlineStr">
        <is>
          <t>NPL IN</t>
        </is>
      </c>
      <c r="E746" s="379" t="inlineStr">
        <is>
          <t>INE585A01020</t>
        </is>
      </c>
    </row>
    <row r="747">
      <c r="A747" s="379" t="inlineStr">
        <is>
          <t>National Standard (India) Ltd</t>
        </is>
      </c>
      <c r="B747" s="379" t="n"/>
      <c r="C747" s="380" t="n">
        <v>104882</v>
      </c>
      <c r="D747" s="379" t="inlineStr">
        <is>
          <t>NTSD IN</t>
        </is>
      </c>
      <c r="E747" s="379" t="inlineStr">
        <is>
          <t>INE166R01015</t>
        </is>
      </c>
    </row>
    <row r="748">
      <c r="A748" s="379" t="inlineStr">
        <is>
          <t>Nava Bharat Ventures Ltd</t>
        </is>
      </c>
      <c r="B748" s="379" t="inlineStr">
        <is>
          <t>NBVENTURES</t>
        </is>
      </c>
      <c r="C748" s="380" t="n">
        <v>113023</v>
      </c>
      <c r="D748" s="379" t="inlineStr">
        <is>
          <t>NBVL IN</t>
        </is>
      </c>
      <c r="E748" s="379" t="inlineStr">
        <is>
          <t>INE725A01022</t>
        </is>
      </c>
    </row>
    <row r="749">
      <c r="A749" s="379" t="inlineStr">
        <is>
          <t>Navin Fluorine International Ltd</t>
        </is>
      </c>
      <c r="B749" s="379" t="inlineStr">
        <is>
          <t>NAVINFLUOR</t>
        </is>
      </c>
      <c r="C749" s="380" t="n">
        <v>132504</v>
      </c>
      <c r="D749" s="379" t="inlineStr">
        <is>
          <t>NFIL IN</t>
        </is>
      </c>
      <c r="E749" s="379" t="inlineStr">
        <is>
          <t>INE048G01026</t>
        </is>
      </c>
    </row>
    <row r="750">
      <c r="A750" s="379" t="inlineStr">
        <is>
          <t>Navkar Corporation Ltd</t>
        </is>
      </c>
      <c r="B750" s="379" t="inlineStr">
        <is>
          <t>NAVKARCORP</t>
        </is>
      </c>
      <c r="C750" s="380" t="n">
        <v>227718</v>
      </c>
      <c r="D750" s="379" t="inlineStr">
        <is>
          <t>NACO IN</t>
        </is>
      </c>
      <c r="E750" s="379" t="inlineStr">
        <is>
          <t>INE278M01019</t>
        </is>
      </c>
    </row>
    <row r="751">
      <c r="A751" s="379" t="inlineStr">
        <is>
          <t>Navneet Education Ltd</t>
        </is>
      </c>
      <c r="B751" s="379" t="inlineStr">
        <is>
          <t>NAVNETEDUL</t>
        </is>
      </c>
      <c r="C751" s="380" t="n">
        <v>108989</v>
      </c>
      <c r="D751" s="379" t="inlineStr">
        <is>
          <t>NELI IN</t>
        </is>
      </c>
      <c r="E751" s="379" t="inlineStr">
        <is>
          <t>INE060A01024</t>
        </is>
      </c>
    </row>
    <row r="752">
      <c r="A752" s="379" t="inlineStr">
        <is>
          <t>Nazara Technologies Ltd</t>
        </is>
      </c>
      <c r="B752" s="379" t="inlineStr">
        <is>
          <t>NAZARA</t>
        </is>
      </c>
      <c r="C752" s="380" t="n">
        <v>229414</v>
      </c>
      <c r="D752" s="379" t="inlineStr">
        <is>
          <t>NAZARA IN</t>
        </is>
      </c>
      <c r="E752" s="379" t="inlineStr">
        <is>
          <t>INE418L01021</t>
        </is>
      </c>
    </row>
    <row r="753">
      <c r="A753" s="379" t="inlineStr">
        <is>
          <t>NBCC (India) Ltd</t>
        </is>
      </c>
      <c r="B753" s="379" t="inlineStr">
        <is>
          <t>NBCC</t>
        </is>
      </c>
      <c r="C753" s="380" t="n">
        <v>208801</v>
      </c>
      <c r="D753" s="379" t="inlineStr">
        <is>
          <t>NBCC IN</t>
        </is>
      </c>
      <c r="E753" s="379" t="inlineStr">
        <is>
          <t>INE095N01031</t>
        </is>
      </c>
    </row>
    <row r="754">
      <c r="A754" s="379" t="inlineStr">
        <is>
          <t>NCC Ltd</t>
        </is>
      </c>
      <c r="B754" s="379" t="inlineStr">
        <is>
          <t>NCC</t>
        </is>
      </c>
      <c r="C754" s="380" t="n">
        <v>100294</v>
      </c>
      <c r="D754" s="379" t="inlineStr">
        <is>
          <t>NJCC IN</t>
        </is>
      </c>
      <c r="E754" s="379" t="inlineStr">
        <is>
          <t>INE868B01028</t>
        </is>
      </c>
    </row>
    <row r="755">
      <c r="A755" s="379" t="inlineStr">
        <is>
          <t>NCL Industries Ltd</t>
        </is>
      </c>
      <c r="B755" s="379" t="inlineStr">
        <is>
          <t>NCLIND</t>
        </is>
      </c>
      <c r="C755" s="380" t="n">
        <v>102168</v>
      </c>
      <c r="D755" s="379" t="inlineStr">
        <is>
          <t>NCLI IN</t>
        </is>
      </c>
      <c r="E755" s="379" t="inlineStr">
        <is>
          <t>INE732C01016</t>
        </is>
      </c>
    </row>
    <row r="756">
      <c r="A756" s="379" t="inlineStr">
        <is>
          <t>Nectar Lifesciences Ltd</t>
        </is>
      </c>
      <c r="B756" s="379" t="inlineStr">
        <is>
          <t>NECLIFE</t>
        </is>
      </c>
      <c r="C756" s="380" t="n">
        <v>132649</v>
      </c>
      <c r="D756" s="379" t="inlineStr">
        <is>
          <t>NLSC IN</t>
        </is>
      </c>
      <c r="E756" s="379" t="inlineStr">
        <is>
          <t>INE023H01027</t>
        </is>
      </c>
    </row>
    <row r="757">
      <c r="A757" s="379" t="inlineStr">
        <is>
          <t>Nelcast Ltd</t>
        </is>
      </c>
      <c r="B757" s="379" t="inlineStr">
        <is>
          <t>NELCAST</t>
        </is>
      </c>
      <c r="C757" s="380" t="n">
        <v>132864</v>
      </c>
      <c r="D757" s="379" t="inlineStr">
        <is>
          <t>NELC IN</t>
        </is>
      </c>
      <c r="E757" s="379" t="inlineStr">
        <is>
          <t>INE189I01024</t>
        </is>
      </c>
    </row>
    <row r="758">
      <c r="A758" s="379" t="inlineStr">
        <is>
          <t>Nelco Ltd</t>
        </is>
      </c>
      <c r="B758" s="379" t="inlineStr">
        <is>
          <t>NELCO</t>
        </is>
      </c>
      <c r="C758" s="380" t="n">
        <v>104112</v>
      </c>
      <c r="D758" s="379" t="inlineStr">
        <is>
          <t>NELCO IN</t>
        </is>
      </c>
      <c r="E758" s="379" t="inlineStr">
        <is>
          <t>INE045B01015</t>
        </is>
      </c>
    </row>
    <row r="759">
      <c r="A759" s="379" t="inlineStr">
        <is>
          <t>Neogen Chemicals Ltd</t>
        </is>
      </c>
      <c r="B759" s="379" t="inlineStr">
        <is>
          <t>NEOGEN</t>
        </is>
      </c>
      <c r="C759" s="380" t="n">
        <v>241159</v>
      </c>
      <c r="D759" s="379" t="inlineStr">
        <is>
          <t>NEOGEN IN</t>
        </is>
      </c>
      <c r="E759" s="379" t="inlineStr">
        <is>
          <t>INE136S01016</t>
        </is>
      </c>
    </row>
    <row r="760">
      <c r="A760" s="379" t="inlineStr">
        <is>
          <t>Nesco Ltd</t>
        </is>
      </c>
      <c r="B760" s="379" t="inlineStr">
        <is>
          <t>NESCO</t>
        </is>
      </c>
      <c r="C760" s="380" t="n">
        <v>105355</v>
      </c>
      <c r="D760" s="379" t="inlineStr">
        <is>
          <t>NSE IN</t>
        </is>
      </c>
      <c r="E760" s="379" t="inlineStr">
        <is>
          <t>INE317F01035</t>
        </is>
      </c>
    </row>
    <row r="761">
      <c r="A761" s="379" t="inlineStr">
        <is>
          <t>Nestle India Ltd</t>
        </is>
      </c>
      <c r="B761" s="379" t="inlineStr">
        <is>
          <t>NESTLEIND</t>
        </is>
      </c>
      <c r="C761" s="380" t="n">
        <v>100790</v>
      </c>
      <c r="D761" s="379" t="inlineStr">
        <is>
          <t>NEST IN</t>
        </is>
      </c>
      <c r="E761" s="379" t="inlineStr">
        <is>
          <t>INE239A01016</t>
        </is>
      </c>
    </row>
    <row r="762">
      <c r="A762" s="379" t="inlineStr">
        <is>
          <t>Network 18 Media &amp; Investments Ltd</t>
        </is>
      </c>
      <c r="B762" s="379" t="inlineStr">
        <is>
          <t>NETWORK18</t>
        </is>
      </c>
      <c r="C762" s="380" t="n">
        <v>132798</v>
      </c>
      <c r="D762" s="379" t="inlineStr">
        <is>
          <t>NETM IN</t>
        </is>
      </c>
      <c r="E762" s="379" t="inlineStr">
        <is>
          <t>INE870H01013</t>
        </is>
      </c>
    </row>
    <row r="763">
      <c r="A763" s="379" t="inlineStr">
        <is>
          <t>Neuland Laboratories Ltd</t>
        </is>
      </c>
      <c r="B763" s="379" t="inlineStr">
        <is>
          <t>NEULANDLAB</t>
        </is>
      </c>
      <c r="C763" s="380" t="n">
        <v>124558</v>
      </c>
      <c r="D763" s="379" t="inlineStr">
        <is>
          <t>NLL IN</t>
        </is>
      </c>
      <c r="E763" s="379" t="inlineStr">
        <is>
          <t>INE794A01010</t>
        </is>
      </c>
    </row>
    <row r="764">
      <c r="A764" s="379" t="inlineStr">
        <is>
          <t>New Delhi Television Ltd</t>
        </is>
      </c>
      <c r="B764" s="379" t="inlineStr">
        <is>
          <t>NDTV</t>
        </is>
      </c>
      <c r="C764" s="380" t="n">
        <v>132529</v>
      </c>
      <c r="D764" s="379" t="inlineStr">
        <is>
          <t>NDTV IN</t>
        </is>
      </c>
      <c r="E764" s="379" t="inlineStr">
        <is>
          <t>INE155G01029</t>
        </is>
      </c>
    </row>
    <row r="765">
      <c r="A765" s="379" t="inlineStr">
        <is>
          <t>Newgen Software Technologies Ltd</t>
        </is>
      </c>
      <c r="B765" s="379" t="inlineStr">
        <is>
          <t>NEWGEN</t>
        </is>
      </c>
      <c r="C765" s="380" t="n">
        <v>213672</v>
      </c>
      <c r="D765" s="379" t="inlineStr">
        <is>
          <t>NEWGEN IN</t>
        </is>
      </c>
      <c r="E765" s="379" t="inlineStr">
        <is>
          <t>INE619B01017</t>
        </is>
      </c>
    </row>
    <row r="766">
      <c r="A766" s="379" t="inlineStr">
        <is>
          <t>NGL Fine-Chem Ltd</t>
        </is>
      </c>
      <c r="B766" s="379" t="n"/>
      <c r="C766" s="380" t="n">
        <v>124774</v>
      </c>
      <c r="D766" s="379" t="inlineStr">
        <is>
          <t>NGLF IN</t>
        </is>
      </c>
      <c r="E766" s="379" t="inlineStr">
        <is>
          <t>INE887E01022</t>
        </is>
      </c>
    </row>
    <row r="767">
      <c r="A767" s="379" t="inlineStr">
        <is>
          <t>NHPC Ltd</t>
        </is>
      </c>
      <c r="B767" s="379" t="inlineStr">
        <is>
          <t>NHPC</t>
        </is>
      </c>
      <c r="C767" s="380" t="n">
        <v>216369</v>
      </c>
      <c r="D767" s="379" t="inlineStr">
        <is>
          <t>NHPC IN</t>
        </is>
      </c>
      <c r="E767" s="379" t="inlineStr">
        <is>
          <t>INE848E01016</t>
        </is>
      </c>
    </row>
    <row r="768">
      <c r="A768" s="379" t="inlineStr">
        <is>
          <t>NIIT Ltd</t>
        </is>
      </c>
      <c r="B768" s="379" t="inlineStr">
        <is>
          <t>NIITLTD</t>
        </is>
      </c>
      <c r="C768" s="380" t="n">
        <v>100304</v>
      </c>
      <c r="D768" s="379" t="inlineStr">
        <is>
          <t>NIIT IN</t>
        </is>
      </c>
      <c r="E768" s="379" t="inlineStr">
        <is>
          <t>INE161A01038</t>
        </is>
      </c>
    </row>
    <row r="769">
      <c r="A769" s="379" t="inlineStr">
        <is>
          <t>Nilkamal Ltd</t>
        </is>
      </c>
      <c r="B769" s="379" t="inlineStr">
        <is>
          <t>NILKAMAL</t>
        </is>
      </c>
      <c r="C769" s="380" t="n">
        <v>123385</v>
      </c>
      <c r="D769" s="379" t="inlineStr">
        <is>
          <t>NILK IN</t>
        </is>
      </c>
      <c r="E769" s="379" t="inlineStr">
        <is>
          <t>INE310A01015</t>
        </is>
      </c>
    </row>
    <row r="770">
      <c r="A770" s="379" t="inlineStr">
        <is>
          <t>Nippon Life India Asset Management Ltd</t>
        </is>
      </c>
      <c r="B770" s="379" t="inlineStr">
        <is>
          <t>NAM-INDIA</t>
        </is>
      </c>
      <c r="C770" s="380" t="n">
        <v>209078</v>
      </c>
      <c r="D770" s="379" t="inlineStr">
        <is>
          <t>NAM IN</t>
        </is>
      </c>
      <c r="E770" s="379" t="inlineStr">
        <is>
          <t>INE298J01013</t>
        </is>
      </c>
    </row>
    <row r="771">
      <c r="A771" s="379" t="inlineStr">
        <is>
          <t>Nirlon Ltd</t>
        </is>
      </c>
      <c r="B771" s="379" t="inlineStr">
        <is>
          <t>NIRLON</t>
        </is>
      </c>
      <c r="C771" s="380" t="n">
        <v>100307</v>
      </c>
      <c r="D771" s="379" t="inlineStr">
        <is>
          <t>NIRL IN</t>
        </is>
      </c>
      <c r="E771" s="379" t="inlineStr">
        <is>
          <t>INE910A01012</t>
        </is>
      </c>
    </row>
    <row r="772">
      <c r="A772" s="379" t="inlineStr">
        <is>
          <t>Nitin Spinners Ltd</t>
        </is>
      </c>
      <c r="B772" s="379" t="inlineStr">
        <is>
          <t>NITINSPIN</t>
        </is>
      </c>
      <c r="C772" s="380" t="n">
        <v>132698</v>
      </c>
      <c r="D772" s="379" t="inlineStr">
        <is>
          <t>NSPL IN</t>
        </is>
      </c>
      <c r="E772" s="379" t="inlineStr">
        <is>
          <t>INE229H01012</t>
        </is>
      </c>
    </row>
    <row r="773">
      <c r="A773" s="379" t="inlineStr">
        <is>
          <t>Niyogin Fintech Ltd</t>
        </is>
      </c>
      <c r="B773" s="379" t="n"/>
      <c r="C773" s="380" t="n">
        <v>245636</v>
      </c>
      <c r="D773" s="379" t="inlineStr">
        <is>
          <t>NIYOGIN IN</t>
        </is>
      </c>
      <c r="E773" s="379" t="inlineStr">
        <is>
          <t>INE480D01010</t>
        </is>
      </c>
    </row>
    <row r="774">
      <c r="A774" s="379" t="inlineStr">
        <is>
          <t>NLC India Ltd</t>
        </is>
      </c>
      <c r="B774" s="379" t="inlineStr">
        <is>
          <t>NLCINDIA</t>
        </is>
      </c>
      <c r="C774" s="380" t="n">
        <v>113683</v>
      </c>
      <c r="D774" s="379" t="inlineStr">
        <is>
          <t>NLC IN</t>
        </is>
      </c>
      <c r="E774" s="379" t="inlineStr">
        <is>
          <t>INE589A01014</t>
        </is>
      </c>
    </row>
    <row r="775">
      <c r="A775" s="379" t="inlineStr">
        <is>
          <t>NMDC Ltd</t>
        </is>
      </c>
      <c r="B775" s="379" t="inlineStr">
        <is>
          <t>NMDC</t>
        </is>
      </c>
      <c r="C775" s="380" t="n">
        <v>126371</v>
      </c>
      <c r="D775" s="379" t="inlineStr">
        <is>
          <t>NMDC IN</t>
        </is>
      </c>
      <c r="E775" s="379" t="inlineStr">
        <is>
          <t>INE584A01023</t>
        </is>
      </c>
    </row>
    <row r="776">
      <c r="A776" s="379" t="inlineStr">
        <is>
          <t>Nocil Ltd</t>
        </is>
      </c>
      <c r="B776" s="379" t="inlineStr">
        <is>
          <t>NOCIL</t>
        </is>
      </c>
      <c r="C776" s="380" t="n">
        <v>100730</v>
      </c>
      <c r="D776" s="379" t="inlineStr">
        <is>
          <t>NOCIL IN</t>
        </is>
      </c>
      <c r="E776" s="379" t="inlineStr">
        <is>
          <t>INE163A01018</t>
        </is>
      </c>
    </row>
    <row r="777">
      <c r="A777" s="379" t="inlineStr">
        <is>
          <t>Novartis India Ltd</t>
        </is>
      </c>
      <c r="B777" s="379" t="inlineStr">
        <is>
          <t>NOVARTIND</t>
        </is>
      </c>
      <c r="C777" s="380" t="n">
        <v>100672</v>
      </c>
      <c r="D777" s="379" t="inlineStr">
        <is>
          <t>HCBA IN</t>
        </is>
      </c>
      <c r="E777" s="379" t="inlineStr">
        <is>
          <t>INE234A01025</t>
        </is>
      </c>
    </row>
    <row r="778">
      <c r="A778" s="379" t="inlineStr">
        <is>
          <t>NRB Bearings Ltd</t>
        </is>
      </c>
      <c r="B778" s="379" t="inlineStr">
        <is>
          <t>NRBBEARING</t>
        </is>
      </c>
      <c r="C778" s="380" t="n">
        <v>130367</v>
      </c>
      <c r="D778" s="379" t="inlineStr">
        <is>
          <t>NRBBR IN</t>
        </is>
      </c>
      <c r="E778" s="379" t="inlineStr">
        <is>
          <t>INE349A01021</t>
        </is>
      </c>
    </row>
    <row r="779">
      <c r="A779" s="379" t="inlineStr">
        <is>
          <t>NTPC Ltd</t>
        </is>
      </c>
      <c r="B779" s="379" t="inlineStr">
        <is>
          <t>NTPC</t>
        </is>
      </c>
      <c r="C779" s="380" t="n">
        <v>132555</v>
      </c>
      <c r="D779" s="379" t="inlineStr">
        <is>
          <t>NTPC IN</t>
        </is>
      </c>
      <c r="E779" s="379" t="inlineStr">
        <is>
          <t>INE733E01010</t>
        </is>
      </c>
    </row>
    <row r="780">
      <c r="A780" s="379" t="inlineStr">
        <is>
          <t>Nucleus Software Exports Ltd</t>
        </is>
      </c>
      <c r="B780" s="379" t="inlineStr">
        <is>
          <t>NUCLEUS</t>
        </is>
      </c>
      <c r="C780" s="380" t="n">
        <v>131209</v>
      </c>
      <c r="D780" s="379" t="inlineStr">
        <is>
          <t>NCS IN</t>
        </is>
      </c>
      <c r="E780" s="379" t="inlineStr">
        <is>
          <t>INE096B01018</t>
        </is>
      </c>
    </row>
    <row r="781">
      <c r="A781" s="379" t="inlineStr">
        <is>
          <t>Nureca Ltd</t>
        </is>
      </c>
      <c r="B781" s="379" t="inlineStr">
        <is>
          <t>NURECA</t>
        </is>
      </c>
      <c r="C781" s="380" t="n">
        <v>300435</v>
      </c>
      <c r="D781" s="379" t="inlineStr">
        <is>
          <t>NURECA IN</t>
        </is>
      </c>
      <c r="E781" s="379" t="inlineStr">
        <is>
          <t>INE0DSF01015</t>
        </is>
      </c>
    </row>
    <row r="782">
      <c r="A782" s="379" t="inlineStr">
        <is>
          <t>Nuvoco Vistas Corporation Ltd</t>
        </is>
      </c>
      <c r="B782" s="379" t="inlineStr">
        <is>
          <t>NUVOCO</t>
        </is>
      </c>
      <c r="C782" s="380" t="n">
        <v>216147</v>
      </c>
      <c r="D782" s="379" t="inlineStr">
        <is>
          <t>NUVOCO IN</t>
        </is>
      </c>
      <c r="E782" s="379" t="inlineStr">
        <is>
          <t>INE118D01016</t>
        </is>
      </c>
    </row>
    <row r="783">
      <c r="A783" s="379" t="inlineStr">
        <is>
          <t>NXTDigital Ltd</t>
        </is>
      </c>
      <c r="B783" s="379" t="inlineStr">
        <is>
          <t>NXTDIGITAL</t>
        </is>
      </c>
      <c r="C783" s="380" t="n">
        <v>100189</v>
      </c>
      <c r="D783" s="379" t="inlineStr">
        <is>
          <t>NXTD IN</t>
        </is>
      </c>
      <c r="E783" s="379" t="inlineStr">
        <is>
          <t>INE353A01023</t>
        </is>
      </c>
    </row>
    <row r="784">
      <c r="A784" s="379" t="inlineStr">
        <is>
          <t>Oberoi Realty Ltd</t>
        </is>
      </c>
      <c r="B784" s="379" t="inlineStr">
        <is>
          <t>OBEROIRLTY</t>
        </is>
      </c>
      <c r="C784" s="380" t="n">
        <v>220018</v>
      </c>
      <c r="D784" s="379" t="inlineStr">
        <is>
          <t>OBER IN</t>
        </is>
      </c>
      <c r="E784" s="379" t="inlineStr">
        <is>
          <t>INE093I01010</t>
        </is>
      </c>
    </row>
    <row r="785">
      <c r="A785" s="379" t="inlineStr">
        <is>
          <t>Oil &amp; Natural Gas Corporation Ltd</t>
        </is>
      </c>
      <c r="B785" s="379" t="inlineStr">
        <is>
          <t>ONGC</t>
        </is>
      </c>
      <c r="C785" s="380" t="n">
        <v>100312</v>
      </c>
      <c r="D785" s="379" t="inlineStr">
        <is>
          <t>ONGC IN</t>
        </is>
      </c>
      <c r="E785" s="379" t="inlineStr">
        <is>
          <t>INE213A01029</t>
        </is>
      </c>
    </row>
    <row r="786">
      <c r="A786" s="379" t="inlineStr">
        <is>
          <t>Oil India Ltd</t>
        </is>
      </c>
      <c r="B786" s="379" t="inlineStr">
        <is>
          <t>OIL</t>
        </is>
      </c>
      <c r="C786" s="380" t="n">
        <v>200091</v>
      </c>
      <c r="D786" s="379" t="inlineStr">
        <is>
          <t>OINL IN</t>
        </is>
      </c>
      <c r="E786" s="379" t="inlineStr">
        <is>
          <t>INE274J01014</t>
        </is>
      </c>
    </row>
    <row r="787">
      <c r="A787" s="379" t="inlineStr">
        <is>
          <t>Olectra Greentech Ltd</t>
        </is>
      </c>
      <c r="B787" s="379" t="inlineStr">
        <is>
          <t>OLECTRA</t>
        </is>
      </c>
      <c r="C787" s="380" t="n">
        <v>132439</v>
      </c>
      <c r="D787" s="379" t="inlineStr">
        <is>
          <t>OLECTRA IN</t>
        </is>
      </c>
      <c r="E787" s="379" t="inlineStr">
        <is>
          <t>INE260D01016</t>
        </is>
      </c>
    </row>
    <row r="788">
      <c r="A788" s="379" t="inlineStr">
        <is>
          <t>Omaxe Ltd</t>
        </is>
      </c>
      <c r="B788" s="379" t="inlineStr">
        <is>
          <t>OMAXE</t>
        </is>
      </c>
      <c r="C788" s="380" t="n">
        <v>132880</v>
      </c>
      <c r="D788" s="379" t="inlineStr">
        <is>
          <t>OAXE IN</t>
        </is>
      </c>
      <c r="E788" s="379" t="inlineStr">
        <is>
          <t>INE800H01010</t>
        </is>
      </c>
    </row>
    <row r="789">
      <c r="A789" s="379" t="inlineStr">
        <is>
          <t>One97 Communications Ltd</t>
        </is>
      </c>
      <c r="B789" s="379" t="inlineStr">
        <is>
          <t>PAYTM</t>
        </is>
      </c>
      <c r="C789" s="380" t="n">
        <v>208883</v>
      </c>
      <c r="D789" s="379" t="inlineStr">
        <is>
          <t>PAYTM IN</t>
        </is>
      </c>
      <c r="E789" s="379" t="inlineStr">
        <is>
          <t>INE982J01020</t>
        </is>
      </c>
    </row>
    <row r="790">
      <c r="A790" s="379" t="inlineStr">
        <is>
          <t>Onmobile Global Ltd</t>
        </is>
      </c>
      <c r="B790" s="379" t="inlineStr">
        <is>
          <t>ONMOBILE</t>
        </is>
      </c>
      <c r="C790" s="380" t="n">
        <v>200044</v>
      </c>
      <c r="D790" s="379" t="inlineStr">
        <is>
          <t>ONMB IN</t>
        </is>
      </c>
      <c r="E790" s="379" t="inlineStr">
        <is>
          <t>INE809I01019</t>
        </is>
      </c>
    </row>
    <row r="791">
      <c r="A791" s="379" t="inlineStr">
        <is>
          <t>Onward Technologies Ltd</t>
        </is>
      </c>
      <c r="B791" s="379" t="inlineStr">
        <is>
          <t>ONWARDTEC</t>
        </is>
      </c>
      <c r="C791" s="380" t="n">
        <v>117536</v>
      </c>
      <c r="D791" s="379" t="inlineStr">
        <is>
          <t>ONT IN</t>
        </is>
      </c>
      <c r="E791" s="379" t="inlineStr">
        <is>
          <t>INE229A01017</t>
        </is>
      </c>
    </row>
    <row r="792">
      <c r="A792" s="379" t="inlineStr">
        <is>
          <t>Optiemus Infracom Ltd</t>
        </is>
      </c>
      <c r="B792" s="379" t="inlineStr">
        <is>
          <t>OPTIEMUS</t>
        </is>
      </c>
      <c r="C792" s="380" t="n">
        <v>130135</v>
      </c>
      <c r="D792" s="379" t="inlineStr">
        <is>
          <t>OPIL IN</t>
        </is>
      </c>
      <c r="E792" s="379" t="inlineStr">
        <is>
          <t>INE350C01017</t>
        </is>
      </c>
    </row>
    <row r="793">
      <c r="A793" s="379" t="inlineStr">
        <is>
          <t>Oracle Financial Services Software Ltd</t>
        </is>
      </c>
      <c r="B793" s="379" t="inlineStr">
        <is>
          <t>OFSS</t>
        </is>
      </c>
      <c r="C793" s="380" t="n">
        <v>132466</v>
      </c>
      <c r="D793" s="379" t="inlineStr">
        <is>
          <t>OFSS IN</t>
        </is>
      </c>
      <c r="E793" s="379" t="inlineStr">
        <is>
          <t>INE881D01027</t>
        </is>
      </c>
    </row>
    <row r="794">
      <c r="A794" s="379" t="inlineStr">
        <is>
          <t>Orchid Pharma Ltd</t>
        </is>
      </c>
      <c r="B794" s="379" t="inlineStr">
        <is>
          <t>ORCHPHARMA</t>
        </is>
      </c>
      <c r="C794" s="380" t="n">
        <v>124372</v>
      </c>
      <c r="D794" s="379" t="inlineStr">
        <is>
          <t>ORCP IN</t>
        </is>
      </c>
      <c r="E794" s="379" t="inlineStr">
        <is>
          <t>INE191A01027</t>
        </is>
      </c>
    </row>
    <row r="795">
      <c r="A795" s="379" t="inlineStr">
        <is>
          <t>Oricon Enterprises Ltd</t>
        </is>
      </c>
      <c r="B795" s="379" t="inlineStr">
        <is>
          <t>ORICONENT</t>
        </is>
      </c>
      <c r="C795" s="380" t="n">
        <v>113121</v>
      </c>
      <c r="D795" s="379" t="inlineStr">
        <is>
          <t>OTE IN</t>
        </is>
      </c>
      <c r="E795" s="379" t="inlineStr">
        <is>
          <t>INE730A01022</t>
        </is>
      </c>
    </row>
    <row r="796">
      <c r="A796" s="379" t="inlineStr">
        <is>
          <t>Orient Cement Ltd</t>
        </is>
      </c>
      <c r="B796" s="379" t="inlineStr">
        <is>
          <t>ORIENTCEM</t>
        </is>
      </c>
      <c r="C796" s="380" t="n">
        <v>242477</v>
      </c>
      <c r="D796" s="379" t="inlineStr">
        <is>
          <t>ORCMNT IN</t>
        </is>
      </c>
      <c r="E796" s="379" t="inlineStr">
        <is>
          <t>INE876N01018</t>
        </is>
      </c>
    </row>
    <row r="797">
      <c r="A797" s="379" t="inlineStr">
        <is>
          <t>Orient Electric Ltd</t>
        </is>
      </c>
      <c r="B797" s="379" t="inlineStr">
        <is>
          <t>ORIENTELEC</t>
        </is>
      </c>
      <c r="C797" s="380" t="n">
        <v>288401</v>
      </c>
      <c r="D797" s="379" t="inlineStr">
        <is>
          <t>ORIENTEL IN</t>
        </is>
      </c>
      <c r="E797" s="379" t="inlineStr">
        <is>
          <t>INE142Z01019</t>
        </is>
      </c>
    </row>
    <row r="798">
      <c r="A798" s="379" t="inlineStr">
        <is>
          <t>Orient Green Power Company Ltd</t>
        </is>
      </c>
      <c r="B798" s="379" t="inlineStr">
        <is>
          <t>GREENPOWER</t>
        </is>
      </c>
      <c r="C798" s="380" t="n">
        <v>220889</v>
      </c>
      <c r="D798" s="379" t="inlineStr">
        <is>
          <t>OGPL IN</t>
        </is>
      </c>
      <c r="E798" s="379" t="inlineStr">
        <is>
          <t>INE999K01014</t>
        </is>
      </c>
    </row>
    <row r="799">
      <c r="A799" s="379" t="inlineStr">
        <is>
          <t>Orient Paper &amp; Industries Ltd</t>
        </is>
      </c>
      <c r="B799" s="379" t="inlineStr">
        <is>
          <t>ORIENTPPR</t>
        </is>
      </c>
      <c r="C799" s="380" t="n">
        <v>102420</v>
      </c>
      <c r="D799" s="379" t="inlineStr">
        <is>
          <t>OPI IN</t>
        </is>
      </c>
      <c r="E799" s="379" t="inlineStr">
        <is>
          <t>INE592A01026</t>
        </is>
      </c>
    </row>
    <row r="800">
      <c r="A800" s="379" t="inlineStr">
        <is>
          <t>Oriental Aromatics Ltd</t>
        </is>
      </c>
      <c r="B800" s="379" t="inlineStr">
        <is>
          <t>OAL</t>
        </is>
      </c>
      <c r="C800" s="380" t="n">
        <v>100078</v>
      </c>
      <c r="D800" s="379" t="inlineStr">
        <is>
          <t>OAL IN</t>
        </is>
      </c>
      <c r="E800" s="379" t="inlineStr">
        <is>
          <t>INE959C01023</t>
        </is>
      </c>
    </row>
    <row r="801">
      <c r="A801" s="379" t="inlineStr">
        <is>
          <t>Oriental Carbon &amp; Chemicals Ltd</t>
        </is>
      </c>
      <c r="B801" s="379" t="inlineStr">
        <is>
          <t>OCCL</t>
        </is>
      </c>
      <c r="C801" s="380" t="n">
        <v>106579</v>
      </c>
      <c r="D801" s="379" t="inlineStr">
        <is>
          <t>OTCC IN</t>
        </is>
      </c>
      <c r="E801" s="379" t="inlineStr">
        <is>
          <t>INE321D01016</t>
        </is>
      </c>
    </row>
    <row r="802">
      <c r="A802" s="379" t="inlineStr">
        <is>
          <t>Oriental Hotels Ltd</t>
        </is>
      </c>
      <c r="B802" s="379" t="inlineStr">
        <is>
          <t>ORIENTHOT</t>
        </is>
      </c>
      <c r="C802" s="380" t="n">
        <v>100314</v>
      </c>
      <c r="D802" s="379" t="inlineStr">
        <is>
          <t>OTH IN</t>
        </is>
      </c>
      <c r="E802" s="379" t="inlineStr">
        <is>
          <t>INE750A01020</t>
        </is>
      </c>
    </row>
    <row r="803">
      <c r="A803" s="379" t="inlineStr">
        <is>
          <t>Oriental Rail Infrastructure Ltd</t>
        </is>
      </c>
      <c r="B803" s="379" t="n"/>
      <c r="C803" s="380" t="n">
        <v>131859</v>
      </c>
      <c r="D803" s="379" t="inlineStr">
        <is>
          <t>OVP IN</t>
        </is>
      </c>
      <c r="E803" s="379" t="inlineStr">
        <is>
          <t>INE457G01029</t>
        </is>
      </c>
    </row>
    <row r="804">
      <c r="A804" s="379" t="inlineStr">
        <is>
          <t>Orissa Bengal Carrier Ltd</t>
        </is>
      </c>
      <c r="B804" s="379" t="n"/>
      <c r="C804" s="380" t="n">
        <v>288619</v>
      </c>
      <c r="D804" s="379" t="inlineStr">
        <is>
          <t>OBCL IN</t>
        </is>
      </c>
      <c r="E804" s="379" t="inlineStr">
        <is>
          <t>INE426Z01016</t>
        </is>
      </c>
    </row>
    <row r="805">
      <c r="A805" s="379" t="inlineStr">
        <is>
          <t>Oswal Greentech Ltd</t>
        </is>
      </c>
      <c r="B805" s="379" t="inlineStr">
        <is>
          <t>BINDALAGRO</t>
        </is>
      </c>
      <c r="C805" s="380" t="n">
        <v>200031</v>
      </c>
      <c r="D805" s="379" t="inlineStr">
        <is>
          <t>OGL IN</t>
        </is>
      </c>
      <c r="E805" s="379" t="inlineStr">
        <is>
          <t>INE143A01010</t>
        </is>
      </c>
    </row>
    <row r="806">
      <c r="A806" s="379" t="inlineStr">
        <is>
          <t>Page Industries Ltd</t>
        </is>
      </c>
      <c r="B806" s="379" t="inlineStr">
        <is>
          <t>PAGEIND</t>
        </is>
      </c>
      <c r="C806" s="380" t="n">
        <v>132827</v>
      </c>
      <c r="D806" s="379" t="inlineStr">
        <is>
          <t>PAG IN</t>
        </is>
      </c>
      <c r="E806" s="379" t="inlineStr">
        <is>
          <t>INE761H01022</t>
        </is>
      </c>
    </row>
    <row r="807">
      <c r="A807" s="379" t="inlineStr">
        <is>
          <t>Paisalo Digital Ltd</t>
        </is>
      </c>
      <c r="B807" s="379" t="inlineStr">
        <is>
          <t>PAISALO</t>
        </is>
      </c>
      <c r="C807" s="380" t="n">
        <v>132900</v>
      </c>
      <c r="D807" s="379" t="inlineStr">
        <is>
          <t>PAISALO IN</t>
        </is>
      </c>
      <c r="E807" s="379" t="inlineStr">
        <is>
          <t>INE420C01042</t>
        </is>
      </c>
    </row>
    <row r="808">
      <c r="A808" s="379" t="inlineStr">
        <is>
          <t>Panacea Biotec Ltd</t>
        </is>
      </c>
      <c r="B808" s="379" t="inlineStr">
        <is>
          <t>PANACEABIO</t>
        </is>
      </c>
      <c r="C808" s="380" t="n">
        <v>131349</v>
      </c>
      <c r="D808" s="379" t="inlineStr">
        <is>
          <t>PNCB IN</t>
        </is>
      </c>
      <c r="E808" s="379" t="inlineStr">
        <is>
          <t>INE922B01023</t>
        </is>
      </c>
    </row>
    <row r="809">
      <c r="A809" s="379" t="inlineStr">
        <is>
          <t>Panama Petrochem Ltd</t>
        </is>
      </c>
      <c r="B809" s="379" t="inlineStr">
        <is>
          <t>PANAMAPET</t>
        </is>
      </c>
      <c r="C809" s="380" t="n">
        <v>124820</v>
      </c>
      <c r="D809" s="379" t="inlineStr">
        <is>
          <t>PNPC IN</t>
        </is>
      </c>
      <c r="E809" s="379" t="inlineStr">
        <is>
          <t>INE305C01029</t>
        </is>
      </c>
    </row>
    <row r="810">
      <c r="A810" s="379" t="inlineStr">
        <is>
          <t>Parag Milk Foods Ltd</t>
        </is>
      </c>
      <c r="B810" s="379" t="inlineStr">
        <is>
          <t>PARAGMILK</t>
        </is>
      </c>
      <c r="C810" s="380" t="n">
        <v>224160</v>
      </c>
      <c r="D810" s="379" t="inlineStr">
        <is>
          <t>PARAG IN</t>
        </is>
      </c>
      <c r="E810" s="379" t="inlineStr">
        <is>
          <t>INE883N01014</t>
        </is>
      </c>
    </row>
    <row r="811">
      <c r="A811" s="379" t="inlineStr">
        <is>
          <t>Paras Defence And Space Technologies Ltd</t>
        </is>
      </c>
      <c r="B811" s="379" t="inlineStr">
        <is>
          <t>PARAS</t>
        </is>
      </c>
      <c r="C811" s="380" t="n">
        <v>301603</v>
      </c>
      <c r="D811" s="379" t="inlineStr">
        <is>
          <t>PARAS IN</t>
        </is>
      </c>
      <c r="E811" s="379" t="inlineStr">
        <is>
          <t>INE045601015</t>
        </is>
      </c>
    </row>
    <row r="812">
      <c r="A812" s="379" t="inlineStr">
        <is>
          <t>Parsvnath Developers Ltd</t>
        </is>
      </c>
      <c r="B812" s="379" t="inlineStr">
        <is>
          <t>PARSVNATH</t>
        </is>
      </c>
      <c r="C812" s="380" t="n">
        <v>132780</v>
      </c>
      <c r="D812" s="379" t="inlineStr">
        <is>
          <t>PARSV IN</t>
        </is>
      </c>
      <c r="E812" s="379" t="inlineStr">
        <is>
          <t>INE561H01026</t>
        </is>
      </c>
    </row>
    <row r="813">
      <c r="A813" s="379" t="inlineStr">
        <is>
          <t>Patel Engineering Ltd</t>
        </is>
      </c>
      <c r="B813" s="379" t="inlineStr">
        <is>
          <t>PATELENG</t>
        </is>
      </c>
      <c r="C813" s="380" t="n">
        <v>131120</v>
      </c>
      <c r="D813" s="379" t="inlineStr">
        <is>
          <t>PEC IN</t>
        </is>
      </c>
      <c r="E813" s="379" t="inlineStr">
        <is>
          <t>INE244B01030</t>
        </is>
      </c>
    </row>
    <row r="814">
      <c r="A814" s="379" t="inlineStr">
        <is>
          <t>Paushak Ltd</t>
        </is>
      </c>
      <c r="B814" s="379" t="n"/>
      <c r="C814" s="380" t="n">
        <v>132742</v>
      </c>
      <c r="D814" s="379" t="inlineStr">
        <is>
          <t>PAUS IN</t>
        </is>
      </c>
      <c r="E814" s="379" t="inlineStr">
        <is>
          <t>INE111F01016</t>
        </is>
      </c>
    </row>
    <row r="815">
      <c r="A815" s="379" t="inlineStr">
        <is>
          <t>PB Fintech Ltd</t>
        </is>
      </c>
      <c r="B815" s="379" t="inlineStr">
        <is>
          <t>POLICYBZR</t>
        </is>
      </c>
      <c r="C815" s="380" t="n">
        <v>254493</v>
      </c>
      <c r="D815" s="379" t="inlineStr">
        <is>
          <t>POLICYBZ IN</t>
        </is>
      </c>
      <c r="E815" s="379" t="inlineStr">
        <is>
          <t>INE417T01026</t>
        </is>
      </c>
    </row>
    <row r="816">
      <c r="A816" s="379" t="inlineStr">
        <is>
          <t>PC Jeweller Ltd</t>
        </is>
      </c>
      <c r="B816" s="379" t="inlineStr">
        <is>
          <t>PCJEWELLER</t>
        </is>
      </c>
      <c r="C816" s="380" t="n">
        <v>223032</v>
      </c>
      <c r="D816" s="379" t="inlineStr">
        <is>
          <t>PCJL IN</t>
        </is>
      </c>
      <c r="E816" s="379" t="inlineStr">
        <is>
          <t>INE785M01013</t>
        </is>
      </c>
    </row>
    <row r="817">
      <c r="A817" s="379" t="inlineStr">
        <is>
          <t>PCBL Ltd</t>
        </is>
      </c>
      <c r="B817" s="379" t="inlineStr">
        <is>
          <t>PHILIPCARB</t>
        </is>
      </c>
      <c r="C817" s="380" t="n">
        <v>106590</v>
      </c>
      <c r="D817" s="379" t="inlineStr">
        <is>
          <t>PHCB IN</t>
        </is>
      </c>
      <c r="E817" s="379" t="inlineStr">
        <is>
          <t>INE602A01023</t>
        </is>
      </c>
    </row>
    <row r="818">
      <c r="A818" s="379" t="inlineStr">
        <is>
          <t>PDS Multinational Fashions Ltd</t>
        </is>
      </c>
      <c r="B818" s="379" t="inlineStr">
        <is>
          <t>PDSMFL</t>
        </is>
      </c>
      <c r="C818" s="380" t="n">
        <v>266384</v>
      </c>
      <c r="D818" s="379" t="inlineStr">
        <is>
          <t>PMFL IN</t>
        </is>
      </c>
      <c r="E818" s="379" t="inlineStr">
        <is>
          <t>INE111Q01013</t>
        </is>
      </c>
    </row>
    <row r="819">
      <c r="A819" s="379" t="inlineStr">
        <is>
          <t>Pearl Global Industries Ltd</t>
        </is>
      </c>
      <c r="B819" s="379" t="inlineStr">
        <is>
          <t>PGIL</t>
        </is>
      </c>
      <c r="C819" s="380" t="n">
        <v>132808</v>
      </c>
      <c r="D819" s="379" t="inlineStr">
        <is>
          <t>PGIL IN</t>
        </is>
      </c>
      <c r="E819" s="379" t="inlineStr">
        <is>
          <t>INE940H01014</t>
        </is>
      </c>
    </row>
    <row r="820">
      <c r="A820" s="379" t="inlineStr">
        <is>
          <t>Persistent Systems Ltd</t>
        </is>
      </c>
      <c r="B820" s="379" t="inlineStr">
        <is>
          <t>PERSISTENT</t>
        </is>
      </c>
      <c r="C820" s="380" t="n">
        <v>210590</v>
      </c>
      <c r="D820" s="379" t="inlineStr">
        <is>
          <t>PSYS IN</t>
        </is>
      </c>
      <c r="E820" s="379" t="inlineStr">
        <is>
          <t>INE262H01013</t>
        </is>
      </c>
    </row>
    <row r="821">
      <c r="A821" s="379" t="inlineStr">
        <is>
          <t>Petronet LNG Ltd</t>
        </is>
      </c>
      <c r="B821" s="379" t="inlineStr">
        <is>
          <t>PETRONET</t>
        </is>
      </c>
      <c r="C821" s="380" t="n">
        <v>132522</v>
      </c>
      <c r="D821" s="379" t="inlineStr">
        <is>
          <t>PLNG IN</t>
        </is>
      </c>
      <c r="E821" s="379" t="inlineStr">
        <is>
          <t>INE347G01014</t>
        </is>
      </c>
    </row>
    <row r="822">
      <c r="A822" s="379" t="inlineStr">
        <is>
          <t>Pfizer Ltd</t>
        </is>
      </c>
      <c r="B822" s="379" t="inlineStr">
        <is>
          <t>PFIZER</t>
        </is>
      </c>
      <c r="C822" s="380" t="n">
        <v>100680</v>
      </c>
      <c r="D822" s="379" t="inlineStr">
        <is>
          <t>PFIZ IN</t>
        </is>
      </c>
      <c r="E822" s="379" t="inlineStr">
        <is>
          <t>INE182A01018</t>
        </is>
      </c>
    </row>
    <row r="823">
      <c r="A823" s="379" t="inlineStr">
        <is>
          <t>PG Electroplast Ltd</t>
        </is>
      </c>
      <c r="B823" s="379" t="inlineStr">
        <is>
          <t>PGEL</t>
        </is>
      </c>
      <c r="C823" s="380" t="n">
        <v>222264</v>
      </c>
      <c r="D823" s="379" t="inlineStr">
        <is>
          <t>PGEL IN</t>
        </is>
      </c>
      <c r="E823" s="379" t="inlineStr">
        <is>
          <t>INE457L01011</t>
        </is>
      </c>
    </row>
    <row r="824">
      <c r="A824" s="379" t="inlineStr">
        <is>
          <t>PI Industries Ltd</t>
        </is>
      </c>
      <c r="B824" s="379" t="inlineStr">
        <is>
          <t>PIIND</t>
        </is>
      </c>
      <c r="C824" s="380" t="n">
        <v>123642</v>
      </c>
      <c r="D824" s="379" t="inlineStr">
        <is>
          <t>PI IN</t>
        </is>
      </c>
      <c r="E824" s="379" t="inlineStr">
        <is>
          <t>INE603J01030</t>
        </is>
      </c>
    </row>
    <row r="825">
      <c r="A825" s="379" t="inlineStr">
        <is>
          <t>Pidilite Industries Ltd</t>
        </is>
      </c>
      <c r="B825" s="379" t="inlineStr">
        <is>
          <t>PIDILITIND</t>
        </is>
      </c>
      <c r="C825" s="380" t="n">
        <v>100331</v>
      </c>
      <c r="D825" s="379" t="inlineStr">
        <is>
          <t>PIDI IN</t>
        </is>
      </c>
      <c r="E825" s="379" t="inlineStr">
        <is>
          <t>INE318A01026</t>
        </is>
      </c>
    </row>
    <row r="826">
      <c r="A826" s="379" t="inlineStr">
        <is>
          <t>Pilani Investment And Industries Corporation Ltd</t>
        </is>
      </c>
      <c r="B826" s="379" t="inlineStr">
        <is>
          <t>PILANIINVS</t>
        </is>
      </c>
      <c r="C826" s="380" t="n">
        <v>219267</v>
      </c>
      <c r="D826" s="379" t="inlineStr">
        <is>
          <t>PIICL IN</t>
        </is>
      </c>
      <c r="E826" s="379" t="inlineStr">
        <is>
          <t>INE417C01014</t>
        </is>
      </c>
    </row>
    <row r="827">
      <c r="A827" s="379" t="inlineStr">
        <is>
          <t>Piramal Enterprises Ltd</t>
        </is>
      </c>
      <c r="B827" s="379" t="inlineStr">
        <is>
          <t>PEL</t>
        </is>
      </c>
      <c r="C827" s="380" t="n">
        <v>100302</v>
      </c>
      <c r="D827" s="379" t="inlineStr">
        <is>
          <t>PIEL IN</t>
        </is>
      </c>
      <c r="E827" s="379" t="inlineStr">
        <is>
          <t>INE140A01024</t>
        </is>
      </c>
    </row>
    <row r="828">
      <c r="A828" s="379" t="inlineStr">
        <is>
          <t>Pitti Engineering Ltd</t>
        </is>
      </c>
      <c r="B828" s="379" t="inlineStr">
        <is>
          <t>PITTIENG</t>
        </is>
      </c>
      <c r="C828" s="380" t="n">
        <v>113519</v>
      </c>
      <c r="D828" s="379" t="inlineStr">
        <is>
          <t>PITTIENG IN</t>
        </is>
      </c>
      <c r="E828" s="379" t="inlineStr">
        <is>
          <t>INE450D01021</t>
        </is>
      </c>
    </row>
    <row r="829">
      <c r="A829" s="379" t="inlineStr">
        <is>
          <t>Pix Transmissions Ltd</t>
        </is>
      </c>
      <c r="B829" s="379" t="n"/>
      <c r="C829" s="380" t="n">
        <v>100333</v>
      </c>
      <c r="D829" s="379" t="inlineStr">
        <is>
          <t>PIX IN</t>
        </is>
      </c>
      <c r="E829" s="379" t="inlineStr">
        <is>
          <t>INE751B01018</t>
        </is>
      </c>
    </row>
    <row r="830">
      <c r="A830" s="379" t="inlineStr">
        <is>
          <t>Plastiblends India Ltd</t>
        </is>
      </c>
      <c r="B830" s="379" t="inlineStr">
        <is>
          <t>PLASTIBLEN</t>
        </is>
      </c>
      <c r="C830" s="380" t="n">
        <v>123648</v>
      </c>
      <c r="D830" s="379" t="inlineStr">
        <is>
          <t>PBL IN</t>
        </is>
      </c>
      <c r="E830" s="379" t="inlineStr">
        <is>
          <t>INE083C01022</t>
        </is>
      </c>
    </row>
    <row r="831">
      <c r="A831" s="379" t="inlineStr">
        <is>
          <t>PNB Gilts Ltd</t>
        </is>
      </c>
      <c r="B831" s="379" t="inlineStr">
        <is>
          <t>PNBGILTS</t>
        </is>
      </c>
      <c r="C831" s="380" t="n">
        <v>132366</v>
      </c>
      <c r="D831" s="379" t="inlineStr">
        <is>
          <t>PGLT IN</t>
        </is>
      </c>
      <c r="E831" s="379" t="inlineStr">
        <is>
          <t>INE859A01011</t>
        </is>
      </c>
    </row>
    <row r="832">
      <c r="A832" s="379" t="inlineStr">
        <is>
          <t>PNB Housing Finance Ltd</t>
        </is>
      </c>
      <c r="B832" s="379" t="inlineStr">
        <is>
          <t>PNBHOUSING</t>
        </is>
      </c>
      <c r="C832" s="380" t="n">
        <v>217757</v>
      </c>
      <c r="D832" s="379" t="inlineStr">
        <is>
          <t>PNBHOUSI IN</t>
        </is>
      </c>
      <c r="E832" s="379" t="inlineStr">
        <is>
          <t>INE572E01012</t>
        </is>
      </c>
    </row>
    <row r="833">
      <c r="A833" s="379" t="inlineStr">
        <is>
          <t>PNC Infratech Ltd</t>
        </is>
      </c>
      <c r="B833" s="379" t="inlineStr">
        <is>
          <t>PNCINFRA</t>
        </is>
      </c>
      <c r="C833" s="380" t="n">
        <v>200094</v>
      </c>
      <c r="D833" s="379" t="inlineStr">
        <is>
          <t>PNCL IN</t>
        </is>
      </c>
      <c r="E833" s="379" t="inlineStr">
        <is>
          <t>INE195J01029</t>
        </is>
      </c>
    </row>
    <row r="834">
      <c r="A834" s="379" t="inlineStr">
        <is>
          <t>Pokarna Ltd</t>
        </is>
      </c>
      <c r="B834" s="379" t="inlineStr">
        <is>
          <t>POKARNA</t>
        </is>
      </c>
      <c r="C834" s="380" t="n">
        <v>132486</v>
      </c>
      <c r="D834" s="379" t="inlineStr">
        <is>
          <t>POKR IN</t>
        </is>
      </c>
      <c r="E834" s="379" t="inlineStr">
        <is>
          <t>INE637C01025</t>
        </is>
      </c>
    </row>
    <row r="835">
      <c r="A835" s="379" t="inlineStr">
        <is>
          <t>Polo Queen Industrial &amp; Fintech Ltd</t>
        </is>
      </c>
      <c r="B835" s="379" t="n"/>
      <c r="C835" s="380" t="n">
        <v>220066</v>
      </c>
      <c r="D835" s="379" t="inlineStr">
        <is>
          <t>PQIF IN</t>
        </is>
      </c>
      <c r="E835" s="379" t="inlineStr">
        <is>
          <t>INE689M01017</t>
        </is>
      </c>
    </row>
    <row r="836">
      <c r="A836" s="379" t="inlineStr">
        <is>
          <t>Poly Medicure Ltd</t>
        </is>
      </c>
      <c r="B836" s="379" t="inlineStr">
        <is>
          <t>POLYMED</t>
        </is>
      </c>
      <c r="C836" s="380" t="n">
        <v>131768</v>
      </c>
      <c r="D836" s="379" t="inlineStr">
        <is>
          <t>PLM IN</t>
        </is>
      </c>
      <c r="E836" s="379" t="inlineStr">
        <is>
          <t>INE205C01021</t>
        </is>
      </c>
    </row>
    <row r="837">
      <c r="A837" s="379" t="inlineStr">
        <is>
          <t>Polycab India Ltd</t>
        </is>
      </c>
      <c r="B837" s="379" t="inlineStr">
        <is>
          <t>POLYCAB</t>
        </is>
      </c>
      <c r="C837" s="380" t="n">
        <v>211337</v>
      </c>
      <c r="D837" s="379" t="inlineStr">
        <is>
          <t>POLYCAB IN</t>
        </is>
      </c>
      <c r="E837" s="379" t="inlineStr">
        <is>
          <t>INE455K01017</t>
        </is>
      </c>
    </row>
    <row r="838">
      <c r="A838" s="379" t="inlineStr">
        <is>
          <t>Polyplex Corporation Ltd</t>
        </is>
      </c>
      <c r="B838" s="379" t="inlineStr">
        <is>
          <t>POLYPLEX</t>
        </is>
      </c>
      <c r="C838" s="380" t="n">
        <v>124051</v>
      </c>
      <c r="D838" s="379" t="inlineStr">
        <is>
          <t>PPC IN</t>
        </is>
      </c>
      <c r="E838" s="379" t="inlineStr">
        <is>
          <t>INE633B01018</t>
        </is>
      </c>
    </row>
    <row r="839">
      <c r="A839" s="379" t="inlineStr">
        <is>
          <t>Poonawalla Fincorp Ltd</t>
        </is>
      </c>
      <c r="B839" s="379" t="inlineStr">
        <is>
          <t>POONAWALLA</t>
        </is>
      </c>
      <c r="C839" s="380" t="n">
        <v>124000</v>
      </c>
      <c r="D839" s="379" t="inlineStr">
        <is>
          <t>POONAWAL IN</t>
        </is>
      </c>
      <c r="E839" s="379" t="inlineStr">
        <is>
          <t>INE511C01022</t>
        </is>
      </c>
    </row>
    <row r="840">
      <c r="A840" s="379" t="inlineStr">
        <is>
          <t>Power Finance Corporation Ltd</t>
        </is>
      </c>
      <c r="B840" s="379" t="inlineStr">
        <is>
          <t>PFC</t>
        </is>
      </c>
      <c r="C840" s="380" t="n">
        <v>132810</v>
      </c>
      <c r="D840" s="379" t="inlineStr">
        <is>
          <t>POWF IN</t>
        </is>
      </c>
      <c r="E840" s="379" t="inlineStr">
        <is>
          <t>INE134E01011</t>
        </is>
      </c>
    </row>
    <row r="841">
      <c r="A841" s="379" t="inlineStr">
        <is>
          <t>Power Grid Corporation Of India Ltd</t>
        </is>
      </c>
      <c r="B841" s="379" t="inlineStr">
        <is>
          <t>POWERGRID</t>
        </is>
      </c>
      <c r="C841" s="380" t="n">
        <v>132898</v>
      </c>
      <c r="D841" s="379" t="inlineStr">
        <is>
          <t>PWGR IN</t>
        </is>
      </c>
      <c r="E841" s="379" t="inlineStr">
        <is>
          <t>INE752E01010</t>
        </is>
      </c>
    </row>
    <row r="842">
      <c r="A842" s="379" t="inlineStr">
        <is>
          <t>Power Mech Projects Ltd</t>
        </is>
      </c>
      <c r="B842" s="379" t="inlineStr">
        <is>
          <t>POWERMECH</t>
        </is>
      </c>
      <c r="C842" s="380" t="n">
        <v>252076</v>
      </c>
      <c r="D842" s="379" t="inlineStr">
        <is>
          <t>POWM IN</t>
        </is>
      </c>
      <c r="E842" s="379" t="inlineStr">
        <is>
          <t>INE211R01019</t>
        </is>
      </c>
    </row>
    <row r="843">
      <c r="A843" s="379" t="inlineStr">
        <is>
          <t>Praj Industries Ltd</t>
        </is>
      </c>
      <c r="B843" s="379" t="inlineStr">
        <is>
          <t>PRAJIND</t>
        </is>
      </c>
      <c r="C843" s="380" t="n">
        <v>122205</v>
      </c>
      <c r="D843" s="379" t="inlineStr">
        <is>
          <t>PRJ IN</t>
        </is>
      </c>
      <c r="E843" s="379" t="inlineStr">
        <is>
          <t>INE074A01025</t>
        </is>
      </c>
    </row>
    <row r="844">
      <c r="A844" s="379" t="inlineStr">
        <is>
          <t>Prakash Industries Ltd</t>
        </is>
      </c>
      <c r="B844" s="379" t="inlineStr">
        <is>
          <t>PRAKASH</t>
        </is>
      </c>
      <c r="C844" s="380" t="n">
        <v>106022</v>
      </c>
      <c r="D844" s="379" t="inlineStr">
        <is>
          <t>PKI IN</t>
        </is>
      </c>
      <c r="E844" s="379" t="inlineStr">
        <is>
          <t>INE603A01013</t>
        </is>
      </c>
    </row>
    <row r="845">
      <c r="A845" s="379" t="inlineStr">
        <is>
          <t>Prataap Snacks Ltd</t>
        </is>
      </c>
      <c r="B845" s="379" t="inlineStr">
        <is>
          <t>DIAMONDYD</t>
        </is>
      </c>
      <c r="C845" s="380" t="n">
        <v>273894</v>
      </c>
      <c r="D845" s="379" t="inlineStr">
        <is>
          <t>DIAMOND IN</t>
        </is>
      </c>
      <c r="E845" s="379" t="inlineStr">
        <is>
          <t>INE393P01035</t>
        </is>
      </c>
    </row>
    <row r="846">
      <c r="A846" s="379" t="inlineStr">
        <is>
          <t>Precision Camshafts Ltd</t>
        </is>
      </c>
      <c r="B846" s="379" t="inlineStr">
        <is>
          <t>PRECAM</t>
        </is>
      </c>
      <c r="C846" s="380" t="n">
        <v>252077</v>
      </c>
      <c r="D846" s="379" t="inlineStr">
        <is>
          <t>PRECAM IN</t>
        </is>
      </c>
      <c r="E846" s="379" t="inlineStr">
        <is>
          <t>INE484I01029</t>
        </is>
      </c>
    </row>
    <row r="847">
      <c r="A847" s="379" t="inlineStr">
        <is>
          <t>Precision Wires India Ltd</t>
        </is>
      </c>
      <c r="B847" s="379" t="inlineStr">
        <is>
          <t>PRECWIRE</t>
        </is>
      </c>
      <c r="C847" s="380" t="n">
        <v>123539</v>
      </c>
      <c r="D847" s="379" t="inlineStr">
        <is>
          <t>PWI IN</t>
        </is>
      </c>
      <c r="E847" s="379" t="inlineStr">
        <is>
          <t>INE372C01037</t>
        </is>
      </c>
    </row>
    <row r="848">
      <c r="A848" s="379" t="inlineStr">
        <is>
          <t>Prestige Estates Projects Ltd</t>
        </is>
      </c>
      <c r="B848" s="379" t="inlineStr">
        <is>
          <t>PRESTIGE</t>
        </is>
      </c>
      <c r="C848" s="380" t="n">
        <v>213838</v>
      </c>
      <c r="D848" s="379" t="inlineStr">
        <is>
          <t>PEPL IN</t>
        </is>
      </c>
      <c r="E848" s="379" t="inlineStr">
        <is>
          <t>INE811K01011</t>
        </is>
      </c>
    </row>
    <row r="849">
      <c r="A849" s="379" t="inlineStr">
        <is>
          <t>Pricol Ltd</t>
        </is>
      </c>
      <c r="B849" s="379" t="inlineStr">
        <is>
          <t>PRICOLLTD</t>
        </is>
      </c>
      <c r="C849" s="380" t="n">
        <v>284650</v>
      </c>
      <c r="D849" s="379" t="inlineStr">
        <is>
          <t>PRICOL IN</t>
        </is>
      </c>
      <c r="E849" s="379" t="inlineStr">
        <is>
          <t>INE726V01018</t>
        </is>
      </c>
    </row>
    <row r="850">
      <c r="A850" s="379" t="inlineStr">
        <is>
          <t>Prime Focus Ltd</t>
        </is>
      </c>
      <c r="B850" s="379" t="inlineStr">
        <is>
          <t>PFOCUS</t>
        </is>
      </c>
      <c r="C850" s="380" t="n">
        <v>132748</v>
      </c>
      <c r="D850" s="379" t="inlineStr">
        <is>
          <t>PRIF IN</t>
        </is>
      </c>
      <c r="E850" s="379" t="inlineStr">
        <is>
          <t>INE367G01038</t>
        </is>
      </c>
    </row>
    <row r="851">
      <c r="A851" s="379" t="inlineStr">
        <is>
          <t>Prince Pipes and Fittings Ltd</t>
        </is>
      </c>
      <c r="B851" s="379" t="inlineStr">
        <is>
          <t>PRINCEPIPE</t>
        </is>
      </c>
      <c r="C851" s="380" t="n">
        <v>216564</v>
      </c>
      <c r="D851" s="379" t="inlineStr">
        <is>
          <t>PRINCPIP IN</t>
        </is>
      </c>
      <c r="E851" s="379" t="inlineStr">
        <is>
          <t>INE689W01016</t>
        </is>
      </c>
    </row>
    <row r="852">
      <c r="A852" s="379" t="inlineStr">
        <is>
          <t>Prism Johnson Ltd</t>
        </is>
      </c>
      <c r="B852" s="379" t="inlineStr">
        <is>
          <t>PRSMJOHNSN</t>
        </is>
      </c>
      <c r="C852" s="380" t="n">
        <v>100338</v>
      </c>
      <c r="D852" s="379" t="inlineStr">
        <is>
          <t>PRSMJ IN</t>
        </is>
      </c>
      <c r="E852" s="379" t="inlineStr">
        <is>
          <t>INE010A01011</t>
        </is>
      </c>
    </row>
    <row r="853">
      <c r="A853" s="379" t="inlineStr">
        <is>
          <t>Privi Speciality Chemicals Ltd</t>
        </is>
      </c>
      <c r="B853" s="379" t="inlineStr">
        <is>
          <t>PRIVISCL</t>
        </is>
      </c>
      <c r="C853" s="380" t="n">
        <v>130117</v>
      </c>
      <c r="D853" s="379" t="inlineStr">
        <is>
          <t>PRIVISCL IN</t>
        </is>
      </c>
      <c r="E853" s="379" t="inlineStr">
        <is>
          <t>INE959A01019</t>
        </is>
      </c>
    </row>
    <row r="854">
      <c r="A854" s="379" t="inlineStr">
        <is>
          <t>Procter &amp; Gamble Health Ltd</t>
        </is>
      </c>
      <c r="B854" s="379" t="inlineStr">
        <is>
          <t>PGHL</t>
        </is>
      </c>
      <c r="C854" s="380" t="n">
        <v>100126</v>
      </c>
      <c r="D854" s="379" t="inlineStr">
        <is>
          <t>PGHL IN</t>
        </is>
      </c>
      <c r="E854" s="379" t="inlineStr">
        <is>
          <t>INE199A01012</t>
        </is>
      </c>
    </row>
    <row r="855">
      <c r="A855" s="379" t="inlineStr">
        <is>
          <t>Procter &amp; Gamble Hygiene and Health Care Ltd</t>
        </is>
      </c>
      <c r="B855" s="379" t="inlineStr">
        <is>
          <t>PGHH</t>
        </is>
      </c>
      <c r="C855" s="380" t="n">
        <v>100459</v>
      </c>
      <c r="D855" s="379" t="inlineStr">
        <is>
          <t>PG IN</t>
        </is>
      </c>
      <c r="E855" s="379" t="inlineStr">
        <is>
          <t>INE179A01014</t>
        </is>
      </c>
    </row>
    <row r="856">
      <c r="A856" s="379" t="inlineStr">
        <is>
          <t>Prozone Intu Properties Ltd</t>
        </is>
      </c>
      <c r="B856" s="379" t="inlineStr">
        <is>
          <t>PROZONINTU</t>
        </is>
      </c>
      <c r="C856" s="380" t="n">
        <v>236038</v>
      </c>
      <c r="D856" s="379" t="inlineStr">
        <is>
          <t>PROZONE IN</t>
        </is>
      </c>
      <c r="E856" s="379" t="inlineStr">
        <is>
          <t>INE195N01013</t>
        </is>
      </c>
    </row>
    <row r="857">
      <c r="A857" s="379" t="inlineStr">
        <is>
          <t>PSP Projects Ltd</t>
        </is>
      </c>
      <c r="B857" s="379" t="inlineStr">
        <is>
          <t>PSPPROJECT</t>
        </is>
      </c>
      <c r="C857" s="380" t="n">
        <v>284184</v>
      </c>
      <c r="D857" s="379" t="inlineStr">
        <is>
          <t>PSPPL IN</t>
        </is>
      </c>
      <c r="E857" s="379" t="inlineStr">
        <is>
          <t>INE488V01015</t>
        </is>
      </c>
    </row>
    <row r="858">
      <c r="A858" s="379" t="inlineStr">
        <is>
          <t>PTC India Financial Services Ltd</t>
        </is>
      </c>
      <c r="B858" s="379" t="inlineStr">
        <is>
          <t>PFS</t>
        </is>
      </c>
      <c r="C858" s="380" t="n">
        <v>220532</v>
      </c>
      <c r="D858" s="379" t="inlineStr">
        <is>
          <t>PTCIF IN</t>
        </is>
      </c>
      <c r="E858" s="379" t="inlineStr">
        <is>
          <t>INE560K01014</t>
        </is>
      </c>
    </row>
    <row r="859">
      <c r="A859" s="379" t="inlineStr">
        <is>
          <t>PTC India Ltd</t>
        </is>
      </c>
      <c r="B859" s="379" t="inlineStr">
        <is>
          <t>PTC</t>
        </is>
      </c>
      <c r="C859" s="380" t="n">
        <v>132524</v>
      </c>
      <c r="D859" s="379" t="inlineStr">
        <is>
          <t>PTCIN IN</t>
        </is>
      </c>
      <c r="E859" s="379" t="inlineStr">
        <is>
          <t>INE877F01012</t>
        </is>
      </c>
    </row>
    <row r="860">
      <c r="A860" s="379" t="inlineStr">
        <is>
          <t>PTC Industries Ltd</t>
        </is>
      </c>
      <c r="B860" s="379" t="n"/>
      <c r="C860" s="380" t="n">
        <v>244937</v>
      </c>
      <c r="D860" s="379" t="inlineStr">
        <is>
          <t>PTIN IN</t>
        </is>
      </c>
      <c r="E860" s="379" t="inlineStr">
        <is>
          <t>INE596F01018</t>
        </is>
      </c>
    </row>
    <row r="861">
      <c r="A861" s="379" t="inlineStr">
        <is>
          <t>Punjab Alkalies &amp; Chemicals Ltd</t>
        </is>
      </c>
      <c r="B861" s="379" t="inlineStr">
        <is>
          <t>PUNALKALI</t>
        </is>
      </c>
      <c r="C861" s="380" t="n">
        <v>106852</v>
      </c>
      <c r="D861" s="379" t="inlineStr">
        <is>
          <t>PJAC IN</t>
        </is>
      </c>
      <c r="E861" s="379" t="inlineStr">
        <is>
          <t>INE607A01014</t>
        </is>
      </c>
    </row>
    <row r="862">
      <c r="A862" s="379" t="inlineStr">
        <is>
          <t>Punjab Chemicals &amp; Crop Protection Ltd</t>
        </is>
      </c>
      <c r="B862" s="379" t="inlineStr">
        <is>
          <t>PUNJABCHEM</t>
        </is>
      </c>
      <c r="C862" s="380" t="n">
        <v>106618</v>
      </c>
      <c r="D862" s="379" t="inlineStr">
        <is>
          <t>PCCP IN</t>
        </is>
      </c>
      <c r="E862" s="379" t="inlineStr">
        <is>
          <t>INE277B01014</t>
        </is>
      </c>
    </row>
    <row r="863">
      <c r="A863" s="379" t="inlineStr">
        <is>
          <t>Punjab National Bank</t>
        </is>
      </c>
      <c r="B863" s="379" t="inlineStr">
        <is>
          <t>PNB</t>
        </is>
      </c>
      <c r="C863" s="380" t="n">
        <v>132461</v>
      </c>
      <c r="D863" s="379" t="inlineStr">
        <is>
          <t>PNB IN</t>
        </is>
      </c>
      <c r="E863" s="379" t="inlineStr">
        <is>
          <t>INE160A01022</t>
        </is>
      </c>
    </row>
    <row r="864">
      <c r="A864" s="379" t="inlineStr">
        <is>
          <t>Puravankara Ltd</t>
        </is>
      </c>
      <c r="B864" s="379" t="inlineStr">
        <is>
          <t>PURVA</t>
        </is>
      </c>
      <c r="C864" s="380" t="n">
        <v>132891</v>
      </c>
      <c r="D864" s="379" t="inlineStr">
        <is>
          <t>PURVA IN</t>
        </is>
      </c>
      <c r="E864" s="379" t="inlineStr">
        <is>
          <t>INE323I01011</t>
        </is>
      </c>
    </row>
    <row r="865">
      <c r="A865" s="379" t="inlineStr">
        <is>
          <t>PVR Ltd</t>
        </is>
      </c>
      <c r="B865" s="379" t="inlineStr">
        <is>
          <t>PVR</t>
        </is>
      </c>
      <c r="C865" s="380" t="n">
        <v>132689</v>
      </c>
      <c r="D865" s="379" t="inlineStr">
        <is>
          <t>PVRL IN</t>
        </is>
      </c>
      <c r="E865" s="379" t="inlineStr">
        <is>
          <t>INE191H01014</t>
        </is>
      </c>
    </row>
    <row r="866">
      <c r="A866" s="379" t="inlineStr">
        <is>
          <t>Quess Corp Ltd</t>
        </is>
      </c>
      <c r="B866" s="379" t="inlineStr">
        <is>
          <t>QUESS</t>
        </is>
      </c>
      <c r="C866" s="380" t="n">
        <v>267389</v>
      </c>
      <c r="D866" s="379" t="inlineStr">
        <is>
          <t>QUESS IN</t>
        </is>
      </c>
      <c r="E866" s="379" t="inlineStr">
        <is>
          <t>INE615P01015</t>
        </is>
      </c>
    </row>
    <row r="867">
      <c r="A867" s="379" t="inlineStr">
        <is>
          <t>Quick Heal Technologies Ltd</t>
        </is>
      </c>
      <c r="B867" s="379" t="inlineStr">
        <is>
          <t>QUICKHEAL</t>
        </is>
      </c>
      <c r="C867" s="380" t="n">
        <v>223021</v>
      </c>
      <c r="D867" s="379" t="inlineStr">
        <is>
          <t>QUICKHEA IN</t>
        </is>
      </c>
      <c r="E867" s="379" t="inlineStr">
        <is>
          <t>INE306L01010</t>
        </is>
      </c>
    </row>
    <row r="868">
      <c r="A868" s="379" t="inlineStr">
        <is>
          <t>Quint Digital Media Ltd</t>
        </is>
      </c>
      <c r="B868" s="379" t="n"/>
      <c r="C868" s="380" t="n">
        <v>219575</v>
      </c>
      <c r="D868" s="379" t="inlineStr">
        <is>
          <t>GMRL IN</t>
        </is>
      </c>
      <c r="E868" s="379" t="inlineStr">
        <is>
          <t>INE641R01017</t>
        </is>
      </c>
    </row>
    <row r="869">
      <c r="A869" s="379" t="inlineStr">
        <is>
          <t>R Systems International Ltd</t>
        </is>
      </c>
      <c r="B869" s="379" t="inlineStr">
        <is>
          <t>RSYSTEMS</t>
        </is>
      </c>
      <c r="C869" s="380" t="n">
        <v>132735</v>
      </c>
      <c r="D869" s="379" t="inlineStr">
        <is>
          <t>RSYS IN</t>
        </is>
      </c>
      <c r="E869" s="379" t="inlineStr">
        <is>
          <t>INE411H01032</t>
        </is>
      </c>
    </row>
    <row r="870">
      <c r="A870" s="379" t="inlineStr">
        <is>
          <t>RACL Geartech Ltd</t>
        </is>
      </c>
      <c r="B870" s="379" t="n"/>
      <c r="C870" s="380" t="n">
        <v>120073</v>
      </c>
      <c r="D870" s="379" t="inlineStr">
        <is>
          <t>RAC IN</t>
        </is>
      </c>
      <c r="E870" s="379" t="inlineStr">
        <is>
          <t>INE704B01017</t>
        </is>
      </c>
    </row>
    <row r="871">
      <c r="A871" s="379" t="inlineStr">
        <is>
          <t>Radhe Developers (India) Ltd</t>
        </is>
      </c>
      <c r="B871" s="379" t="n"/>
      <c r="C871" s="380" t="n">
        <v>131273</v>
      </c>
      <c r="D871" s="379" t="inlineStr">
        <is>
          <t>RDD IN</t>
        </is>
      </c>
      <c r="E871" s="379" t="inlineStr">
        <is>
          <t>INE986B01036</t>
        </is>
      </c>
    </row>
    <row r="872">
      <c r="A872" s="379" t="inlineStr">
        <is>
          <t>Radico Khaitan Ltd</t>
        </is>
      </c>
      <c r="B872" s="379" t="inlineStr">
        <is>
          <t>RADICO</t>
        </is>
      </c>
      <c r="C872" s="380" t="n">
        <v>132497</v>
      </c>
      <c r="D872" s="379" t="inlineStr">
        <is>
          <t>RDCK IN</t>
        </is>
      </c>
      <c r="E872" s="379" t="inlineStr">
        <is>
          <t>INE944F01028</t>
        </is>
      </c>
    </row>
    <row r="873">
      <c r="A873" s="379" t="inlineStr">
        <is>
          <t>Raghav Productivity Enhancers Ltd</t>
        </is>
      </c>
      <c r="B873" s="379" t="n"/>
      <c r="C873" s="380" t="n">
        <v>280526</v>
      </c>
      <c r="D873" s="379" t="inlineStr">
        <is>
          <t>RPE IN</t>
        </is>
      </c>
      <c r="E873" s="379" t="inlineStr">
        <is>
          <t>INE912T01018</t>
        </is>
      </c>
    </row>
    <row r="874">
      <c r="A874" s="379" t="inlineStr">
        <is>
          <t>Raghuvir Synthetics Ltd</t>
        </is>
      </c>
      <c r="B874" s="379" t="n"/>
      <c r="C874" s="380" t="n">
        <v>114316</v>
      </c>
      <c r="D874" s="379" t="inlineStr">
        <is>
          <t>RGVS IN</t>
        </is>
      </c>
      <c r="E874" s="379" t="inlineStr">
        <is>
          <t>INE969C01022</t>
        </is>
      </c>
    </row>
    <row r="875">
      <c r="A875" s="379" t="inlineStr">
        <is>
          <t>Rail Vikas Nigam Ltd</t>
        </is>
      </c>
      <c r="B875" s="379" t="inlineStr">
        <is>
          <t>RVNL</t>
        </is>
      </c>
      <c r="C875" s="380" t="n">
        <v>209037</v>
      </c>
      <c r="D875" s="379" t="inlineStr">
        <is>
          <t>RVNL IN</t>
        </is>
      </c>
      <c r="E875" s="379" t="inlineStr">
        <is>
          <t>INE415G01027</t>
        </is>
      </c>
    </row>
    <row r="876">
      <c r="A876" s="379" t="inlineStr">
        <is>
          <t>Railtel Corporation Of India Ltd</t>
        </is>
      </c>
      <c r="B876" s="379" t="inlineStr">
        <is>
          <t>RAILTEL</t>
        </is>
      </c>
      <c r="C876" s="380" t="n">
        <v>209038</v>
      </c>
      <c r="D876" s="379" t="inlineStr">
        <is>
          <t>RAILTEL IN</t>
        </is>
      </c>
      <c r="E876" s="379" t="inlineStr">
        <is>
          <t>INE0DD101019</t>
        </is>
      </c>
    </row>
    <row r="877">
      <c r="A877" s="379" t="inlineStr">
        <is>
          <t>Rain Industries Ltd</t>
        </is>
      </c>
      <c r="B877" s="379" t="inlineStr">
        <is>
          <t>RAIN</t>
        </is>
      </c>
      <c r="C877" s="380" t="n">
        <v>100339</v>
      </c>
      <c r="D877" s="379" t="inlineStr">
        <is>
          <t>RINDL IN</t>
        </is>
      </c>
      <c r="E877" s="379" t="inlineStr">
        <is>
          <t>INE855B01025</t>
        </is>
      </c>
    </row>
    <row r="878">
      <c r="A878" s="379" t="inlineStr">
        <is>
          <t>Rajapalayam Mills Ltd</t>
        </is>
      </c>
      <c r="B878" s="379" t="inlineStr">
        <is>
          <t>RAJPALAYAM</t>
        </is>
      </c>
      <c r="C878" s="380" t="n">
        <v>132503</v>
      </c>
      <c r="D878" s="379" t="inlineStr">
        <is>
          <t>RJPM IN</t>
        </is>
      </c>
      <c r="E878" s="379" t="inlineStr">
        <is>
          <t>INE296E01026</t>
        </is>
      </c>
    </row>
    <row r="879">
      <c r="A879" s="379" t="inlineStr">
        <is>
          <t>Rajesh Exports Ltd</t>
        </is>
      </c>
      <c r="B879" s="379" t="inlineStr">
        <is>
          <t>RAJESHEXPO</t>
        </is>
      </c>
      <c r="C879" s="380" t="n">
        <v>131500</v>
      </c>
      <c r="D879" s="379" t="inlineStr">
        <is>
          <t>RJEX IN</t>
        </is>
      </c>
      <c r="E879" s="379" t="inlineStr">
        <is>
          <t>INE343B01030</t>
        </is>
      </c>
    </row>
    <row r="880">
      <c r="A880" s="379" t="inlineStr">
        <is>
          <t>Rajratan Global Wire Ltd</t>
        </is>
      </c>
      <c r="B880" s="379" t="inlineStr">
        <is>
          <t>RAJRATAN</t>
        </is>
      </c>
      <c r="C880" s="380" t="n">
        <v>117522</v>
      </c>
      <c r="D880" s="379" t="inlineStr">
        <is>
          <t>RGW IN</t>
        </is>
      </c>
      <c r="E880" s="379" t="inlineStr">
        <is>
          <t>INE451D01011</t>
        </is>
      </c>
    </row>
    <row r="881">
      <c r="A881" s="379" t="inlineStr">
        <is>
          <t>Rallis India Ltd</t>
        </is>
      </c>
      <c r="B881" s="379" t="inlineStr">
        <is>
          <t>RALLIS</t>
        </is>
      </c>
      <c r="C881" s="380" t="n">
        <v>100355</v>
      </c>
      <c r="D881" s="379" t="inlineStr">
        <is>
          <t>RALI IN</t>
        </is>
      </c>
      <c r="E881" s="379" t="inlineStr">
        <is>
          <t>INE613A01020</t>
        </is>
      </c>
    </row>
    <row r="882">
      <c r="A882" s="379" t="inlineStr">
        <is>
          <t>Rama Phosphates Ltd</t>
        </is>
      </c>
      <c r="B882" s="379" t="inlineStr">
        <is>
          <t>RAMAPHOSP</t>
        </is>
      </c>
      <c r="C882" s="380" t="n">
        <v>124037</v>
      </c>
      <c r="D882" s="379" t="inlineStr">
        <is>
          <t>RMPH IN</t>
        </is>
      </c>
      <c r="E882" s="379" t="inlineStr">
        <is>
          <t>INE809A01024</t>
        </is>
      </c>
    </row>
    <row r="883">
      <c r="A883" s="379" t="inlineStr">
        <is>
          <t>Ramco Industries Ltd</t>
        </is>
      </c>
      <c r="B883" s="379" t="inlineStr">
        <is>
          <t>RAMCOIND</t>
        </is>
      </c>
      <c r="C883" s="380" t="n">
        <v>132369</v>
      </c>
      <c r="D883" s="379" t="inlineStr">
        <is>
          <t>RAMCO IN</t>
        </is>
      </c>
      <c r="E883" s="379" t="inlineStr">
        <is>
          <t>INE614A01028</t>
        </is>
      </c>
    </row>
    <row r="884">
      <c r="A884" s="379" t="inlineStr">
        <is>
          <t>Ramco Systems Ltd</t>
        </is>
      </c>
      <c r="B884" s="379" t="inlineStr">
        <is>
          <t>RAMCOSYS</t>
        </is>
      </c>
      <c r="C884" s="380" t="n">
        <v>132370</v>
      </c>
      <c r="D884" s="379" t="inlineStr">
        <is>
          <t>RMCS IN</t>
        </is>
      </c>
      <c r="E884" s="379" t="inlineStr">
        <is>
          <t>INE246B01019</t>
        </is>
      </c>
    </row>
    <row r="885">
      <c r="A885" s="379" t="inlineStr">
        <is>
          <t>Ramkrishna Forgings Ltd</t>
        </is>
      </c>
      <c r="B885" s="379" t="inlineStr">
        <is>
          <t>RKFORGE</t>
        </is>
      </c>
      <c r="C885" s="380" t="n">
        <v>132527</v>
      </c>
      <c r="D885" s="379" t="inlineStr">
        <is>
          <t>RMKF IN</t>
        </is>
      </c>
      <c r="E885" s="379" t="inlineStr">
        <is>
          <t>INE399G01015</t>
        </is>
      </c>
    </row>
    <row r="886">
      <c r="A886" s="379" t="inlineStr">
        <is>
          <t>Ramky Infrastructure Ltd</t>
        </is>
      </c>
      <c r="B886" s="379" t="inlineStr">
        <is>
          <t>RAMKY</t>
        </is>
      </c>
      <c r="C886" s="380" t="n">
        <v>209058</v>
      </c>
      <c r="D886" s="379" t="inlineStr">
        <is>
          <t>RMKY IN</t>
        </is>
      </c>
      <c r="E886" s="379" t="inlineStr">
        <is>
          <t>INE874I01013</t>
        </is>
      </c>
    </row>
    <row r="887">
      <c r="A887" s="379" t="inlineStr">
        <is>
          <t>Rane (Madras) Ltd</t>
        </is>
      </c>
      <c r="B887" s="379" t="inlineStr">
        <is>
          <t>RML</t>
        </is>
      </c>
      <c r="C887" s="380" t="n">
        <v>132661</v>
      </c>
      <c r="D887" s="379" t="inlineStr">
        <is>
          <t>RML IN</t>
        </is>
      </c>
      <c r="E887" s="379" t="inlineStr">
        <is>
          <t>INE050H01012</t>
        </is>
      </c>
    </row>
    <row r="888">
      <c r="A888" s="379" t="inlineStr">
        <is>
          <t>Rane Brake Lining Ltd</t>
        </is>
      </c>
      <c r="B888" s="379" t="inlineStr">
        <is>
          <t>RBL</t>
        </is>
      </c>
      <c r="C888" s="380" t="n">
        <v>205383</v>
      </c>
      <c r="D888" s="379" t="inlineStr">
        <is>
          <t>RABL IN</t>
        </is>
      </c>
      <c r="E888" s="379" t="inlineStr">
        <is>
          <t>INE244J01017</t>
        </is>
      </c>
    </row>
    <row r="889">
      <c r="A889" s="379" t="inlineStr">
        <is>
          <t>Rane Holdings Ltd</t>
        </is>
      </c>
      <c r="B889" s="379" t="inlineStr">
        <is>
          <t>RANEHOLDIN</t>
        </is>
      </c>
      <c r="C889" s="380" t="n">
        <v>105800</v>
      </c>
      <c r="D889" s="379" t="inlineStr">
        <is>
          <t>RHL IN</t>
        </is>
      </c>
      <c r="E889" s="379" t="inlineStr">
        <is>
          <t>INE384A01010</t>
        </is>
      </c>
    </row>
    <row r="890">
      <c r="A890" s="379" t="inlineStr">
        <is>
          <t>Rashtriya Chemicals and Fertilizers Ltd</t>
        </is>
      </c>
      <c r="B890" s="379" t="inlineStr">
        <is>
          <t>RCF</t>
        </is>
      </c>
      <c r="C890" s="380" t="n">
        <v>124230</v>
      </c>
      <c r="D890" s="379" t="inlineStr">
        <is>
          <t>RCF IN</t>
        </is>
      </c>
      <c r="E890" s="379" t="inlineStr">
        <is>
          <t>INE027A01015</t>
        </is>
      </c>
    </row>
    <row r="891">
      <c r="A891" s="379" t="inlineStr">
        <is>
          <t>RateGain Travel Technologies Ltd</t>
        </is>
      </c>
      <c r="B891" s="379" t="inlineStr">
        <is>
          <t>RATEGAIN</t>
        </is>
      </c>
      <c r="C891" s="380" t="n">
        <v>303157</v>
      </c>
      <c r="D891" s="379" t="inlineStr">
        <is>
          <t>RATEGAIN IN</t>
        </is>
      </c>
      <c r="E891" s="379" t="inlineStr">
        <is>
          <t>INE0CLI01024</t>
        </is>
      </c>
    </row>
    <row r="892">
      <c r="A892" s="379" t="inlineStr">
        <is>
          <t>Ratnamani Metals &amp; Tubes Ltd</t>
        </is>
      </c>
      <c r="B892" s="379" t="inlineStr">
        <is>
          <t>RATNAMANI</t>
        </is>
      </c>
      <c r="C892" s="380" t="n">
        <v>120111</v>
      </c>
      <c r="D892" s="379" t="inlineStr">
        <is>
          <t>RMT IN</t>
        </is>
      </c>
      <c r="E892" s="379" t="inlineStr">
        <is>
          <t>INE703B01027</t>
        </is>
      </c>
    </row>
    <row r="893">
      <c r="A893" s="379" t="inlineStr">
        <is>
          <t>RattanIndia Enterprises Ltd</t>
        </is>
      </c>
      <c r="B893" s="379" t="inlineStr">
        <is>
          <t>RTNINDIA</t>
        </is>
      </c>
      <c r="C893" s="380" t="n">
        <v>229901</v>
      </c>
      <c r="D893" s="379" t="inlineStr">
        <is>
          <t>RATI IN</t>
        </is>
      </c>
      <c r="E893" s="379" t="inlineStr">
        <is>
          <t>INE834M01019</t>
        </is>
      </c>
    </row>
    <row r="894">
      <c r="A894" s="379" t="inlineStr">
        <is>
          <t>RattanIndia Power Ltd</t>
        </is>
      </c>
      <c r="B894" s="379" t="inlineStr">
        <is>
          <t>RTNPOWER</t>
        </is>
      </c>
      <c r="C894" s="380" t="n">
        <v>218933</v>
      </c>
      <c r="D894" s="379" t="inlineStr">
        <is>
          <t>RTPOW IN</t>
        </is>
      </c>
      <c r="E894" s="379" t="inlineStr">
        <is>
          <t>INE399K01017</t>
        </is>
      </c>
    </row>
    <row r="895">
      <c r="A895" s="379" t="inlineStr">
        <is>
          <t>Ravindra Energy Ltd</t>
        </is>
      </c>
      <c r="B895" s="379" t="n"/>
      <c r="C895" s="380" t="n">
        <v>104341</v>
      </c>
      <c r="D895" s="379" t="inlineStr">
        <is>
          <t>RELTD IN</t>
        </is>
      </c>
      <c r="E895" s="379" t="inlineStr">
        <is>
          <t>INE206N01018</t>
        </is>
      </c>
    </row>
    <row r="896">
      <c r="A896" s="379" t="inlineStr">
        <is>
          <t>Raymond Ltd</t>
        </is>
      </c>
      <c r="B896" s="379" t="inlineStr">
        <is>
          <t>RAYMOND</t>
        </is>
      </c>
      <c r="C896" s="380" t="n">
        <v>100330</v>
      </c>
      <c r="D896" s="379" t="inlineStr">
        <is>
          <t>RW IN</t>
        </is>
      </c>
      <c r="E896" s="379" t="inlineStr">
        <is>
          <t>INE301A01014</t>
        </is>
      </c>
    </row>
    <row r="897">
      <c r="A897" s="379" t="inlineStr">
        <is>
          <t>RBL Bank Ltd</t>
        </is>
      </c>
      <c r="B897" s="379" t="inlineStr">
        <is>
          <t>RBLBANK</t>
        </is>
      </c>
      <c r="C897" s="380" t="n">
        <v>209068</v>
      </c>
      <c r="D897" s="379" t="inlineStr">
        <is>
          <t>RBK IN</t>
        </is>
      </c>
      <c r="E897" s="379" t="inlineStr">
        <is>
          <t>INE976G01028</t>
        </is>
      </c>
    </row>
    <row r="898">
      <c r="A898" s="379" t="inlineStr">
        <is>
          <t>REC Ltd</t>
        </is>
      </c>
      <c r="B898" s="379" t="inlineStr">
        <is>
          <t>RECLTD</t>
        </is>
      </c>
      <c r="C898" s="380" t="n">
        <v>200055</v>
      </c>
      <c r="D898" s="379" t="inlineStr">
        <is>
          <t>RECL IN</t>
        </is>
      </c>
      <c r="E898" s="379" t="inlineStr">
        <is>
          <t>INE020B01018</t>
        </is>
      </c>
    </row>
    <row r="899">
      <c r="A899" s="379" t="inlineStr">
        <is>
          <t>Redington (India) Ltd</t>
        </is>
      </c>
      <c r="B899" s="379" t="inlineStr">
        <is>
          <t>REDINGTON</t>
        </is>
      </c>
      <c r="C899" s="380" t="n">
        <v>132805</v>
      </c>
      <c r="D899" s="379" t="inlineStr">
        <is>
          <t>REDI IN</t>
        </is>
      </c>
      <c r="E899" s="379" t="inlineStr">
        <is>
          <t>INE891D01026</t>
        </is>
      </c>
    </row>
    <row r="900">
      <c r="A900" s="379" t="inlineStr">
        <is>
          <t>Relaxo Footwears Ltd</t>
        </is>
      </c>
      <c r="B900" s="379" t="inlineStr">
        <is>
          <t>RELAXO</t>
        </is>
      </c>
      <c r="C900" s="380" t="n">
        <v>130517</v>
      </c>
      <c r="D900" s="379" t="inlineStr">
        <is>
          <t>RLXF IN</t>
        </is>
      </c>
      <c r="E900" s="379" t="inlineStr">
        <is>
          <t>INE131B01039</t>
        </is>
      </c>
    </row>
    <row r="901">
      <c r="A901" s="379" t="inlineStr">
        <is>
          <t>Reliance Communications Ltd</t>
        </is>
      </c>
      <c r="B901" s="379" t="inlineStr">
        <is>
          <t>RCOM</t>
        </is>
      </c>
      <c r="C901" s="380" t="n">
        <v>132712</v>
      </c>
      <c r="D901" s="379" t="inlineStr">
        <is>
          <t>RCOM IN</t>
        </is>
      </c>
      <c r="E901" s="379" t="inlineStr">
        <is>
          <t>INE330H01018</t>
        </is>
      </c>
    </row>
    <row r="902">
      <c r="A902" s="379" t="inlineStr">
        <is>
          <t>Reliance Industrial Infrastructure Ltd</t>
        </is>
      </c>
      <c r="B902" s="379" t="inlineStr">
        <is>
          <t>RIIL</t>
        </is>
      </c>
      <c r="C902" s="380" t="n">
        <v>123445</v>
      </c>
      <c r="D902" s="379" t="inlineStr">
        <is>
          <t>RIIL IN</t>
        </is>
      </c>
      <c r="E902" s="379" t="inlineStr">
        <is>
          <t>INE046A01015</t>
        </is>
      </c>
    </row>
    <row r="903">
      <c r="A903" s="379" t="inlineStr">
        <is>
          <t>Reliance Industries Ltd</t>
        </is>
      </c>
      <c r="B903" s="379" t="inlineStr">
        <is>
          <t>RELIANCE</t>
        </is>
      </c>
      <c r="C903" s="380" t="n">
        <v>100325</v>
      </c>
      <c r="D903" s="379" t="inlineStr">
        <is>
          <t>RIL IN</t>
        </is>
      </c>
      <c r="E903" s="379" t="inlineStr">
        <is>
          <t>INE002A01018</t>
        </is>
      </c>
    </row>
    <row r="904">
      <c r="A904" s="379" t="inlineStr">
        <is>
          <t>Reliance Infrastructure Ltd</t>
        </is>
      </c>
      <c r="B904" s="379" t="inlineStr">
        <is>
          <t>RELINFRA</t>
        </is>
      </c>
      <c r="C904" s="380" t="n">
        <v>100390</v>
      </c>
      <c r="D904" s="379" t="inlineStr">
        <is>
          <t>RELI IN</t>
        </is>
      </c>
      <c r="E904" s="379" t="inlineStr">
        <is>
          <t>INE036A01016</t>
        </is>
      </c>
    </row>
    <row r="905">
      <c r="A905" s="379" t="inlineStr">
        <is>
          <t>Reliance Power Ltd</t>
        </is>
      </c>
      <c r="B905" s="379" t="inlineStr">
        <is>
          <t>RPOWER</t>
        </is>
      </c>
      <c r="C905" s="380" t="n">
        <v>200039</v>
      </c>
      <c r="D905" s="379" t="inlineStr">
        <is>
          <t>RPWR IN</t>
        </is>
      </c>
      <c r="E905" s="379" t="inlineStr">
        <is>
          <t>INE614G01033</t>
        </is>
      </c>
    </row>
    <row r="906">
      <c r="A906" s="379" t="inlineStr">
        <is>
          <t>Religare Enterprises Ltd</t>
        </is>
      </c>
      <c r="B906" s="379" t="inlineStr">
        <is>
          <t>RELIGARE</t>
        </is>
      </c>
      <c r="C906" s="380" t="n">
        <v>132915</v>
      </c>
      <c r="D906" s="379" t="inlineStr">
        <is>
          <t>RELG IN</t>
        </is>
      </c>
      <c r="E906" s="379" t="inlineStr">
        <is>
          <t>INE621H01010</t>
        </is>
      </c>
    </row>
    <row r="907">
      <c r="A907" s="379" t="inlineStr">
        <is>
          <t>Renaissance Global Ltd</t>
        </is>
      </c>
      <c r="B907" s="379" t="inlineStr">
        <is>
          <t>RGL</t>
        </is>
      </c>
      <c r="C907" s="380" t="n">
        <v>132923</v>
      </c>
      <c r="D907" s="379" t="inlineStr">
        <is>
          <t>RENGL IN</t>
        </is>
      </c>
      <c r="E907" s="379" t="inlineStr">
        <is>
          <t>INE722H01016</t>
        </is>
      </c>
    </row>
    <row r="908">
      <c r="A908" s="379" t="inlineStr">
        <is>
          <t>Repco Home Finance Ltd</t>
        </is>
      </c>
      <c r="B908" s="379" t="inlineStr">
        <is>
          <t>REPCOHOME</t>
        </is>
      </c>
      <c r="C908" s="380" t="n">
        <v>209089</v>
      </c>
      <c r="D908" s="379" t="inlineStr">
        <is>
          <t>REPCO IN</t>
        </is>
      </c>
      <c r="E908" s="379" t="inlineStr">
        <is>
          <t>INE612J01015</t>
        </is>
      </c>
    </row>
    <row r="909">
      <c r="A909" s="379" t="inlineStr">
        <is>
          <t>Repro India Ltd</t>
        </is>
      </c>
      <c r="B909" s="379" t="inlineStr">
        <is>
          <t>REPRO</t>
        </is>
      </c>
      <c r="C909" s="380" t="n">
        <v>132687</v>
      </c>
      <c r="D909" s="379" t="inlineStr">
        <is>
          <t>REPR IN</t>
        </is>
      </c>
      <c r="E909" s="379" t="inlineStr">
        <is>
          <t>INE461B01014</t>
        </is>
      </c>
    </row>
    <row r="910">
      <c r="A910" s="379" t="inlineStr">
        <is>
          <t>Responsive Industries Ltd</t>
        </is>
      </c>
      <c r="B910" s="379" t="inlineStr">
        <is>
          <t>RESPONIND</t>
        </is>
      </c>
      <c r="C910" s="380" t="n">
        <v>105509</v>
      </c>
      <c r="D910" s="379" t="inlineStr">
        <is>
          <t>RESP IN</t>
        </is>
      </c>
      <c r="E910" s="379" t="inlineStr">
        <is>
          <t>INE688D01026</t>
        </is>
      </c>
    </row>
    <row r="911">
      <c r="A911" s="379" t="inlineStr">
        <is>
          <t>RHI Magnesita India Ltd</t>
        </is>
      </c>
      <c r="B911" s="379" t="inlineStr">
        <is>
          <t>RHIM</t>
        </is>
      </c>
      <c r="C911" s="380" t="n">
        <v>232353</v>
      </c>
      <c r="D911" s="379" t="inlineStr">
        <is>
          <t>RHIM IN</t>
        </is>
      </c>
      <c r="E911" s="379" t="inlineStr">
        <is>
          <t>INE743M01012</t>
        </is>
      </c>
    </row>
    <row r="912">
      <c r="A912" s="379" t="inlineStr">
        <is>
          <t>Rico Auto Industries Ltd</t>
        </is>
      </c>
      <c r="B912" s="379" t="inlineStr">
        <is>
          <t>RICOAUTO</t>
        </is>
      </c>
      <c r="C912" s="380" t="n">
        <v>120008</v>
      </c>
      <c r="D912" s="379" t="inlineStr">
        <is>
          <t>RAI IN</t>
        </is>
      </c>
      <c r="E912" s="379" t="inlineStr">
        <is>
          <t>INE209B01025</t>
        </is>
      </c>
    </row>
    <row r="913">
      <c r="A913" s="379" t="inlineStr">
        <is>
          <t>Rites Ltd</t>
        </is>
      </c>
      <c r="B913" s="379" t="inlineStr">
        <is>
          <t>RITES</t>
        </is>
      </c>
      <c r="C913" s="380" t="n">
        <v>209097</v>
      </c>
      <c r="D913" s="379" t="inlineStr">
        <is>
          <t>RITE IN</t>
        </is>
      </c>
      <c r="E913" s="379" t="inlineStr">
        <is>
          <t>INE320J01015</t>
        </is>
      </c>
    </row>
    <row r="914">
      <c r="A914" s="379" t="inlineStr">
        <is>
          <t>Ritesh Properties &amp; Industries Ltd</t>
        </is>
      </c>
      <c r="B914" s="379" t="n"/>
      <c r="C914" s="380" t="n">
        <v>126407</v>
      </c>
      <c r="D914" s="379" t="inlineStr">
        <is>
          <t>RPIL IN</t>
        </is>
      </c>
      <c r="E914" s="379" t="inlineStr">
        <is>
          <t>INE299D01014</t>
        </is>
      </c>
    </row>
    <row r="915">
      <c r="A915" s="379" t="inlineStr">
        <is>
          <t>Rolex Rings Ltd</t>
        </is>
      </c>
      <c r="B915" s="379" t="inlineStr">
        <is>
          <t>ROLEXRINGS</t>
        </is>
      </c>
      <c r="C915" s="380" t="n">
        <v>209099</v>
      </c>
      <c r="D915" s="379" t="inlineStr">
        <is>
          <t>ROLEXRIN IN</t>
        </is>
      </c>
      <c r="E915" s="379" t="inlineStr">
        <is>
          <t>INE645S01016</t>
        </is>
      </c>
    </row>
    <row r="916">
      <c r="A916" s="379" t="inlineStr">
        <is>
          <t>Rossari Biotech Ltd</t>
        </is>
      </c>
      <c r="B916" s="379" t="inlineStr">
        <is>
          <t>ROSSARI</t>
        </is>
      </c>
      <c r="C916" s="380" t="n">
        <v>233156</v>
      </c>
      <c r="D916" s="379" t="inlineStr">
        <is>
          <t>ROSSARI IN</t>
        </is>
      </c>
      <c r="E916" s="379" t="inlineStr">
        <is>
          <t>INE02A801020</t>
        </is>
      </c>
    </row>
    <row r="917">
      <c r="A917" s="379" t="inlineStr">
        <is>
          <t>Rossell India Ltd</t>
        </is>
      </c>
      <c r="B917" s="379" t="inlineStr">
        <is>
          <t>ROSSELLIND</t>
        </is>
      </c>
      <c r="C917" s="380" t="n">
        <v>219268</v>
      </c>
      <c r="D917" s="379" t="inlineStr">
        <is>
          <t>ROST IN</t>
        </is>
      </c>
      <c r="E917" s="379" t="inlineStr">
        <is>
          <t>INE847C01020</t>
        </is>
      </c>
    </row>
    <row r="918">
      <c r="A918" s="379" t="inlineStr">
        <is>
          <t>Roto Pumps Ltd</t>
        </is>
      </c>
      <c r="B918" s="379" t="n"/>
      <c r="C918" s="380" t="n">
        <v>117500</v>
      </c>
      <c r="D918" s="379" t="inlineStr">
        <is>
          <t>RTP IN</t>
        </is>
      </c>
      <c r="E918" s="379" t="inlineStr">
        <is>
          <t>INE535D01029</t>
        </is>
      </c>
    </row>
    <row r="919">
      <c r="A919" s="379" t="inlineStr">
        <is>
          <t>Route Mobile Ltd</t>
        </is>
      </c>
      <c r="B919" s="379" t="inlineStr">
        <is>
          <t>ROUTE</t>
        </is>
      </c>
      <c r="C919" s="380" t="n">
        <v>273198</v>
      </c>
      <c r="D919" s="379" t="inlineStr">
        <is>
          <t>ROUTE IN</t>
        </is>
      </c>
      <c r="E919" s="379" t="inlineStr">
        <is>
          <t>INE450U01017</t>
        </is>
      </c>
    </row>
    <row r="920">
      <c r="A920" s="379" t="inlineStr">
        <is>
          <t>RPG Life Sciences Ltd</t>
        </is>
      </c>
      <c r="B920" s="379" t="inlineStr">
        <is>
          <t>RPGLIFE</t>
        </is>
      </c>
      <c r="C920" s="380" t="n">
        <v>205250</v>
      </c>
      <c r="D920" s="379" t="inlineStr">
        <is>
          <t>RPGL IN</t>
        </is>
      </c>
      <c r="E920" s="379" t="inlineStr">
        <is>
          <t>INE105J01010</t>
        </is>
      </c>
    </row>
    <row r="921">
      <c r="A921" s="379" t="inlineStr">
        <is>
          <t>RPSG Ventures Ltd</t>
        </is>
      </c>
      <c r="B921" s="379" t="inlineStr">
        <is>
          <t>RPSGVENT</t>
        </is>
      </c>
      <c r="C921" s="380" t="n">
        <v>293705</v>
      </c>
      <c r="D921" s="379" t="inlineStr">
        <is>
          <t>CESCV IN</t>
        </is>
      </c>
      <c r="E921" s="379" t="inlineStr">
        <is>
          <t>INE425Y01011</t>
        </is>
      </c>
    </row>
    <row r="922">
      <c r="A922" s="379" t="inlineStr">
        <is>
          <t>RSWM Ltd</t>
        </is>
      </c>
      <c r="B922" s="379" t="inlineStr">
        <is>
          <t>RSWM</t>
        </is>
      </c>
      <c r="C922" s="380" t="n">
        <v>100350</v>
      </c>
      <c r="D922" s="379" t="inlineStr">
        <is>
          <t>RJS IN</t>
        </is>
      </c>
      <c r="E922" s="379" t="inlineStr">
        <is>
          <t>INE611A01016</t>
        </is>
      </c>
    </row>
    <row r="923">
      <c r="A923" s="379" t="inlineStr">
        <is>
          <t>Rubfila International Ltd</t>
        </is>
      </c>
      <c r="B923" s="379" t="inlineStr">
        <is>
          <t>RUBFILINTL</t>
        </is>
      </c>
      <c r="C923" s="380" t="n">
        <v>100367</v>
      </c>
      <c r="D923" s="379" t="inlineStr">
        <is>
          <t>RBFI IN</t>
        </is>
      </c>
      <c r="E923" s="379" t="inlineStr">
        <is>
          <t>INE642C01025</t>
        </is>
      </c>
    </row>
    <row r="924">
      <c r="A924" s="379" t="inlineStr">
        <is>
          <t>Ruchi Soya Industries Ltd</t>
        </is>
      </c>
      <c r="B924" s="379" t="inlineStr">
        <is>
          <t>RUCHI</t>
        </is>
      </c>
      <c r="C924" s="380" t="n">
        <v>100368</v>
      </c>
      <c r="D924" s="379" t="inlineStr">
        <is>
          <t>RSI IN</t>
        </is>
      </c>
      <c r="E924" s="379" t="inlineStr">
        <is>
          <t>INE619A01035</t>
        </is>
      </c>
    </row>
    <row r="925">
      <c r="A925" s="379" t="inlineStr">
        <is>
          <t>Rupa &amp; Company Ltd</t>
        </is>
      </c>
      <c r="B925" s="379" t="inlineStr">
        <is>
          <t>RUPA</t>
        </is>
      </c>
      <c r="C925" s="380" t="n">
        <v>221363</v>
      </c>
      <c r="D925" s="379" t="inlineStr">
        <is>
          <t>RUPA IN</t>
        </is>
      </c>
      <c r="E925" s="379" t="inlineStr">
        <is>
          <t>INE895B01021</t>
        </is>
      </c>
    </row>
    <row r="926">
      <c r="A926" s="379" t="inlineStr">
        <is>
          <t>Rushil Decor Ltd</t>
        </is>
      </c>
      <c r="B926" s="379" t="inlineStr">
        <is>
          <t>RUSHIL</t>
        </is>
      </c>
      <c r="C926" s="380" t="n">
        <v>213993</v>
      </c>
      <c r="D926" s="379" t="inlineStr">
        <is>
          <t>RDL IN</t>
        </is>
      </c>
      <c r="E926" s="379" t="inlineStr">
        <is>
          <t>INE573K01017</t>
        </is>
      </c>
    </row>
    <row r="927">
      <c r="A927" s="379" t="inlineStr">
        <is>
          <t>SPApparels Ltd</t>
        </is>
      </c>
      <c r="B927" s="379" t="inlineStr">
        <is>
          <t>SPAL</t>
        </is>
      </c>
      <c r="C927" s="380" t="n">
        <v>209127</v>
      </c>
      <c r="D927" s="379" t="inlineStr">
        <is>
          <t>SPAL IN</t>
        </is>
      </c>
      <c r="E927" s="379" t="inlineStr">
        <is>
          <t>INE212I01016</t>
        </is>
      </c>
    </row>
    <row r="928">
      <c r="A928" s="379" t="inlineStr">
        <is>
          <t>Sadbhav Engineering Ltd</t>
        </is>
      </c>
      <c r="B928" s="379" t="inlineStr">
        <is>
          <t>SADBHAV</t>
        </is>
      </c>
      <c r="C928" s="380" t="n">
        <v>132710</v>
      </c>
      <c r="D928" s="379" t="inlineStr">
        <is>
          <t>SADE IN</t>
        </is>
      </c>
      <c r="E928" s="379" t="inlineStr">
        <is>
          <t>INE226H01026</t>
        </is>
      </c>
    </row>
    <row r="929">
      <c r="A929" s="379" t="inlineStr">
        <is>
          <t>Sadbhav Infrastructure Project Ltd</t>
        </is>
      </c>
      <c r="B929" s="379" t="inlineStr">
        <is>
          <t>SADBHIN</t>
        </is>
      </c>
      <c r="C929" s="380" t="n">
        <v>229458</v>
      </c>
      <c r="D929" s="379" t="inlineStr">
        <is>
          <t>SINP IN</t>
        </is>
      </c>
      <c r="E929" s="379" t="inlineStr">
        <is>
          <t>INE764L01010</t>
        </is>
      </c>
    </row>
    <row r="930">
      <c r="A930" s="379" t="inlineStr">
        <is>
          <t>Sadhana Nitro Chem Ltd</t>
        </is>
      </c>
      <c r="B930" s="379" t="n"/>
      <c r="C930" s="380" t="n">
        <v>106642</v>
      </c>
      <c r="D930" s="379" t="inlineStr">
        <is>
          <t>SNC IN</t>
        </is>
      </c>
      <c r="E930" s="379" t="inlineStr">
        <is>
          <t>INE888C01040</t>
        </is>
      </c>
    </row>
    <row r="931">
      <c r="A931" s="379" t="inlineStr">
        <is>
          <t>Safari Industries (India) Ltd</t>
        </is>
      </c>
      <c r="B931" s="379" t="inlineStr">
        <is>
          <t>SAFARI</t>
        </is>
      </c>
      <c r="C931" s="380" t="n">
        <v>123025</v>
      </c>
      <c r="D931" s="379" t="inlineStr">
        <is>
          <t>SII IN</t>
        </is>
      </c>
      <c r="E931" s="379" t="inlineStr">
        <is>
          <t>INE429E01023</t>
        </is>
      </c>
    </row>
    <row r="932">
      <c r="A932" s="379" t="inlineStr">
        <is>
          <t>Sagar Cements Ltd</t>
        </is>
      </c>
      <c r="B932" s="379" t="inlineStr">
        <is>
          <t>SAGCEM</t>
        </is>
      </c>
      <c r="C932" s="380" t="n">
        <v>102090</v>
      </c>
      <c r="D932" s="379" t="inlineStr">
        <is>
          <t>SGC IN</t>
        </is>
      </c>
      <c r="E932" s="379" t="inlineStr">
        <is>
          <t>INE229C01021</t>
        </is>
      </c>
    </row>
    <row r="933">
      <c r="A933" s="379" t="inlineStr">
        <is>
          <t>Sahyadri Industries Ltd</t>
        </is>
      </c>
      <c r="B933" s="379" t="n"/>
      <c r="C933" s="380" t="n">
        <v>132841</v>
      </c>
      <c r="D933" s="379" t="inlineStr">
        <is>
          <t>SAHI IN</t>
        </is>
      </c>
      <c r="E933" s="379" t="inlineStr">
        <is>
          <t>INE280H01015</t>
        </is>
      </c>
    </row>
    <row r="934">
      <c r="A934" s="379" t="inlineStr">
        <is>
          <t>Saint-Gobain Sekurit India Ltd</t>
        </is>
      </c>
      <c r="B934" s="379" t="n"/>
      <c r="C934" s="380" t="n">
        <v>115043</v>
      </c>
      <c r="D934" s="379" t="inlineStr">
        <is>
          <t>MHGA IN</t>
        </is>
      </c>
      <c r="E934" s="379" t="inlineStr">
        <is>
          <t>INE068B01017</t>
        </is>
      </c>
    </row>
    <row r="935">
      <c r="A935" s="379" t="inlineStr">
        <is>
          <t>Saksoft Ltd</t>
        </is>
      </c>
      <c r="B935" s="379" t="inlineStr">
        <is>
          <t>SAKSOFT</t>
        </is>
      </c>
      <c r="C935" s="380" t="n">
        <v>190051</v>
      </c>
      <c r="D935" s="379" t="inlineStr">
        <is>
          <t>SAK IN</t>
        </is>
      </c>
      <c r="E935" s="379" t="inlineStr">
        <is>
          <t>INE667G01015</t>
        </is>
      </c>
    </row>
    <row r="936">
      <c r="A936" s="379" t="inlineStr">
        <is>
          <t>Salasar Techno Engineering Ltd</t>
        </is>
      </c>
      <c r="B936" s="379" t="inlineStr">
        <is>
          <t>SALASAR</t>
        </is>
      </c>
      <c r="C936" s="380" t="n">
        <v>284680</v>
      </c>
      <c r="D936" s="379" t="inlineStr">
        <is>
          <t>SALASAR IN</t>
        </is>
      </c>
      <c r="E936" s="379" t="inlineStr">
        <is>
          <t>INE170V01019</t>
        </is>
      </c>
    </row>
    <row r="937">
      <c r="A937" s="379" t="inlineStr">
        <is>
          <t>Sandhar Technologies Ltd</t>
        </is>
      </c>
      <c r="B937" s="379" t="inlineStr">
        <is>
          <t>SANDHAR</t>
        </is>
      </c>
      <c r="C937" s="380" t="n">
        <v>209165</v>
      </c>
      <c r="D937" s="379" t="inlineStr">
        <is>
          <t>SANDHAR IN</t>
        </is>
      </c>
      <c r="E937" s="379" t="inlineStr">
        <is>
          <t>INE278H01035</t>
        </is>
      </c>
    </row>
    <row r="938">
      <c r="A938" s="379" t="inlineStr">
        <is>
          <t>Sandur Manganese &amp; Iron Ores Ltd</t>
        </is>
      </c>
      <c r="B938" s="379" t="n"/>
      <c r="C938" s="380" t="n">
        <v>104918</v>
      </c>
      <c r="D938" s="379" t="inlineStr">
        <is>
          <t>SMIO IN</t>
        </is>
      </c>
      <c r="E938" s="379" t="inlineStr">
        <is>
          <t>INE149K01016</t>
        </is>
      </c>
    </row>
    <row r="939">
      <c r="A939" s="379" t="inlineStr">
        <is>
          <t>Sangam (India) Ltd</t>
        </is>
      </c>
      <c r="B939" s="379" t="inlineStr">
        <is>
          <t>SANGAMIND</t>
        </is>
      </c>
      <c r="C939" s="380" t="n">
        <v>114234</v>
      </c>
      <c r="D939" s="379" t="inlineStr">
        <is>
          <t>SNGM IN</t>
        </is>
      </c>
      <c r="E939" s="379" t="inlineStr">
        <is>
          <t>INE495C01010</t>
        </is>
      </c>
    </row>
    <row r="940">
      <c r="A940" s="379" t="inlineStr">
        <is>
          <t>Sanghi Industries Ltd</t>
        </is>
      </c>
      <c r="B940" s="379" t="inlineStr">
        <is>
          <t>SANGHIIND</t>
        </is>
      </c>
      <c r="C940" s="380" t="n">
        <v>126521</v>
      </c>
      <c r="D940" s="379" t="inlineStr">
        <is>
          <t>SNGI IN</t>
        </is>
      </c>
      <c r="E940" s="379" t="inlineStr">
        <is>
          <t>INE999B01013</t>
        </is>
      </c>
    </row>
    <row r="941">
      <c r="A941" s="379" t="inlineStr">
        <is>
          <t>Sanghvi Movers Ltd</t>
        </is>
      </c>
      <c r="B941" s="379" t="inlineStr">
        <is>
          <t>SANGHVIMOV</t>
        </is>
      </c>
      <c r="C941" s="380" t="n">
        <v>130073</v>
      </c>
      <c r="D941" s="379" t="inlineStr">
        <is>
          <t>SGM IN</t>
        </is>
      </c>
      <c r="E941" s="379" t="inlineStr">
        <is>
          <t>INE989A01024</t>
        </is>
      </c>
    </row>
    <row r="942">
      <c r="A942" s="379" t="inlineStr">
        <is>
          <t>Sanofi India Ltd</t>
        </is>
      </c>
      <c r="B942" s="379" t="inlineStr">
        <is>
          <t>SANOFI</t>
        </is>
      </c>
      <c r="C942" s="380" t="n">
        <v>100674</v>
      </c>
      <c r="D942" s="379" t="inlineStr">
        <is>
          <t>SANL IN</t>
        </is>
      </c>
      <c r="E942" s="379" t="inlineStr">
        <is>
          <t>INE058A01010</t>
        </is>
      </c>
    </row>
    <row r="943">
      <c r="A943" s="379" t="inlineStr">
        <is>
          <t>Sansera Engineering Ltd</t>
        </is>
      </c>
      <c r="B943" s="379" t="inlineStr">
        <is>
          <t>SANSERA</t>
        </is>
      </c>
      <c r="C943" s="380" t="n">
        <v>214084</v>
      </c>
      <c r="D943" s="379" t="inlineStr">
        <is>
          <t>SANSERA IN</t>
        </is>
      </c>
      <c r="E943" s="379" t="inlineStr">
        <is>
          <t>INE953O01021</t>
        </is>
      </c>
    </row>
    <row r="944">
      <c r="A944" s="379" t="inlineStr">
        <is>
          <t>Sapphire Foods India Ltd</t>
        </is>
      </c>
      <c r="B944" s="379" t="inlineStr">
        <is>
          <t>SAPPHIRE</t>
        </is>
      </c>
      <c r="C944" s="380" t="n">
        <v>303107</v>
      </c>
      <c r="D944" s="379" t="inlineStr">
        <is>
          <t>SAPPHIRE IN</t>
        </is>
      </c>
      <c r="E944" s="379" t="inlineStr">
        <is>
          <t>INE806T01012</t>
        </is>
      </c>
    </row>
    <row r="945">
      <c r="A945" s="379" t="inlineStr">
        <is>
          <t>Sarda Energy &amp; Minerals Ltd</t>
        </is>
      </c>
      <c r="B945" s="379" t="inlineStr">
        <is>
          <t>SARDAEN</t>
        </is>
      </c>
      <c r="C945" s="380" t="n">
        <v>104614</v>
      </c>
      <c r="D945" s="379" t="inlineStr">
        <is>
          <t>SEML IN</t>
        </is>
      </c>
      <c r="E945" s="379" t="inlineStr">
        <is>
          <t>INE385C01013</t>
        </is>
      </c>
    </row>
    <row r="946">
      <c r="A946" s="379" t="inlineStr">
        <is>
          <t>Saregama India Ltd</t>
        </is>
      </c>
      <c r="B946" s="379" t="inlineStr">
        <is>
          <t>SAREGAMA</t>
        </is>
      </c>
      <c r="C946" s="380" t="n">
        <v>132163</v>
      </c>
      <c r="D946" s="379" t="inlineStr">
        <is>
          <t>SARE IN</t>
        </is>
      </c>
      <c r="E946" s="379" t="inlineStr">
        <is>
          <t>INE979A01017</t>
        </is>
      </c>
    </row>
    <row r="947">
      <c r="A947" s="379" t="inlineStr">
        <is>
          <t>Sarla Performance Fibers Ltd</t>
        </is>
      </c>
      <c r="B947" s="379" t="inlineStr">
        <is>
          <t>SARLAPOLY</t>
        </is>
      </c>
      <c r="C947" s="380" t="n">
        <v>126885</v>
      </c>
      <c r="D947" s="379" t="inlineStr">
        <is>
          <t>SRPL IN</t>
        </is>
      </c>
      <c r="E947" s="379" t="inlineStr">
        <is>
          <t>INE453D01025</t>
        </is>
      </c>
    </row>
    <row r="948">
      <c r="A948" s="379" t="inlineStr">
        <is>
          <t>Sasken Technologies Ltd</t>
        </is>
      </c>
      <c r="B948" s="379" t="inlineStr">
        <is>
          <t>SASKEN</t>
        </is>
      </c>
      <c r="C948" s="380" t="n">
        <v>132663</v>
      </c>
      <c r="D948" s="379" t="inlineStr">
        <is>
          <t>SASKEN IN</t>
        </is>
      </c>
      <c r="E948" s="379" t="inlineStr">
        <is>
          <t>INE231F01020</t>
        </is>
      </c>
    </row>
    <row r="949">
      <c r="A949" s="379" t="inlineStr">
        <is>
          <t>Sastasundar Ventures Ltd</t>
        </is>
      </c>
      <c r="B949" s="379" t="inlineStr">
        <is>
          <t>SASTASUNDR</t>
        </is>
      </c>
      <c r="C949" s="380" t="n">
        <v>208736</v>
      </c>
      <c r="D949" s="379" t="inlineStr">
        <is>
          <t>SASV IN</t>
        </is>
      </c>
      <c r="E949" s="379" t="inlineStr">
        <is>
          <t>INE019J01013</t>
        </is>
      </c>
    </row>
    <row r="950">
      <c r="A950" s="379" t="inlineStr">
        <is>
          <t>Satia Industries Ltd</t>
        </is>
      </c>
      <c r="B950" s="379" t="inlineStr">
        <is>
          <t>SATIA</t>
        </is>
      </c>
      <c r="C950" s="380" t="n">
        <v>209185</v>
      </c>
      <c r="D950" s="379" t="inlineStr">
        <is>
          <t>SATIA IN</t>
        </is>
      </c>
      <c r="E950" s="379" t="inlineStr">
        <is>
          <t>INE170E01023</t>
        </is>
      </c>
    </row>
    <row r="951">
      <c r="A951" s="379" t="inlineStr">
        <is>
          <t>Satin Creditcare Network Ltd</t>
        </is>
      </c>
      <c r="B951" s="379" t="inlineStr">
        <is>
          <t>SATIN</t>
        </is>
      </c>
      <c r="C951" s="380" t="n">
        <v>240474</v>
      </c>
      <c r="D951" s="379" t="inlineStr">
        <is>
          <t>SATIN IN</t>
        </is>
      </c>
      <c r="E951" s="379" t="inlineStr">
        <is>
          <t>INE836B01017</t>
        </is>
      </c>
    </row>
    <row r="952">
      <c r="A952" s="379" t="inlineStr">
        <is>
          <t>Savita Oil Technologies Ltd</t>
        </is>
      </c>
      <c r="B952" s="379" t="inlineStr">
        <is>
          <t>SOTL</t>
        </is>
      </c>
      <c r="C952" s="380" t="n">
        <v>124667</v>
      </c>
      <c r="D952" s="379" t="inlineStr">
        <is>
          <t>STEC IN</t>
        </is>
      </c>
      <c r="E952" s="379" t="inlineStr">
        <is>
          <t>INE035D01012</t>
        </is>
      </c>
    </row>
    <row r="953">
      <c r="A953" s="379" t="inlineStr">
        <is>
          <t>SBI Cards And Payment Services Ltd</t>
        </is>
      </c>
      <c r="B953" s="379" t="inlineStr">
        <is>
          <t>SBICARD</t>
        </is>
      </c>
      <c r="C953" s="380" t="n">
        <v>225051</v>
      </c>
      <c r="D953" s="379" t="inlineStr">
        <is>
          <t>SBICARD IN</t>
        </is>
      </c>
      <c r="E953" s="379" t="inlineStr">
        <is>
          <t>INE018E01016</t>
        </is>
      </c>
    </row>
    <row r="954">
      <c r="A954" s="379" t="inlineStr">
        <is>
          <t>SBI Life Insurance Company Ltd</t>
        </is>
      </c>
      <c r="B954" s="379" t="inlineStr">
        <is>
          <t>SBILIFE</t>
        </is>
      </c>
      <c r="C954" s="380" t="n">
        <v>211385</v>
      </c>
      <c r="D954" s="379" t="inlineStr">
        <is>
          <t>SBILIFE IN</t>
        </is>
      </c>
      <c r="E954" s="379" t="inlineStr">
        <is>
          <t>INE123W01016</t>
        </is>
      </c>
    </row>
    <row r="955">
      <c r="A955" s="379" t="inlineStr">
        <is>
          <t>Schaeffler India Ltd</t>
        </is>
      </c>
      <c r="B955" s="379" t="inlineStr">
        <is>
          <t>SCHAEFFLER</t>
        </is>
      </c>
      <c r="C955" s="380" t="n">
        <v>105790</v>
      </c>
      <c r="D955" s="379" t="inlineStr">
        <is>
          <t>SCHFL IN</t>
        </is>
      </c>
      <c r="E955" s="379" t="inlineStr">
        <is>
          <t>INE513A01014</t>
        </is>
      </c>
    </row>
    <row r="956">
      <c r="A956" s="379" t="inlineStr">
        <is>
          <t>Schneider Electric Infrastructure Ltd</t>
        </is>
      </c>
      <c r="B956" s="379" t="inlineStr">
        <is>
          <t>SCHNEIDER</t>
        </is>
      </c>
      <c r="C956" s="380" t="n">
        <v>229820</v>
      </c>
      <c r="D956" s="379" t="inlineStr">
        <is>
          <t>SCHN IN</t>
        </is>
      </c>
      <c r="E956" s="379" t="inlineStr">
        <is>
          <t>INE839M01018</t>
        </is>
      </c>
    </row>
    <row r="957">
      <c r="A957" s="379" t="inlineStr">
        <is>
          <t>Seacoast Shipping Services Ltd</t>
        </is>
      </c>
      <c r="B957" s="379" t="n"/>
      <c r="C957" s="380" t="n">
        <v>295781</v>
      </c>
      <c r="D957" s="379" t="inlineStr">
        <is>
          <t>SEACOAST IN</t>
        </is>
      </c>
      <c r="E957" s="379" t="inlineStr">
        <is>
          <t>INE277T01016</t>
        </is>
      </c>
    </row>
    <row r="958">
      <c r="A958" s="379" t="inlineStr">
        <is>
          <t>Seamec Ltd</t>
        </is>
      </c>
      <c r="B958" s="379" t="inlineStr">
        <is>
          <t>SEAMECLTD</t>
        </is>
      </c>
      <c r="C958" s="380" t="n">
        <v>126807</v>
      </c>
      <c r="D958" s="379" t="inlineStr">
        <is>
          <t>SEAM IN</t>
        </is>
      </c>
      <c r="E958" s="379" t="inlineStr">
        <is>
          <t>INE497B01018</t>
        </is>
      </c>
    </row>
    <row r="959">
      <c r="A959" s="379" t="inlineStr">
        <is>
          <t>Sequent Scientific Ltd</t>
        </is>
      </c>
      <c r="B959" s="379" t="inlineStr">
        <is>
          <t>SEQUENT</t>
        </is>
      </c>
      <c r="C959" s="380" t="n">
        <v>112529</v>
      </c>
      <c r="D959" s="379" t="inlineStr">
        <is>
          <t>SEQ IN</t>
        </is>
      </c>
      <c r="E959" s="379" t="inlineStr">
        <is>
          <t>INE807F01027</t>
        </is>
      </c>
    </row>
    <row r="960">
      <c r="A960" s="379" t="inlineStr">
        <is>
          <t>Seshasayee Paper and Boards Ltd</t>
        </is>
      </c>
      <c r="B960" s="379" t="inlineStr">
        <is>
          <t>SESHAPAPER</t>
        </is>
      </c>
      <c r="C960" s="380" t="n">
        <v>102450</v>
      </c>
      <c r="D960" s="379" t="inlineStr">
        <is>
          <t>SPB IN</t>
        </is>
      </c>
      <c r="E960" s="379" t="inlineStr">
        <is>
          <t>INE630A01024</t>
        </is>
      </c>
    </row>
    <row r="961">
      <c r="A961" s="379" t="inlineStr">
        <is>
          <t>SH Kelkar And Company Ltd</t>
        </is>
      </c>
      <c r="B961" s="379" t="inlineStr">
        <is>
          <t>SHK</t>
        </is>
      </c>
      <c r="C961" s="380" t="n">
        <v>220884</v>
      </c>
      <c r="D961" s="379" t="inlineStr">
        <is>
          <t>SHKL IN</t>
        </is>
      </c>
      <c r="E961" s="379" t="inlineStr">
        <is>
          <t>INE500L01026</t>
        </is>
      </c>
    </row>
    <row r="962">
      <c r="A962" s="379" t="inlineStr">
        <is>
          <t>Shaily Engineering Plastics Ltd</t>
        </is>
      </c>
      <c r="B962" s="379" t="n"/>
      <c r="C962" s="380" t="n">
        <v>101423</v>
      </c>
      <c r="D962" s="379" t="inlineStr">
        <is>
          <t>SHEP IN</t>
        </is>
      </c>
      <c r="E962" s="379" t="inlineStr">
        <is>
          <t>INE151G01010</t>
        </is>
      </c>
    </row>
    <row r="963">
      <c r="A963" s="379" t="inlineStr">
        <is>
          <t>Shakti Pumps (India) Ltd</t>
        </is>
      </c>
      <c r="B963" s="379" t="inlineStr">
        <is>
          <t>SHAKTIPUMP</t>
        </is>
      </c>
      <c r="C963" s="380" t="n">
        <v>131431</v>
      </c>
      <c r="D963" s="379" t="inlineStr">
        <is>
          <t>SKPI IN</t>
        </is>
      </c>
      <c r="E963" s="379" t="inlineStr">
        <is>
          <t>INE908D01010</t>
        </is>
      </c>
    </row>
    <row r="964">
      <c r="A964" s="379" t="inlineStr">
        <is>
          <t>Shalby Ltd</t>
        </is>
      </c>
      <c r="B964" s="379" t="inlineStr">
        <is>
          <t>SHALBY</t>
        </is>
      </c>
      <c r="C964" s="380" t="n">
        <v>235126</v>
      </c>
      <c r="D964" s="379" t="inlineStr">
        <is>
          <t>SHALBY IN</t>
        </is>
      </c>
      <c r="E964" s="379" t="inlineStr">
        <is>
          <t>INE597J01018</t>
        </is>
      </c>
    </row>
    <row r="965">
      <c r="A965" s="379" t="inlineStr">
        <is>
          <t>Shalimar Paints Ltd</t>
        </is>
      </c>
      <c r="B965" s="379" t="inlineStr">
        <is>
          <t>SHALPAINTS</t>
        </is>
      </c>
      <c r="C965" s="380" t="n">
        <v>109874</v>
      </c>
      <c r="D965" s="379" t="inlineStr">
        <is>
          <t>SHP IN</t>
        </is>
      </c>
      <c r="E965" s="379" t="inlineStr">
        <is>
          <t>INE849C01026</t>
        </is>
      </c>
    </row>
    <row r="966">
      <c r="A966" s="379" t="inlineStr">
        <is>
          <t>Shankara Building Products Ltd</t>
        </is>
      </c>
      <c r="B966" s="379" t="inlineStr">
        <is>
          <t>SHANKARA</t>
        </is>
      </c>
      <c r="C966" s="380" t="n">
        <v>200110</v>
      </c>
      <c r="D966" s="379" t="inlineStr">
        <is>
          <t>SHANKARA IN</t>
        </is>
      </c>
      <c r="E966" s="379" t="inlineStr">
        <is>
          <t>INE274V01019</t>
        </is>
      </c>
    </row>
    <row r="967">
      <c r="A967" s="379" t="inlineStr">
        <is>
          <t>Shanthi Gears Ltd</t>
        </is>
      </c>
      <c r="B967" s="379" t="inlineStr">
        <is>
          <t>SHANTIGEAR</t>
        </is>
      </c>
      <c r="C967" s="380" t="n">
        <v>122034</v>
      </c>
      <c r="D967" s="379" t="inlineStr">
        <is>
          <t>SG IN</t>
        </is>
      </c>
      <c r="E967" s="379" t="inlineStr">
        <is>
          <t>INE631A01022</t>
        </is>
      </c>
    </row>
    <row r="968">
      <c r="A968" s="379" t="inlineStr">
        <is>
          <t>Sharda Cropchem Ltd</t>
        </is>
      </c>
      <c r="B968" s="379" t="inlineStr">
        <is>
          <t>SHARDACROP</t>
        </is>
      </c>
      <c r="C968" s="380" t="n">
        <v>226627</v>
      </c>
      <c r="D968" s="379" t="inlineStr">
        <is>
          <t>SHCR IN</t>
        </is>
      </c>
      <c r="E968" s="379" t="inlineStr">
        <is>
          <t>INE221J01015</t>
        </is>
      </c>
    </row>
    <row r="969">
      <c r="A969" s="379" t="inlineStr">
        <is>
          <t>Sharda Motor Industries Ltd</t>
        </is>
      </c>
      <c r="B969" s="379" t="inlineStr">
        <is>
          <t>SHARDAMOTR</t>
        </is>
      </c>
      <c r="C969" s="380" t="n">
        <v>209220</v>
      </c>
      <c r="D969" s="379" t="inlineStr">
        <is>
          <t>SHMO IN</t>
        </is>
      </c>
      <c r="E969" s="379" t="inlineStr">
        <is>
          <t>INE597I01028</t>
        </is>
      </c>
    </row>
    <row r="970">
      <c r="A970" s="379" t="inlineStr">
        <is>
          <t>Share India Securities Ltd</t>
        </is>
      </c>
      <c r="B970" s="379" t="inlineStr">
        <is>
          <t>SHAREINDIA</t>
        </is>
      </c>
      <c r="C970" s="380" t="n">
        <v>287141</v>
      </c>
      <c r="D970" s="379" t="inlineStr">
        <is>
          <t>SISLTD IN</t>
        </is>
      </c>
      <c r="E970" s="379" t="inlineStr">
        <is>
          <t>INE932X01018</t>
        </is>
      </c>
    </row>
    <row r="971">
      <c r="A971" s="379" t="inlineStr">
        <is>
          <t>Sheela Foam Ltd</t>
        </is>
      </c>
      <c r="B971" s="379" t="inlineStr">
        <is>
          <t>SFL</t>
        </is>
      </c>
      <c r="C971" s="380" t="n">
        <v>211969</v>
      </c>
      <c r="D971" s="379" t="inlineStr">
        <is>
          <t>SFL IN</t>
        </is>
      </c>
      <c r="E971" s="379" t="inlineStr">
        <is>
          <t>INE916U01025</t>
        </is>
      </c>
    </row>
    <row r="972">
      <c r="A972" s="379" t="inlineStr">
        <is>
          <t>Shilpa Medicare Ltd</t>
        </is>
      </c>
      <c r="B972" s="379" t="inlineStr">
        <is>
          <t>SHILPAMED</t>
        </is>
      </c>
      <c r="C972" s="380" t="n">
        <v>130549</v>
      </c>
      <c r="D972" s="379" t="inlineStr">
        <is>
          <t>SLPA IN</t>
        </is>
      </c>
      <c r="E972" s="379" t="inlineStr">
        <is>
          <t>INE790G01031</t>
        </is>
      </c>
    </row>
    <row r="973">
      <c r="A973" s="379" t="inlineStr">
        <is>
          <t>Shipping Corporation Of India Ltd</t>
        </is>
      </c>
      <c r="B973" s="379" t="inlineStr">
        <is>
          <t>SCI</t>
        </is>
      </c>
      <c r="C973" s="380" t="n">
        <v>123598</v>
      </c>
      <c r="D973" s="379" t="inlineStr">
        <is>
          <t>SCI IN</t>
        </is>
      </c>
      <c r="E973" s="379" t="inlineStr">
        <is>
          <t>INE109A01011</t>
        </is>
      </c>
    </row>
    <row r="974">
      <c r="A974" s="379" t="inlineStr">
        <is>
          <t>Shiva Cement Ltd</t>
        </is>
      </c>
      <c r="B974" s="379" t="n"/>
      <c r="C974" s="380" t="n">
        <v>132323</v>
      </c>
      <c r="D974" s="379" t="inlineStr">
        <is>
          <t>SCMN IN</t>
        </is>
      </c>
      <c r="E974" s="379" t="inlineStr">
        <is>
          <t>INE555C01029</t>
        </is>
      </c>
    </row>
    <row r="975">
      <c r="A975" s="379" t="inlineStr">
        <is>
          <t>Shivalik Bimetal Controls Ltd</t>
        </is>
      </c>
      <c r="B975" s="379" t="inlineStr">
        <is>
          <t>SBCL</t>
        </is>
      </c>
      <c r="C975" s="380" t="n">
        <v>113097</v>
      </c>
      <c r="D975" s="379" t="inlineStr">
        <is>
          <t>SBC IN</t>
        </is>
      </c>
      <c r="E975" s="379" t="inlineStr">
        <is>
          <t>INE386D01027</t>
        </is>
      </c>
    </row>
    <row r="976">
      <c r="A976" s="379" t="inlineStr">
        <is>
          <t>Shivalik Rasayan Ltd</t>
        </is>
      </c>
      <c r="B976" s="379" t="inlineStr">
        <is>
          <t>SHIVALIK</t>
        </is>
      </c>
      <c r="C976" s="380" t="n">
        <v>225090</v>
      </c>
      <c r="D976" s="379" t="inlineStr">
        <is>
          <t>SHVK IN</t>
        </is>
      </c>
      <c r="E976" s="379" t="inlineStr">
        <is>
          <t>INE788J01021</t>
        </is>
      </c>
    </row>
    <row r="977">
      <c r="A977" s="379" t="inlineStr">
        <is>
          <t>Shoppers Stop Ltd</t>
        </is>
      </c>
      <c r="B977" s="379" t="inlineStr">
        <is>
          <t>SHOPERSTOP</t>
        </is>
      </c>
      <c r="C977" s="380" t="n">
        <v>132638</v>
      </c>
      <c r="D977" s="379" t="inlineStr">
        <is>
          <t>SHOP IN</t>
        </is>
      </c>
      <c r="E977" s="379" t="inlineStr">
        <is>
          <t>INE498B01024</t>
        </is>
      </c>
    </row>
    <row r="978">
      <c r="A978" s="379" t="inlineStr">
        <is>
          <t>Shree Cement Ltd</t>
        </is>
      </c>
      <c r="B978" s="379" t="inlineStr">
        <is>
          <t>SHREECEM</t>
        </is>
      </c>
      <c r="C978" s="380" t="n">
        <v>100387</v>
      </c>
      <c r="D978" s="379" t="inlineStr">
        <is>
          <t>SRCM IN</t>
        </is>
      </c>
      <c r="E978" s="379" t="inlineStr">
        <is>
          <t>INE070A01015</t>
        </is>
      </c>
    </row>
    <row r="979">
      <c r="A979" s="379" t="inlineStr">
        <is>
          <t>Shree Digvijay Cement Company Ltd</t>
        </is>
      </c>
      <c r="B979" s="379" t="inlineStr">
        <is>
          <t>SHREDIGCEM</t>
        </is>
      </c>
      <c r="C979" s="380" t="n">
        <v>102180</v>
      </c>
      <c r="D979" s="379" t="inlineStr">
        <is>
          <t>DIGV IN</t>
        </is>
      </c>
      <c r="E979" s="379" t="inlineStr">
        <is>
          <t>INE232A01011</t>
        </is>
      </c>
    </row>
    <row r="980">
      <c r="A980" s="379" t="inlineStr">
        <is>
          <t>Shree Global Tradefin Ltd</t>
        </is>
      </c>
      <c r="B980" s="379" t="n"/>
      <c r="C980" s="380" t="n">
        <v>112463</v>
      </c>
      <c r="D980" s="379" t="inlineStr">
        <is>
          <t>SGTF IN</t>
        </is>
      </c>
      <c r="E980" s="379" t="inlineStr">
        <is>
          <t>INE080I01025</t>
        </is>
      </c>
    </row>
    <row r="981">
      <c r="A981" s="379" t="inlineStr">
        <is>
          <t>Shree Pushkar Chemicals &amp; Fertilisers Ltd</t>
        </is>
      </c>
      <c r="B981" s="379" t="inlineStr">
        <is>
          <t>SHREEPUSHK</t>
        </is>
      </c>
      <c r="C981" s="380" t="n">
        <v>271117</v>
      </c>
      <c r="D981" s="379" t="inlineStr">
        <is>
          <t>PCFL IN</t>
        </is>
      </c>
      <c r="E981" s="379" t="inlineStr">
        <is>
          <t>INE712K01011</t>
        </is>
      </c>
    </row>
    <row r="982">
      <c r="A982" s="379" t="inlineStr">
        <is>
          <t>Shree Renuka Sugars Ltd</t>
        </is>
      </c>
      <c r="B982" s="379" t="inlineStr">
        <is>
          <t>RENUKA</t>
        </is>
      </c>
      <c r="C982" s="380" t="n">
        <v>132670</v>
      </c>
      <c r="D982" s="379" t="inlineStr">
        <is>
          <t>SHRS IN</t>
        </is>
      </c>
      <c r="E982" s="379" t="inlineStr">
        <is>
          <t>INE087H01022</t>
        </is>
      </c>
    </row>
    <row r="983">
      <c r="A983" s="379" t="inlineStr">
        <is>
          <t>Shreyas Shipping &amp; Logistics Ltd</t>
        </is>
      </c>
      <c r="B983" s="379" t="inlineStr">
        <is>
          <t>SHREYAS</t>
        </is>
      </c>
      <c r="C983" s="380" t="n">
        <v>120151</v>
      </c>
      <c r="D983" s="379" t="inlineStr">
        <is>
          <t>SRYS IN</t>
        </is>
      </c>
      <c r="E983" s="379" t="inlineStr">
        <is>
          <t>INE757B01015</t>
        </is>
      </c>
    </row>
    <row r="984">
      <c r="A984" s="379" t="inlineStr">
        <is>
          <t>Shri Jagdamba Polymers Ltd</t>
        </is>
      </c>
      <c r="B984" s="379" t="n"/>
      <c r="C984" s="380" t="n">
        <v>112453</v>
      </c>
      <c r="D984" s="379" t="inlineStr">
        <is>
          <t>JDP IN</t>
        </is>
      </c>
      <c r="E984" s="379" t="inlineStr">
        <is>
          <t>INE564J01026</t>
        </is>
      </c>
    </row>
    <row r="985">
      <c r="A985" s="379" t="inlineStr">
        <is>
          <t>Shriram City Union Finance Ltd</t>
        </is>
      </c>
      <c r="B985" s="379" t="inlineStr">
        <is>
          <t>SHRIRAMCIT</t>
        </is>
      </c>
      <c r="C985" s="380" t="n">
        <v>132498</v>
      </c>
      <c r="D985" s="379" t="inlineStr">
        <is>
          <t>SCUF IN</t>
        </is>
      </c>
      <c r="E985" s="379" t="inlineStr">
        <is>
          <t>INE722A01011</t>
        </is>
      </c>
    </row>
    <row r="986">
      <c r="A986" s="379" t="inlineStr">
        <is>
          <t>Shriram EPC Ltd</t>
        </is>
      </c>
      <c r="B986" s="379" t="inlineStr">
        <is>
          <t>SHRIRAMEPC</t>
        </is>
      </c>
      <c r="C986" s="380" t="n">
        <v>200051</v>
      </c>
      <c r="D986" s="379" t="inlineStr">
        <is>
          <t>SEPC IN</t>
        </is>
      </c>
      <c r="E986" s="379" t="inlineStr">
        <is>
          <t>INE964H01014</t>
        </is>
      </c>
    </row>
    <row r="987">
      <c r="A987" s="379" t="inlineStr">
        <is>
          <t>Shriram Pistons &amp; Rings Ltd</t>
        </is>
      </c>
      <c r="B987" s="379" t="inlineStr">
        <is>
          <t>SHRIPISTON</t>
        </is>
      </c>
      <c r="C987" s="380" t="n">
        <v>218771</v>
      </c>
      <c r="D987" s="379" t="inlineStr">
        <is>
          <t>SPRL IN</t>
        </is>
      </c>
      <c r="E987" s="379" t="inlineStr">
        <is>
          <t>INE526E01018</t>
        </is>
      </c>
    </row>
    <row r="988">
      <c r="A988" s="379" t="inlineStr">
        <is>
          <t>Shriram Properties Ltd</t>
        </is>
      </c>
      <c r="B988" s="379" t="inlineStr">
        <is>
          <t>SHRIRAMPPS</t>
        </is>
      </c>
      <c r="C988" s="380" t="n">
        <v>209255</v>
      </c>
      <c r="D988" s="379" t="inlineStr">
        <is>
          <t>SHRIRAMP IN</t>
        </is>
      </c>
      <c r="E988" s="379" t="inlineStr">
        <is>
          <t>INE217L01019</t>
        </is>
      </c>
    </row>
    <row r="989">
      <c r="A989" s="379" t="inlineStr">
        <is>
          <t>Shriram Transport Finance Company Ltd</t>
        </is>
      </c>
      <c r="B989" s="379" t="inlineStr">
        <is>
          <t>SRTRANSFIN</t>
        </is>
      </c>
      <c r="C989" s="380" t="n">
        <v>111218</v>
      </c>
      <c r="D989" s="379" t="inlineStr">
        <is>
          <t>SHTF IN</t>
        </is>
      </c>
      <c r="E989" s="379" t="inlineStr">
        <is>
          <t>INE721A01013</t>
        </is>
      </c>
    </row>
    <row r="990">
      <c r="A990" s="379" t="inlineStr">
        <is>
          <t>Shyam Metalics And Energy Ltd</t>
        </is>
      </c>
      <c r="B990" s="379" t="inlineStr">
        <is>
          <t>SHYAMMETL</t>
        </is>
      </c>
      <c r="C990" s="380" t="n">
        <v>267465</v>
      </c>
      <c r="D990" s="379" t="inlineStr">
        <is>
          <t>SHYAMMET IN</t>
        </is>
      </c>
      <c r="E990" s="379" t="inlineStr">
        <is>
          <t>INE810G01011</t>
        </is>
      </c>
    </row>
    <row r="991">
      <c r="A991" s="379" t="inlineStr">
        <is>
          <t>Siemens Ltd</t>
        </is>
      </c>
      <c r="B991" s="379" t="inlineStr">
        <is>
          <t>SIEMENS</t>
        </is>
      </c>
      <c r="C991" s="380" t="n">
        <v>100550</v>
      </c>
      <c r="D991" s="379" t="inlineStr">
        <is>
          <t>SIEM IN</t>
        </is>
      </c>
      <c r="E991" s="379" t="inlineStr">
        <is>
          <t>INE003A01024</t>
        </is>
      </c>
    </row>
    <row r="992">
      <c r="A992" s="379" t="inlineStr">
        <is>
          <t>Sigachi Industries Ltd</t>
        </is>
      </c>
      <c r="B992" s="379" t="inlineStr">
        <is>
          <t>SIGACHI</t>
        </is>
      </c>
      <c r="C992" s="380" t="n">
        <v>300012</v>
      </c>
      <c r="D992" s="379" t="inlineStr">
        <is>
          <t>SIGACHI IN</t>
        </is>
      </c>
      <c r="E992" s="379" t="inlineStr">
        <is>
          <t>INE0D0K01014</t>
        </is>
      </c>
    </row>
    <row r="993">
      <c r="A993" s="379" t="inlineStr">
        <is>
          <t>Sindhu Trade Links Ltd</t>
        </is>
      </c>
      <c r="B993" s="379" t="n"/>
      <c r="C993" s="380" t="n">
        <v>132029</v>
      </c>
      <c r="D993" s="379" t="inlineStr">
        <is>
          <t>STLL IN</t>
        </is>
      </c>
      <c r="E993" s="379" t="inlineStr">
        <is>
          <t>INE325D01017</t>
        </is>
      </c>
    </row>
    <row r="994">
      <c r="A994" s="379" t="inlineStr">
        <is>
          <t>Sintex Industries Ltd</t>
        </is>
      </c>
      <c r="B994" s="379" t="inlineStr">
        <is>
          <t>SINTEX</t>
        </is>
      </c>
      <c r="C994" s="380" t="n">
        <v>102742</v>
      </c>
      <c r="D994" s="379" t="inlineStr">
        <is>
          <t>SINT IN</t>
        </is>
      </c>
      <c r="E994" s="379" t="inlineStr">
        <is>
          <t>INE429C01035</t>
        </is>
      </c>
    </row>
    <row r="995">
      <c r="A995" s="379" t="inlineStr">
        <is>
          <t>Sintex Plastics Technology Ltd</t>
        </is>
      </c>
      <c r="B995" s="379" t="inlineStr">
        <is>
          <t>SPTL</t>
        </is>
      </c>
      <c r="C995" s="380" t="n">
        <v>286451</v>
      </c>
      <c r="D995" s="379" t="inlineStr">
        <is>
          <t>SINTEX IN</t>
        </is>
      </c>
      <c r="E995" s="379" t="inlineStr">
        <is>
          <t>INE501W01021</t>
        </is>
      </c>
    </row>
    <row r="996">
      <c r="A996" s="379" t="inlineStr">
        <is>
          <t>SIRCA Paints India Ltd</t>
        </is>
      </c>
      <c r="B996" s="379" t="inlineStr">
        <is>
          <t>SIRCA</t>
        </is>
      </c>
      <c r="C996" s="380" t="n">
        <v>288827</v>
      </c>
      <c r="D996" s="379" t="inlineStr">
        <is>
          <t>SIRCA IN</t>
        </is>
      </c>
      <c r="E996" s="379" t="inlineStr">
        <is>
          <t>INE792Z01011</t>
        </is>
      </c>
    </row>
    <row r="997">
      <c r="A997" s="379" t="inlineStr">
        <is>
          <t>SIS Ltd</t>
        </is>
      </c>
      <c r="B997" s="379" t="inlineStr">
        <is>
          <t>SIS</t>
        </is>
      </c>
      <c r="C997" s="380" t="n">
        <v>210729</v>
      </c>
      <c r="D997" s="379" t="inlineStr">
        <is>
          <t>SECIS IN</t>
        </is>
      </c>
      <c r="E997" s="379" t="inlineStr">
        <is>
          <t>INE285J01028</t>
        </is>
      </c>
    </row>
    <row r="998">
      <c r="A998" s="379" t="inlineStr">
        <is>
          <t>Siyaram Silk Mills Ltd</t>
        </is>
      </c>
      <c r="B998" s="379" t="inlineStr">
        <is>
          <t>SIYSIL</t>
        </is>
      </c>
      <c r="C998" s="380" t="n">
        <v>103811</v>
      </c>
      <c r="D998" s="379" t="inlineStr">
        <is>
          <t>SIYA IN</t>
        </is>
      </c>
      <c r="E998" s="379" t="inlineStr">
        <is>
          <t>INE076B01028</t>
        </is>
      </c>
    </row>
    <row r="999">
      <c r="A999" s="379" t="inlineStr">
        <is>
          <t>SJS Enterprises Ltd</t>
        </is>
      </c>
      <c r="B999" s="379" t="inlineStr">
        <is>
          <t>SJS</t>
        </is>
      </c>
      <c r="C999" s="380" t="n">
        <v>302921</v>
      </c>
      <c r="D999" s="379" t="inlineStr">
        <is>
          <t>SJS IN</t>
        </is>
      </c>
      <c r="E999" s="379" t="inlineStr">
        <is>
          <t>INE284S01014</t>
        </is>
      </c>
    </row>
    <row r="1000">
      <c r="A1000" s="379" t="inlineStr">
        <is>
          <t>SJVN Ltd</t>
        </is>
      </c>
      <c r="B1000" s="379" t="inlineStr">
        <is>
          <t>SJVN</t>
        </is>
      </c>
      <c r="C1000" s="380" t="n">
        <v>220512</v>
      </c>
      <c r="D1000" s="379" t="inlineStr">
        <is>
          <t>SJVN IN</t>
        </is>
      </c>
      <c r="E1000" s="379" t="inlineStr">
        <is>
          <t>INE002L01015</t>
        </is>
      </c>
    </row>
    <row r="1001">
      <c r="A1001" s="379" t="inlineStr">
        <is>
          <t>SKF India Ltd</t>
        </is>
      </c>
      <c r="B1001" s="379" t="inlineStr">
        <is>
          <t>SKFINDIA</t>
        </is>
      </c>
      <c r="C1001" s="380" t="n">
        <v>100472</v>
      </c>
      <c r="D1001" s="379" t="inlineStr">
        <is>
          <t>SKF IN</t>
        </is>
      </c>
      <c r="E1001" s="379" t="inlineStr">
        <is>
          <t>INE640A01023</t>
        </is>
      </c>
    </row>
    <row r="1002">
      <c r="A1002" s="379" t="inlineStr">
        <is>
          <t>Skipper Ltd</t>
        </is>
      </c>
      <c r="B1002" s="379" t="inlineStr">
        <is>
          <t>SKIPPER</t>
        </is>
      </c>
      <c r="C1002" s="380" t="n">
        <v>216897</v>
      </c>
      <c r="D1002" s="379" t="inlineStr">
        <is>
          <t>SKIPPER IN</t>
        </is>
      </c>
      <c r="E1002" s="379" t="inlineStr">
        <is>
          <t>INE439E01022</t>
        </is>
      </c>
    </row>
    <row r="1003">
      <c r="A1003" s="379" t="inlineStr">
        <is>
          <t>SMC Global Securities Ltd</t>
        </is>
      </c>
      <c r="B1003" s="379" t="inlineStr">
        <is>
          <t>SMCGLOBAL</t>
        </is>
      </c>
      <c r="C1003" s="380" t="n">
        <v>214003</v>
      </c>
      <c r="D1003" s="379" t="inlineStr">
        <is>
          <t>SMCGLOBA IN</t>
        </is>
      </c>
      <c r="E1003" s="379" t="inlineStr">
        <is>
          <t>INE103C01036</t>
        </is>
      </c>
    </row>
    <row r="1004">
      <c r="A1004" s="379" t="inlineStr">
        <is>
          <t>SML Isuzu Ltd</t>
        </is>
      </c>
      <c r="B1004" s="379" t="inlineStr">
        <is>
          <t>SMLISUZU</t>
        </is>
      </c>
      <c r="C1004" s="380" t="n">
        <v>105192</v>
      </c>
      <c r="D1004" s="379" t="inlineStr">
        <is>
          <t>SM IN</t>
        </is>
      </c>
      <c r="E1004" s="379" t="inlineStr">
        <is>
          <t>INE294B01019</t>
        </is>
      </c>
    </row>
    <row r="1005">
      <c r="A1005" s="379" t="inlineStr">
        <is>
          <t>SMS Pharmaceuticals Ltd</t>
        </is>
      </c>
      <c r="B1005" s="379" t="inlineStr">
        <is>
          <t>SMSPHARMA</t>
        </is>
      </c>
      <c r="C1005" s="380" t="n">
        <v>132815</v>
      </c>
      <c r="D1005" s="379" t="inlineStr">
        <is>
          <t>SMSPH IN</t>
        </is>
      </c>
      <c r="E1005" s="379" t="inlineStr">
        <is>
          <t>INE812G01025</t>
        </is>
      </c>
    </row>
    <row r="1006">
      <c r="A1006" s="379" t="inlineStr">
        <is>
          <t>Snowman Logistics Ltd</t>
        </is>
      </c>
      <c r="B1006" s="379" t="inlineStr">
        <is>
          <t>SNOWMAN</t>
        </is>
      </c>
      <c r="C1006" s="380" t="n">
        <v>209277</v>
      </c>
      <c r="D1006" s="379" t="inlineStr">
        <is>
          <t>SNLL IN</t>
        </is>
      </c>
      <c r="E1006" s="379" t="inlineStr">
        <is>
          <t>INE734N01019</t>
        </is>
      </c>
    </row>
    <row r="1007">
      <c r="A1007" s="379" t="inlineStr">
        <is>
          <t>Sobha Ltd</t>
        </is>
      </c>
      <c r="B1007" s="379" t="inlineStr">
        <is>
          <t>SOBHA</t>
        </is>
      </c>
      <c r="C1007" s="380" t="n">
        <v>132784</v>
      </c>
      <c r="D1007" s="379" t="inlineStr">
        <is>
          <t>SOBHA IN</t>
        </is>
      </c>
      <c r="E1007" s="379" t="inlineStr">
        <is>
          <t>INE671H01015</t>
        </is>
      </c>
    </row>
    <row r="1008">
      <c r="A1008" s="379" t="inlineStr">
        <is>
          <t>Solar Industries India Ltd</t>
        </is>
      </c>
      <c r="B1008" s="379" t="inlineStr">
        <is>
          <t>SOLARINDS</t>
        </is>
      </c>
      <c r="C1008" s="380" t="n">
        <v>132725</v>
      </c>
      <c r="D1008" s="379" t="inlineStr">
        <is>
          <t>SOIL IN</t>
        </is>
      </c>
      <c r="E1008" s="379" t="inlineStr">
        <is>
          <t>INE343H01029</t>
        </is>
      </c>
    </row>
    <row r="1009">
      <c r="A1009" s="379" t="inlineStr">
        <is>
          <t>Solara Active Pharma Sciences Ltd</t>
        </is>
      </c>
      <c r="B1009" s="379" t="inlineStr">
        <is>
          <t>SOLARA</t>
        </is>
      </c>
      <c r="C1009" s="380" t="n">
        <v>290184</v>
      </c>
      <c r="D1009" s="379" t="inlineStr">
        <is>
          <t>SOLARA IN</t>
        </is>
      </c>
      <c r="E1009" s="379" t="inlineStr">
        <is>
          <t>INE624Z01016</t>
        </is>
      </c>
    </row>
    <row r="1010">
      <c r="A1010" s="379" t="inlineStr">
        <is>
          <t>Somany Ceramics Ltd</t>
        </is>
      </c>
      <c r="B1010" s="379" t="inlineStr">
        <is>
          <t>SOMANYCERA</t>
        </is>
      </c>
      <c r="C1010" s="380" t="n">
        <v>131548</v>
      </c>
      <c r="D1010" s="379" t="inlineStr">
        <is>
          <t>SOMC IN</t>
        </is>
      </c>
      <c r="E1010" s="379" t="inlineStr">
        <is>
          <t>INE355A01028</t>
        </is>
      </c>
    </row>
    <row r="1011">
      <c r="A1011" s="379" t="inlineStr">
        <is>
          <t>Somany Home Innovation Ltd</t>
        </is>
      </c>
      <c r="B1011" s="379" t="inlineStr">
        <is>
          <t>SHIL</t>
        </is>
      </c>
      <c r="C1011" s="380" t="n">
        <v>295873</v>
      </c>
      <c r="D1011" s="379" t="inlineStr">
        <is>
          <t>SHILL IN</t>
        </is>
      </c>
      <c r="E1011" s="379" t="inlineStr">
        <is>
          <t>INE05AN01011</t>
        </is>
      </c>
    </row>
    <row r="1012">
      <c r="A1012" s="379" t="inlineStr">
        <is>
          <t>Sona BLW Precision Forgings Ltd</t>
        </is>
      </c>
      <c r="B1012" s="379" t="inlineStr">
        <is>
          <t>SONACOMS</t>
        </is>
      </c>
      <c r="C1012" s="380" t="n">
        <v>214179</v>
      </c>
      <c r="D1012" s="379" t="inlineStr">
        <is>
          <t>SONACOMS IN</t>
        </is>
      </c>
      <c r="E1012" s="379" t="inlineStr">
        <is>
          <t>INE073K01018</t>
        </is>
      </c>
    </row>
    <row r="1013">
      <c r="A1013" s="379" t="inlineStr">
        <is>
          <t>Sonata Software Ltd</t>
        </is>
      </c>
      <c r="B1013" s="379" t="inlineStr">
        <is>
          <t>SONATSOFTW</t>
        </is>
      </c>
      <c r="C1013" s="380" t="n">
        <v>132221</v>
      </c>
      <c r="D1013" s="379" t="inlineStr">
        <is>
          <t>SSOF IN</t>
        </is>
      </c>
      <c r="E1013" s="379" t="inlineStr">
        <is>
          <t>INE269A01021</t>
        </is>
      </c>
    </row>
    <row r="1014">
      <c r="A1014" s="379" t="inlineStr">
        <is>
          <t>Southern Petrochemical Industries Corporation Ltd</t>
        </is>
      </c>
      <c r="B1014" s="379" t="inlineStr">
        <is>
          <t>SPIC</t>
        </is>
      </c>
      <c r="C1014" s="380" t="n">
        <v>190030</v>
      </c>
      <c r="D1014" s="379" t="inlineStr">
        <is>
          <t>SPET IN</t>
        </is>
      </c>
      <c r="E1014" s="379" t="inlineStr">
        <is>
          <t>INE147A01011</t>
        </is>
      </c>
    </row>
    <row r="1015">
      <c r="A1015" s="379" t="inlineStr">
        <is>
          <t>Spandana Sphoorty Financial Ltd</t>
        </is>
      </c>
      <c r="B1015" s="379" t="inlineStr">
        <is>
          <t>SPANDANA</t>
        </is>
      </c>
      <c r="C1015" s="380" t="n">
        <v>220527</v>
      </c>
      <c r="D1015" s="379" t="inlineStr">
        <is>
          <t>SPANDANA IN</t>
        </is>
      </c>
      <c r="E1015" s="379" t="inlineStr">
        <is>
          <t>INE572J01011</t>
        </is>
      </c>
    </row>
    <row r="1016">
      <c r="A1016" s="379" t="inlineStr">
        <is>
          <t>Spencer's Retail Ltd</t>
        </is>
      </c>
      <c r="B1016" s="379" t="inlineStr">
        <is>
          <t>SPENCERS</t>
        </is>
      </c>
      <c r="C1016" s="380" t="n">
        <v>209306</v>
      </c>
      <c r="D1016" s="379" t="inlineStr">
        <is>
          <t>SPENCER IN</t>
        </is>
      </c>
      <c r="E1016" s="379" t="inlineStr">
        <is>
          <t>INE020801028</t>
        </is>
      </c>
    </row>
    <row r="1017">
      <c r="A1017" s="379" t="inlineStr">
        <is>
          <t>SpiceJet Ltd</t>
        </is>
      </c>
      <c r="B1017" s="379" t="inlineStr">
        <is>
          <t>SPICEJET</t>
        </is>
      </c>
      <c r="C1017" s="380" t="n">
        <v>100285</v>
      </c>
      <c r="D1017" s="379" t="inlineStr">
        <is>
          <t>SJET IN</t>
        </is>
      </c>
      <c r="E1017" s="379" t="inlineStr">
        <is>
          <t>INE285B01017</t>
        </is>
      </c>
    </row>
    <row r="1018">
      <c r="A1018" s="379" t="inlineStr">
        <is>
          <t>Sportking India Ltd</t>
        </is>
      </c>
      <c r="B1018" s="379" t="n"/>
      <c r="C1018" s="380" t="n">
        <v>245147</v>
      </c>
      <c r="D1018" s="379" t="inlineStr">
        <is>
          <t>SPRT IN</t>
        </is>
      </c>
      <c r="E1018" s="379" t="inlineStr">
        <is>
          <t>INE885H01011</t>
        </is>
      </c>
    </row>
    <row r="1019">
      <c r="A1019" s="379" t="inlineStr">
        <is>
          <t>Sree Rayalaseema Hi-Strength Hypo Ltd</t>
        </is>
      </c>
      <c r="B1019" s="379" t="inlineStr">
        <is>
          <t>SRHHYPOLTD</t>
        </is>
      </c>
      <c r="C1019" s="380" t="n">
        <v>132842</v>
      </c>
      <c r="D1019" s="379" t="inlineStr">
        <is>
          <t>SRAY IN</t>
        </is>
      </c>
      <c r="E1019" s="379" t="inlineStr">
        <is>
          <t>INE917H01012</t>
        </is>
      </c>
    </row>
    <row r="1020">
      <c r="A1020" s="379" t="inlineStr">
        <is>
          <t>SRF Ltd</t>
        </is>
      </c>
      <c r="B1020" s="379" t="inlineStr">
        <is>
          <t>SRF</t>
        </is>
      </c>
      <c r="C1020" s="380" t="n">
        <v>103806</v>
      </c>
      <c r="D1020" s="379" t="inlineStr">
        <is>
          <t>SRF IN</t>
        </is>
      </c>
      <c r="E1020" s="379" t="inlineStr">
        <is>
          <t>INE647A01010</t>
        </is>
      </c>
    </row>
    <row r="1021">
      <c r="A1021" s="379" t="inlineStr">
        <is>
          <t>Srikalahasthi Pipes Ltd</t>
        </is>
      </c>
      <c r="B1021" s="379" t="inlineStr">
        <is>
          <t>SRIPIPES</t>
        </is>
      </c>
      <c r="C1021" s="380" t="n">
        <v>113605</v>
      </c>
      <c r="D1021" s="379" t="inlineStr">
        <is>
          <t>SRIK IN</t>
        </is>
      </c>
      <c r="E1021" s="379" t="inlineStr">
        <is>
          <t>INE943C01027</t>
        </is>
      </c>
    </row>
    <row r="1022">
      <c r="A1022" s="379" t="inlineStr">
        <is>
          <t>Star Cement Ltd</t>
        </is>
      </c>
      <c r="B1022" s="379" t="inlineStr">
        <is>
          <t>STARCEMENT</t>
        </is>
      </c>
      <c r="C1022" s="380" t="n">
        <v>207945</v>
      </c>
      <c r="D1022" s="379" t="inlineStr">
        <is>
          <t>STRCEM IN</t>
        </is>
      </c>
      <c r="E1022" s="379" t="inlineStr">
        <is>
          <t>INE460H01021</t>
        </is>
      </c>
    </row>
    <row r="1023">
      <c r="A1023" s="379" t="inlineStr">
        <is>
          <t>Star Health and Allied Insurance Company Ltd</t>
        </is>
      </c>
      <c r="B1023" s="379" t="inlineStr">
        <is>
          <t>STARHEALTH</t>
        </is>
      </c>
      <c r="C1023" s="380" t="n">
        <v>217400</v>
      </c>
      <c r="D1023" s="379" t="inlineStr">
        <is>
          <t>STARHEAL IN</t>
        </is>
      </c>
      <c r="E1023" s="379" t="inlineStr">
        <is>
          <t>INE575P01011</t>
        </is>
      </c>
    </row>
    <row r="1024">
      <c r="A1024" s="379" t="inlineStr">
        <is>
          <t>State Bank Of India</t>
        </is>
      </c>
      <c r="B1024" s="379" t="inlineStr">
        <is>
          <t>SBIN</t>
        </is>
      </c>
      <c r="C1024" s="380" t="n">
        <v>100112</v>
      </c>
      <c r="D1024" s="379" t="inlineStr">
        <is>
          <t>SBIN IN</t>
        </is>
      </c>
      <c r="E1024" s="379" t="inlineStr">
        <is>
          <t>INE062A01020</t>
        </is>
      </c>
    </row>
    <row r="1025">
      <c r="A1025" s="379" t="inlineStr">
        <is>
          <t>Steel Authority Of India Ltd</t>
        </is>
      </c>
      <c r="B1025" s="379" t="inlineStr">
        <is>
          <t>SAIL</t>
        </is>
      </c>
      <c r="C1025" s="380" t="n">
        <v>100113</v>
      </c>
      <c r="D1025" s="379" t="inlineStr">
        <is>
          <t>SAIL IN</t>
        </is>
      </c>
      <c r="E1025" s="379" t="inlineStr">
        <is>
          <t>INE114A01011</t>
        </is>
      </c>
    </row>
    <row r="1026">
      <c r="A1026" s="379" t="inlineStr">
        <is>
          <t>Steel Exchange India Ltd</t>
        </is>
      </c>
      <c r="B1026" s="379" t="inlineStr">
        <is>
          <t>STEELXIND</t>
        </is>
      </c>
      <c r="C1026" s="380" t="n">
        <v>190037</v>
      </c>
      <c r="D1026" s="379" t="inlineStr">
        <is>
          <t>SEIL IN</t>
        </is>
      </c>
      <c r="E1026" s="379" t="inlineStr">
        <is>
          <t>INE503B01013</t>
        </is>
      </c>
    </row>
    <row r="1027">
      <c r="A1027" s="379" t="inlineStr">
        <is>
          <t>Steel Strips Wheels Ltd</t>
        </is>
      </c>
      <c r="B1027" s="379" t="inlineStr">
        <is>
          <t>SSWL</t>
        </is>
      </c>
      <c r="C1027" s="380" t="n">
        <v>113262</v>
      </c>
      <c r="D1027" s="379" t="inlineStr">
        <is>
          <t>SSW IN</t>
        </is>
      </c>
      <c r="E1027" s="379" t="inlineStr">
        <is>
          <t>INE802C01025</t>
        </is>
      </c>
    </row>
    <row r="1028">
      <c r="A1028" s="379" t="inlineStr">
        <is>
          <t>Steelcast Ltd</t>
        </is>
      </c>
      <c r="B1028" s="379" t="inlineStr">
        <is>
          <t>STEELCAS</t>
        </is>
      </c>
      <c r="C1028" s="380" t="n">
        <v>113517</v>
      </c>
      <c r="D1028" s="379" t="inlineStr">
        <is>
          <t>STLCS IN</t>
        </is>
      </c>
      <c r="E1028" s="379" t="inlineStr">
        <is>
          <t>INE124E01020</t>
        </is>
      </c>
    </row>
    <row r="1029">
      <c r="A1029" s="379" t="inlineStr">
        <is>
          <t>Sterling and Wilson Renewable Energy Ltd</t>
        </is>
      </c>
      <c r="B1029" s="379" t="inlineStr">
        <is>
          <t>SWSOLAR</t>
        </is>
      </c>
      <c r="C1029" s="380" t="n">
        <v>295131</v>
      </c>
      <c r="D1029" s="379" t="inlineStr">
        <is>
          <t>SWSOLAR IN</t>
        </is>
      </c>
      <c r="E1029" s="379" t="inlineStr">
        <is>
          <t>INE00M201021</t>
        </is>
      </c>
    </row>
    <row r="1030">
      <c r="A1030" s="379" t="inlineStr">
        <is>
          <t>Sterling Tools Ltd</t>
        </is>
      </c>
      <c r="B1030" s="379" t="inlineStr">
        <is>
          <t>STERTOOLS</t>
        </is>
      </c>
      <c r="C1030" s="380" t="n">
        <v>130759</v>
      </c>
      <c r="D1030" s="379" t="inlineStr">
        <is>
          <t>STRT IN</t>
        </is>
      </c>
      <c r="E1030" s="379" t="inlineStr">
        <is>
          <t>INE334A01023</t>
        </is>
      </c>
    </row>
    <row r="1031">
      <c r="A1031" s="379" t="inlineStr">
        <is>
          <t>Sterlite Technologies Ltd</t>
        </is>
      </c>
      <c r="B1031" s="379" t="inlineStr">
        <is>
          <t>STLTECH</t>
        </is>
      </c>
      <c r="C1031" s="380" t="n">
        <v>132374</v>
      </c>
      <c r="D1031" s="379" t="inlineStr">
        <is>
          <t>SOTL IN</t>
        </is>
      </c>
      <c r="E1031" s="379" t="inlineStr">
        <is>
          <t>INE089C01029</t>
        </is>
      </c>
    </row>
    <row r="1032">
      <c r="A1032" s="379" t="inlineStr">
        <is>
          <t>Stove Kraft Ltd</t>
        </is>
      </c>
      <c r="B1032" s="379" t="inlineStr">
        <is>
          <t>STOVEKRAFT</t>
        </is>
      </c>
      <c r="C1032" s="380" t="n">
        <v>223397</v>
      </c>
      <c r="D1032" s="379" t="inlineStr">
        <is>
          <t>STOVEKRA IN</t>
        </is>
      </c>
      <c r="E1032" s="379" t="inlineStr">
        <is>
          <t>INE00IN01015</t>
        </is>
      </c>
    </row>
    <row r="1033">
      <c r="A1033" s="379" t="inlineStr">
        <is>
          <t>Strides Pharma Science Ltd</t>
        </is>
      </c>
      <c r="B1033" s="379" t="inlineStr">
        <is>
          <t>STAR</t>
        </is>
      </c>
      <c r="C1033" s="380" t="n">
        <v>132531</v>
      </c>
      <c r="D1033" s="379" t="inlineStr">
        <is>
          <t>STR IN</t>
        </is>
      </c>
      <c r="E1033" s="379" t="inlineStr">
        <is>
          <t>INE939A01011</t>
        </is>
      </c>
    </row>
    <row r="1034">
      <c r="A1034" s="379" t="inlineStr">
        <is>
          <t>Stylam Industries Ltd</t>
        </is>
      </c>
      <c r="B1034" s="379" t="inlineStr">
        <is>
          <t>STYLAMIND</t>
        </is>
      </c>
      <c r="C1034" s="380" t="n">
        <v>126951</v>
      </c>
      <c r="D1034" s="379" t="inlineStr">
        <is>
          <t>SYIL IN</t>
        </is>
      </c>
      <c r="E1034" s="379" t="inlineStr">
        <is>
          <t>INE239C01020</t>
        </is>
      </c>
    </row>
    <row r="1035">
      <c r="A1035" s="379" t="inlineStr">
        <is>
          <t>Subex Ltd</t>
        </is>
      </c>
      <c r="B1035" s="379" t="inlineStr">
        <is>
          <t>SUBEXLTD</t>
        </is>
      </c>
      <c r="C1035" s="380" t="n">
        <v>132348</v>
      </c>
      <c r="D1035" s="379" t="inlineStr">
        <is>
          <t>SUBX IN</t>
        </is>
      </c>
      <c r="E1035" s="379" t="inlineStr">
        <is>
          <t>INE754A01055</t>
        </is>
      </c>
    </row>
    <row r="1036">
      <c r="A1036" s="379" t="inlineStr">
        <is>
          <t>Subros Ltd</t>
        </is>
      </c>
      <c r="B1036" s="379" t="inlineStr">
        <is>
          <t>SUBROS</t>
        </is>
      </c>
      <c r="C1036" s="380" t="n">
        <v>117168</v>
      </c>
      <c r="D1036" s="379" t="inlineStr">
        <is>
          <t>SUBR IN</t>
        </is>
      </c>
      <c r="E1036" s="379" t="inlineStr">
        <is>
          <t>INE287B01021</t>
        </is>
      </c>
    </row>
    <row r="1037">
      <c r="A1037" s="379" t="inlineStr">
        <is>
          <t>Sudarshan Chemical Industries Ltd</t>
        </is>
      </c>
      <c r="B1037" s="379" t="inlineStr">
        <is>
          <t>SUDARSCHEM</t>
        </is>
      </c>
      <c r="C1037" s="380" t="n">
        <v>106655</v>
      </c>
      <c r="D1037" s="379" t="inlineStr">
        <is>
          <t>SCHI IN</t>
        </is>
      </c>
      <c r="E1037" s="379" t="inlineStr">
        <is>
          <t>INE659A01023</t>
        </is>
      </c>
    </row>
    <row r="1038">
      <c r="A1038" s="379" t="inlineStr">
        <is>
          <t>Sumitomo Chemical India Ltd</t>
        </is>
      </c>
      <c r="B1038" s="379" t="inlineStr">
        <is>
          <t>SUMICHEM</t>
        </is>
      </c>
      <c r="C1038" s="380" t="n">
        <v>209344</v>
      </c>
      <c r="D1038" s="379" t="inlineStr">
        <is>
          <t>SUMICHEM IN</t>
        </is>
      </c>
      <c r="E1038" s="379" t="inlineStr">
        <is>
          <t>INE258G01013</t>
        </is>
      </c>
    </row>
    <row r="1039">
      <c r="A1039" s="379" t="inlineStr">
        <is>
          <t>Summit Securities Ltd</t>
        </is>
      </c>
      <c r="B1039" s="379" t="inlineStr">
        <is>
          <t>SUMMITSEC</t>
        </is>
      </c>
      <c r="C1039" s="380" t="n">
        <v>220531</v>
      </c>
      <c r="D1039" s="379" t="inlineStr">
        <is>
          <t>SUMM IN</t>
        </is>
      </c>
      <c r="E1039" s="379" t="inlineStr">
        <is>
          <t>INE519C01017</t>
        </is>
      </c>
    </row>
    <row r="1040">
      <c r="A1040" s="379" t="inlineStr">
        <is>
          <t>Sun Pharma Advanced Research Company Ltd</t>
        </is>
      </c>
      <c r="B1040" s="379" t="inlineStr">
        <is>
          <t>SPARC</t>
        </is>
      </c>
      <c r="C1040" s="380" t="n">
        <v>132872</v>
      </c>
      <c r="D1040" s="379" t="inlineStr">
        <is>
          <t>SPADV IN</t>
        </is>
      </c>
      <c r="E1040" s="379" t="inlineStr">
        <is>
          <t>INE232I01014</t>
        </is>
      </c>
    </row>
    <row r="1041">
      <c r="A1041" s="379" t="inlineStr">
        <is>
          <t>Sun Pharmaceutical Industries Ltd</t>
        </is>
      </c>
      <c r="B1041" s="379" t="inlineStr">
        <is>
          <t>SUNPHARMA</t>
        </is>
      </c>
      <c r="C1041" s="380" t="n">
        <v>124715</v>
      </c>
      <c r="D1041" s="379" t="inlineStr">
        <is>
          <t>SUNP IN</t>
        </is>
      </c>
      <c r="E1041" s="379" t="inlineStr">
        <is>
          <t>INE044A01036</t>
        </is>
      </c>
    </row>
    <row r="1042">
      <c r="A1042" s="379" t="inlineStr">
        <is>
          <t>Sun TV Network Ltd</t>
        </is>
      </c>
      <c r="B1042" s="379" t="inlineStr">
        <is>
          <t>SUNTV</t>
        </is>
      </c>
      <c r="C1042" s="380" t="n">
        <v>132733</v>
      </c>
      <c r="D1042" s="379" t="inlineStr">
        <is>
          <t>SUNTV IN</t>
        </is>
      </c>
      <c r="E1042" s="379" t="inlineStr">
        <is>
          <t>INE424H01027</t>
        </is>
      </c>
    </row>
    <row r="1043">
      <c r="A1043" s="379" t="inlineStr">
        <is>
          <t>Sundaram Finance Holdings Ltd</t>
        </is>
      </c>
      <c r="B1043" s="379" t="inlineStr">
        <is>
          <t>SUNDARMHLD</t>
        </is>
      </c>
      <c r="C1043" s="380" t="n">
        <v>224898</v>
      </c>
      <c r="D1043" s="379" t="inlineStr">
        <is>
          <t>SFHL IN</t>
        </is>
      </c>
      <c r="E1043" s="379" t="inlineStr">
        <is>
          <t>INE202Z01029</t>
        </is>
      </c>
    </row>
    <row r="1044">
      <c r="A1044" s="379" t="inlineStr">
        <is>
          <t>Sundaram Finance Ltd</t>
        </is>
      </c>
      <c r="B1044" s="379" t="inlineStr">
        <is>
          <t>SUNDARMFIN</t>
        </is>
      </c>
      <c r="C1044" s="380" t="n">
        <v>190071</v>
      </c>
      <c r="D1044" s="379" t="inlineStr">
        <is>
          <t>SUF IN</t>
        </is>
      </c>
      <c r="E1044" s="379" t="inlineStr">
        <is>
          <t>INE660A01013</t>
        </is>
      </c>
    </row>
    <row r="1045">
      <c r="A1045" s="379" t="inlineStr">
        <is>
          <t>Sundaram-Clayton Ltd</t>
        </is>
      </c>
      <c r="B1045" s="379" t="inlineStr">
        <is>
          <t>SUNCLAYLTD</t>
        </is>
      </c>
      <c r="C1045" s="380" t="n">
        <v>120056</v>
      </c>
      <c r="D1045" s="379" t="inlineStr">
        <is>
          <t>SDC IN</t>
        </is>
      </c>
      <c r="E1045" s="379" t="inlineStr">
        <is>
          <t>INE105A01035</t>
        </is>
      </c>
    </row>
    <row r="1046">
      <c r="A1046" s="379" t="inlineStr">
        <is>
          <t>Sundram Fasteners Ltd</t>
        </is>
      </c>
      <c r="B1046" s="379" t="inlineStr">
        <is>
          <t>SUNDRMFAST</t>
        </is>
      </c>
      <c r="C1046" s="380" t="n">
        <v>100403</v>
      </c>
      <c r="D1046" s="379" t="inlineStr">
        <is>
          <t>SF IN</t>
        </is>
      </c>
      <c r="E1046" s="379" t="inlineStr">
        <is>
          <t>INE387A01021</t>
        </is>
      </c>
    </row>
    <row r="1047">
      <c r="A1047" s="379" t="inlineStr">
        <is>
          <t>Sunflag Iron And Steel Company Ltd</t>
        </is>
      </c>
      <c r="B1047" s="379" t="inlineStr">
        <is>
          <t>SUNFLAG</t>
        </is>
      </c>
      <c r="C1047" s="380" t="n">
        <v>100404</v>
      </c>
      <c r="D1047" s="379" t="inlineStr">
        <is>
          <t>SUNF IN</t>
        </is>
      </c>
      <c r="E1047" s="379" t="inlineStr">
        <is>
          <t>INE947A01014</t>
        </is>
      </c>
    </row>
    <row r="1048">
      <c r="A1048" s="379" t="inlineStr">
        <is>
          <t>Sunteck Realty Ltd</t>
        </is>
      </c>
      <c r="B1048" s="379" t="inlineStr">
        <is>
          <t>SUNTECK</t>
        </is>
      </c>
      <c r="C1048" s="380" t="n">
        <v>112179</v>
      </c>
      <c r="D1048" s="379" t="inlineStr">
        <is>
          <t>SRIN IN</t>
        </is>
      </c>
      <c r="E1048" s="379" t="inlineStr">
        <is>
          <t>INE805D01034</t>
        </is>
      </c>
    </row>
    <row r="1049">
      <c r="A1049" s="379" t="inlineStr">
        <is>
          <t>Suprajit Engineering Ltd</t>
        </is>
      </c>
      <c r="B1049" s="379" t="inlineStr">
        <is>
          <t>SUPRAJIT</t>
        </is>
      </c>
      <c r="C1049" s="380" t="n">
        <v>132509</v>
      </c>
      <c r="D1049" s="379" t="inlineStr">
        <is>
          <t>SEL IN</t>
        </is>
      </c>
      <c r="E1049" s="379" t="inlineStr">
        <is>
          <t>INE399C01030</t>
        </is>
      </c>
    </row>
    <row r="1050">
      <c r="A1050" s="379" t="inlineStr">
        <is>
          <t>Supreme Industries Ltd</t>
        </is>
      </c>
      <c r="B1050" s="379" t="inlineStr">
        <is>
          <t>SUPREMEIND</t>
        </is>
      </c>
      <c r="C1050" s="380" t="n">
        <v>109930</v>
      </c>
      <c r="D1050" s="379" t="inlineStr">
        <is>
          <t>SI IN</t>
        </is>
      </c>
      <c r="E1050" s="379" t="inlineStr">
        <is>
          <t>INE195A01028</t>
        </is>
      </c>
    </row>
    <row r="1051">
      <c r="A1051" s="379" t="inlineStr">
        <is>
          <t>Supreme Petrochem Ltd</t>
        </is>
      </c>
      <c r="B1051" s="379" t="inlineStr">
        <is>
          <t>SUPPETRO</t>
        </is>
      </c>
      <c r="C1051" s="380" t="n">
        <v>100405</v>
      </c>
      <c r="D1051" s="379" t="inlineStr">
        <is>
          <t>SPPT IN</t>
        </is>
      </c>
      <c r="E1051" s="379" t="inlineStr">
        <is>
          <t>INE663A01017</t>
        </is>
      </c>
    </row>
    <row r="1052">
      <c r="A1052" s="379" t="inlineStr">
        <is>
          <t>Supriya Lifescience Ltd</t>
        </is>
      </c>
      <c r="B1052" s="379" t="inlineStr">
        <is>
          <t>SUPRIYA</t>
        </is>
      </c>
      <c r="C1052" s="380" t="n">
        <v>227331</v>
      </c>
      <c r="D1052" s="379" t="inlineStr">
        <is>
          <t>SUPRIYA IN</t>
        </is>
      </c>
      <c r="E1052" s="379" t="inlineStr">
        <is>
          <t>INE07RO01027</t>
        </is>
      </c>
    </row>
    <row r="1053">
      <c r="A1053" s="379" t="inlineStr">
        <is>
          <t>Surya Roshni Ltd</t>
        </is>
      </c>
      <c r="B1053" s="379" t="inlineStr">
        <is>
          <t>SURYAROSNI</t>
        </is>
      </c>
      <c r="C1053" s="380" t="n">
        <v>100336</v>
      </c>
      <c r="D1053" s="379" t="inlineStr">
        <is>
          <t>SYR IN</t>
        </is>
      </c>
      <c r="E1053" s="379" t="inlineStr">
        <is>
          <t>INE335A01012</t>
        </is>
      </c>
    </row>
    <row r="1054">
      <c r="A1054" s="379" t="inlineStr">
        <is>
          <t>Suryoday Small Finance Bank Ltd</t>
        </is>
      </c>
      <c r="B1054" s="379" t="inlineStr">
        <is>
          <t>SURYODAY</t>
        </is>
      </c>
      <c r="C1054" s="380" t="n">
        <v>272661</v>
      </c>
      <c r="D1054" s="379" t="inlineStr">
        <is>
          <t>SURYODAY IN</t>
        </is>
      </c>
      <c r="E1054" s="379" t="inlineStr">
        <is>
          <t>INE428Q01011</t>
        </is>
      </c>
    </row>
    <row r="1055">
      <c r="A1055" s="379" t="inlineStr">
        <is>
          <t>Sutlej Textiles And Industries Ltd</t>
        </is>
      </c>
      <c r="B1055" s="379" t="inlineStr">
        <is>
          <t>SUTLEJTEX</t>
        </is>
      </c>
      <c r="C1055" s="380" t="n">
        <v>132782</v>
      </c>
      <c r="D1055" s="379" t="inlineStr">
        <is>
          <t>SUTJ IN</t>
        </is>
      </c>
      <c r="E1055" s="379" t="inlineStr">
        <is>
          <t>INE645H01027</t>
        </is>
      </c>
    </row>
    <row r="1056">
      <c r="A1056" s="379" t="inlineStr">
        <is>
          <t>Suumaya Industries Ltd</t>
        </is>
      </c>
      <c r="B1056" s="379" t="inlineStr">
        <is>
          <t>SUULD</t>
        </is>
      </c>
      <c r="C1056" s="380" t="n">
        <v>288678</v>
      </c>
      <c r="D1056" s="379" t="inlineStr">
        <is>
          <t>SUULD IN</t>
        </is>
      </c>
      <c r="E1056" s="379" t="inlineStr">
        <is>
          <t>INE591Q01016</t>
        </is>
      </c>
    </row>
    <row r="1057">
      <c r="A1057" s="379" t="inlineStr">
        <is>
          <t>Suven Life Sciences Ltd</t>
        </is>
      </c>
      <c r="B1057" s="379" t="inlineStr">
        <is>
          <t>SUVEN</t>
        </is>
      </c>
      <c r="C1057" s="380" t="n">
        <v>130239</v>
      </c>
      <c r="D1057" s="379" t="inlineStr">
        <is>
          <t>SVLS IN</t>
        </is>
      </c>
      <c r="E1057" s="379" t="inlineStr">
        <is>
          <t>INE495B01038</t>
        </is>
      </c>
    </row>
    <row r="1058">
      <c r="A1058" s="379" t="inlineStr">
        <is>
          <t>Suven Pharmaceuticals Ltd</t>
        </is>
      </c>
      <c r="B1058" s="379" t="inlineStr">
        <is>
          <t>SUVENPHAR</t>
        </is>
      </c>
      <c r="C1058" s="380" t="n">
        <v>297629</v>
      </c>
      <c r="D1058" s="379" t="inlineStr">
        <is>
          <t>SUVENPHA IN</t>
        </is>
      </c>
      <c r="E1058" s="379" t="inlineStr">
        <is>
          <t>INE03QK01018</t>
        </is>
      </c>
    </row>
    <row r="1059">
      <c r="A1059" s="379" t="inlineStr">
        <is>
          <t>Suzlon Energy Ltd</t>
        </is>
      </c>
      <c r="B1059" s="379" t="inlineStr">
        <is>
          <t>SUZLON</t>
        </is>
      </c>
      <c r="C1059" s="380" t="n">
        <v>132667</v>
      </c>
      <c r="D1059" s="379" t="inlineStr">
        <is>
          <t>SUEL IN</t>
        </is>
      </c>
      <c r="E1059" s="379" t="inlineStr">
        <is>
          <t>INE040H01021</t>
        </is>
      </c>
    </row>
    <row r="1060">
      <c r="A1060" s="379" t="inlineStr">
        <is>
          <t>SVP Global Textiles Ltd</t>
        </is>
      </c>
      <c r="B1060" s="379" t="inlineStr">
        <is>
          <t>SVPGLOB</t>
        </is>
      </c>
      <c r="C1060" s="380" t="n">
        <v>105590</v>
      </c>
      <c r="D1060" s="379" t="inlineStr">
        <is>
          <t>SGVL IN</t>
        </is>
      </c>
      <c r="E1060" s="379" t="inlineStr">
        <is>
          <t>INE308E01029</t>
        </is>
      </c>
    </row>
    <row r="1061">
      <c r="A1061" s="379" t="inlineStr">
        <is>
          <t>Swan Energy Ltd</t>
        </is>
      </c>
      <c r="B1061" s="379" t="inlineStr">
        <is>
          <t>SWANENERGY</t>
        </is>
      </c>
      <c r="C1061" s="380" t="n">
        <v>103310</v>
      </c>
      <c r="D1061" s="379" t="inlineStr">
        <is>
          <t>SWAN IN</t>
        </is>
      </c>
      <c r="E1061" s="379" t="inlineStr">
        <is>
          <t>INE665A01038</t>
        </is>
      </c>
    </row>
    <row r="1062">
      <c r="A1062" s="379" t="inlineStr">
        <is>
          <t>Swaraj Engines Ltd</t>
        </is>
      </c>
      <c r="B1062" s="379" t="inlineStr">
        <is>
          <t>SWARAJENG</t>
        </is>
      </c>
      <c r="C1062" s="380" t="n">
        <v>100407</v>
      </c>
      <c r="D1062" s="379" t="inlineStr">
        <is>
          <t>SWE IN</t>
        </is>
      </c>
      <c r="E1062" s="379" t="inlineStr">
        <is>
          <t>INE277A01016</t>
        </is>
      </c>
    </row>
    <row r="1063">
      <c r="A1063" s="379" t="inlineStr">
        <is>
          <t>Symphony Ltd</t>
        </is>
      </c>
      <c r="B1063" s="379" t="inlineStr">
        <is>
          <t>SYMPHONY</t>
        </is>
      </c>
      <c r="C1063" s="380" t="n">
        <v>117385</v>
      </c>
      <c r="D1063" s="379" t="inlineStr">
        <is>
          <t>SYML IN</t>
        </is>
      </c>
      <c r="E1063" s="379" t="inlineStr">
        <is>
          <t>INE225D01027</t>
        </is>
      </c>
    </row>
    <row r="1064">
      <c r="A1064" s="379" t="inlineStr">
        <is>
          <t>Syncom Formulations (India) Ltd</t>
        </is>
      </c>
      <c r="B1064" s="379" t="n"/>
      <c r="C1064" s="380" t="n">
        <v>124470</v>
      </c>
      <c r="D1064" s="379" t="inlineStr">
        <is>
          <t>SYNF IN</t>
        </is>
      </c>
      <c r="E1064" s="379" t="inlineStr">
        <is>
          <t>INE312C01025</t>
        </is>
      </c>
    </row>
    <row r="1065">
      <c r="A1065" s="379" t="inlineStr">
        <is>
          <t>Syngene International Ltd</t>
        </is>
      </c>
      <c r="B1065" s="379" t="inlineStr">
        <is>
          <t>SYNGENE</t>
        </is>
      </c>
      <c r="C1065" s="380" t="n">
        <v>209373</v>
      </c>
      <c r="D1065" s="379" t="inlineStr">
        <is>
          <t>SYNG IN</t>
        </is>
      </c>
      <c r="E1065" s="379" t="inlineStr">
        <is>
          <t>INE398R01022</t>
        </is>
      </c>
    </row>
    <row r="1066">
      <c r="A1066" s="379" t="inlineStr">
        <is>
          <t>Systematix Corporate Services Ltd</t>
        </is>
      </c>
      <c r="B1066" s="379" t="n"/>
      <c r="C1066" s="380" t="n">
        <v>126506</v>
      </c>
      <c r="D1066" s="379" t="inlineStr">
        <is>
          <t>STXC IN</t>
        </is>
      </c>
      <c r="E1066" s="379" t="inlineStr">
        <is>
          <t>INE356B01016</t>
        </is>
      </c>
    </row>
    <row r="1067">
      <c r="A1067" s="379" t="inlineStr">
        <is>
          <t>TAAL Enterprises Ltd</t>
        </is>
      </c>
      <c r="B1067" s="379" t="n"/>
      <c r="C1067" s="380" t="n">
        <v>281896</v>
      </c>
      <c r="D1067" s="379" t="inlineStr">
        <is>
          <t>TAALENT IN</t>
        </is>
      </c>
      <c r="E1067" s="379" t="inlineStr">
        <is>
          <t>INE524T01011</t>
        </is>
      </c>
    </row>
    <row r="1068">
      <c r="A1068" s="379" t="inlineStr">
        <is>
          <t>Taj GVK Hotels &amp; Resorts Ltd</t>
        </is>
      </c>
      <c r="B1068" s="379" t="inlineStr">
        <is>
          <t>TAJGVK</t>
        </is>
      </c>
      <c r="C1068" s="380" t="n">
        <v>132390</v>
      </c>
      <c r="D1068" s="379" t="inlineStr">
        <is>
          <t>TAJG IN</t>
        </is>
      </c>
      <c r="E1068" s="379" t="inlineStr">
        <is>
          <t>INE586B01026</t>
        </is>
      </c>
    </row>
    <row r="1069">
      <c r="A1069" s="379" t="inlineStr">
        <is>
          <t>Take Solutions Ltd</t>
        </is>
      </c>
      <c r="B1069" s="379" t="inlineStr">
        <is>
          <t>TAKE</t>
        </is>
      </c>
      <c r="C1069" s="380" t="n">
        <v>132890</v>
      </c>
      <c r="D1069" s="379" t="inlineStr">
        <is>
          <t>TAKE IN</t>
        </is>
      </c>
      <c r="E1069" s="379" t="inlineStr">
        <is>
          <t>INE142I01023</t>
        </is>
      </c>
    </row>
    <row r="1070">
      <c r="A1070" s="379" t="inlineStr">
        <is>
          <t>Tamil Nadu Newsprint &amp; Papers Ltd</t>
        </is>
      </c>
      <c r="B1070" s="379" t="inlineStr">
        <is>
          <t>TNPL</t>
        </is>
      </c>
      <c r="C1070" s="380" t="n">
        <v>131426</v>
      </c>
      <c r="D1070" s="379" t="inlineStr">
        <is>
          <t>TNNP IN</t>
        </is>
      </c>
      <c r="E1070" s="379" t="inlineStr">
        <is>
          <t>INE107A01015</t>
        </is>
      </c>
    </row>
    <row r="1071">
      <c r="A1071" s="379" t="inlineStr">
        <is>
          <t>Tamilnadu Petroproducts Ltd</t>
        </is>
      </c>
      <c r="B1071" s="379" t="inlineStr">
        <is>
          <t>TNPETRO</t>
        </is>
      </c>
      <c r="C1071" s="380" t="n">
        <v>100777</v>
      </c>
      <c r="D1071" s="379" t="inlineStr">
        <is>
          <t>TNPP IN</t>
        </is>
      </c>
      <c r="E1071" s="379" t="inlineStr">
        <is>
          <t>INE148A01019</t>
        </is>
      </c>
    </row>
    <row r="1072">
      <c r="A1072" s="379" t="inlineStr">
        <is>
          <t>Tanfac Industries Ltd</t>
        </is>
      </c>
      <c r="B1072" s="379" t="inlineStr">
        <is>
          <t>TANFACIND</t>
        </is>
      </c>
      <c r="C1072" s="380" t="n">
        <v>106854</v>
      </c>
      <c r="D1072" s="379" t="inlineStr">
        <is>
          <t>TANF IN</t>
        </is>
      </c>
      <c r="E1072" s="379" t="inlineStr">
        <is>
          <t>INE639B01015</t>
        </is>
      </c>
    </row>
    <row r="1073">
      <c r="A1073" s="379" t="inlineStr">
        <is>
          <t>Tanla Platforms Ltd</t>
        </is>
      </c>
      <c r="B1073" s="379" t="inlineStr">
        <is>
          <t>TANLA</t>
        </is>
      </c>
      <c r="C1073" s="380" t="n">
        <v>132790</v>
      </c>
      <c r="D1073" s="379" t="inlineStr">
        <is>
          <t>TANLA IN</t>
        </is>
      </c>
      <c r="E1073" s="379" t="inlineStr">
        <is>
          <t>INE483C01032</t>
        </is>
      </c>
    </row>
    <row r="1074">
      <c r="A1074" s="379" t="inlineStr">
        <is>
          <t>TARC Ltd</t>
        </is>
      </c>
      <c r="B1074" s="379" t="inlineStr">
        <is>
          <t>TARC</t>
        </is>
      </c>
      <c r="C1074" s="380" t="n">
        <v>300790</v>
      </c>
      <c r="D1074" s="379" t="inlineStr">
        <is>
          <t>ANANTRAJ IN</t>
        </is>
      </c>
      <c r="E1074" s="379" t="inlineStr">
        <is>
          <t>INE0EK901012</t>
        </is>
      </c>
    </row>
    <row r="1075">
      <c r="A1075" s="379" t="inlineStr">
        <is>
          <t>Tarsons Products Ltd</t>
        </is>
      </c>
      <c r="B1075" s="379" t="inlineStr">
        <is>
          <t>TARSONS</t>
        </is>
      </c>
      <c r="C1075" s="380" t="n">
        <v>217015</v>
      </c>
      <c r="D1075" s="379" t="inlineStr">
        <is>
          <t>TARSONS IN</t>
        </is>
      </c>
      <c r="E1075" s="379" t="inlineStr">
        <is>
          <t>INE144Z01023</t>
        </is>
      </c>
    </row>
    <row r="1076">
      <c r="A1076" s="379" t="inlineStr">
        <is>
          <t>Tasty Bite Eatables Ltd</t>
        </is>
      </c>
      <c r="B1076" s="379" t="inlineStr">
        <is>
          <t>TASTYBITE</t>
        </is>
      </c>
      <c r="C1076" s="380" t="n">
        <v>119091</v>
      </c>
      <c r="D1076" s="379" t="inlineStr">
        <is>
          <t>TSTY IN</t>
        </is>
      </c>
      <c r="E1076" s="379" t="inlineStr">
        <is>
          <t>INE488B01017</t>
        </is>
      </c>
    </row>
    <row r="1077">
      <c r="A1077" s="379" t="inlineStr">
        <is>
          <t>Tata Chemicals Ltd</t>
        </is>
      </c>
      <c r="B1077" s="379" t="inlineStr">
        <is>
          <t>TATACHEM</t>
        </is>
      </c>
      <c r="C1077" s="380" t="n">
        <v>100770</v>
      </c>
      <c r="D1077" s="379" t="inlineStr">
        <is>
          <t>TTCH IN</t>
        </is>
      </c>
      <c r="E1077" s="379" t="inlineStr">
        <is>
          <t>INE092A01019</t>
        </is>
      </c>
    </row>
    <row r="1078">
      <c r="A1078" s="379" t="inlineStr">
        <is>
          <t>Tata Coffee Ltd</t>
        </is>
      </c>
      <c r="B1078" s="379" t="inlineStr">
        <is>
          <t>TATACOFFEE</t>
        </is>
      </c>
      <c r="C1078" s="380" t="n">
        <v>132301</v>
      </c>
      <c r="D1078" s="379" t="inlineStr">
        <is>
          <t>TCO IN</t>
        </is>
      </c>
      <c r="E1078" s="379" t="inlineStr">
        <is>
          <t>INE493A01027</t>
        </is>
      </c>
    </row>
    <row r="1079">
      <c r="A1079" s="379" t="inlineStr">
        <is>
          <t>Tata Communications Ltd</t>
        </is>
      </c>
      <c r="B1079" s="379" t="inlineStr">
        <is>
          <t>TATACOMM</t>
        </is>
      </c>
      <c r="C1079" s="380" t="n">
        <v>100483</v>
      </c>
      <c r="D1079" s="379" t="inlineStr">
        <is>
          <t>TCOM IN</t>
        </is>
      </c>
      <c r="E1079" s="379" t="inlineStr">
        <is>
          <t>INE151A01013</t>
        </is>
      </c>
    </row>
    <row r="1080">
      <c r="A1080" s="379" t="inlineStr">
        <is>
          <t>Tata Consultancy Services Ltd</t>
        </is>
      </c>
      <c r="B1080" s="379" t="inlineStr">
        <is>
          <t>TCS</t>
        </is>
      </c>
      <c r="C1080" s="380" t="n">
        <v>132540</v>
      </c>
      <c r="D1080" s="379" t="inlineStr">
        <is>
          <t>TCS IN</t>
        </is>
      </c>
      <c r="E1080" s="379" t="inlineStr">
        <is>
          <t>INE467B01029</t>
        </is>
      </c>
    </row>
    <row r="1081">
      <c r="A1081" s="379" t="inlineStr">
        <is>
          <t>Tata Consumer Products Ltd</t>
        </is>
      </c>
      <c r="B1081" s="379" t="inlineStr">
        <is>
          <t>TATACONSUM</t>
        </is>
      </c>
      <c r="C1081" s="380" t="n">
        <v>100800</v>
      </c>
      <c r="D1081" s="379" t="inlineStr">
        <is>
          <t>TATACONS IN</t>
        </is>
      </c>
      <c r="E1081" s="379" t="inlineStr">
        <is>
          <t>INE192A01025</t>
        </is>
      </c>
    </row>
    <row r="1082">
      <c r="A1082" s="379" t="inlineStr">
        <is>
          <t>Tata Elxsi Ltd</t>
        </is>
      </c>
      <c r="B1082" s="379" t="inlineStr">
        <is>
          <t>TATAELXSI</t>
        </is>
      </c>
      <c r="C1082" s="380" t="n">
        <v>100408</v>
      </c>
      <c r="D1082" s="379" t="inlineStr">
        <is>
          <t>TELX IN</t>
        </is>
      </c>
      <c r="E1082" s="379" t="inlineStr">
        <is>
          <t>INE670A01012</t>
        </is>
      </c>
    </row>
    <row r="1083">
      <c r="A1083" s="379" t="inlineStr">
        <is>
          <t>Tata Investment Corporation Ltd</t>
        </is>
      </c>
      <c r="B1083" s="379" t="inlineStr">
        <is>
          <t>TATAINVEST</t>
        </is>
      </c>
      <c r="C1083" s="380" t="n">
        <v>101301</v>
      </c>
      <c r="D1083" s="379" t="inlineStr">
        <is>
          <t>TICL IN</t>
        </is>
      </c>
      <c r="E1083" s="379" t="inlineStr">
        <is>
          <t>INE672A01018</t>
        </is>
      </c>
    </row>
    <row r="1084">
      <c r="A1084" s="379" t="inlineStr">
        <is>
          <t>Tata Metaliks Ltd</t>
        </is>
      </c>
      <c r="B1084" s="379" t="inlineStr">
        <is>
          <t>TATAMETALI</t>
        </is>
      </c>
      <c r="C1084" s="380" t="n">
        <v>113434</v>
      </c>
      <c r="D1084" s="379" t="inlineStr">
        <is>
          <t>TML IN</t>
        </is>
      </c>
      <c r="E1084" s="379" t="inlineStr">
        <is>
          <t>INE056C01010</t>
        </is>
      </c>
    </row>
    <row r="1085">
      <c r="A1085" s="379" t="inlineStr">
        <is>
          <t>Tata Motors Ltd</t>
        </is>
      </c>
      <c r="B1085" s="379" t="inlineStr">
        <is>
          <t>TATAMOTORS</t>
        </is>
      </c>
      <c r="C1085" s="380" t="n">
        <v>100570</v>
      </c>
      <c r="D1085" s="379" t="inlineStr">
        <is>
          <t>TTMT IN</t>
        </is>
      </c>
      <c r="E1085" s="379" t="inlineStr">
        <is>
          <t>INE155A01022</t>
        </is>
      </c>
    </row>
    <row r="1086">
      <c r="A1086" s="379" t="inlineStr">
        <is>
          <t>Tata Power Company Ltd</t>
        </is>
      </c>
      <c r="B1086" s="379" t="inlineStr">
        <is>
          <t>TATAPOWER</t>
        </is>
      </c>
      <c r="C1086" s="380" t="n">
        <v>100400</v>
      </c>
      <c r="D1086" s="379" t="inlineStr">
        <is>
          <t>TPWR IN</t>
        </is>
      </c>
      <c r="E1086" s="379" t="inlineStr">
        <is>
          <t>INE245A01021</t>
        </is>
      </c>
    </row>
    <row r="1087">
      <c r="A1087" s="379" t="inlineStr">
        <is>
          <t>Tata Steel Long Products Ltd</t>
        </is>
      </c>
      <c r="B1087" s="379" t="inlineStr">
        <is>
          <t>TATASTLLP</t>
        </is>
      </c>
      <c r="C1087" s="380" t="n">
        <v>113010</v>
      </c>
      <c r="D1087" s="379" t="inlineStr">
        <is>
          <t>TATASLPL IN</t>
        </is>
      </c>
      <c r="E1087" s="379" t="inlineStr">
        <is>
          <t>INE674A01014</t>
        </is>
      </c>
    </row>
    <row r="1088">
      <c r="A1088" s="379" t="inlineStr">
        <is>
          <t>Tata Steel Ltd</t>
        </is>
      </c>
      <c r="B1088" s="379" t="inlineStr">
        <is>
          <t>TATASTEEL</t>
        </is>
      </c>
      <c r="C1088" s="380" t="n">
        <v>100470</v>
      </c>
      <c r="D1088" s="379" t="inlineStr">
        <is>
          <t>TATA IN</t>
        </is>
      </c>
      <c r="E1088" s="379" t="inlineStr">
        <is>
          <t>INE081A01012</t>
        </is>
      </c>
    </row>
    <row r="1089">
      <c r="A1089" s="379" t="inlineStr">
        <is>
          <t>Tata Teleservices (Maharashtra) Ltd</t>
        </is>
      </c>
      <c r="B1089" s="379" t="inlineStr">
        <is>
          <t>TTML</t>
        </is>
      </c>
      <c r="C1089" s="380" t="n">
        <v>132371</v>
      </c>
      <c r="D1089" s="379" t="inlineStr">
        <is>
          <t>TTLS IN</t>
        </is>
      </c>
      <c r="E1089" s="379" t="inlineStr">
        <is>
          <t>INE517B01013</t>
        </is>
      </c>
    </row>
    <row r="1090">
      <c r="A1090" s="379" t="inlineStr">
        <is>
          <t>Tatva Chintan Pharma Chem Ltd</t>
        </is>
      </c>
      <c r="B1090" s="379" t="inlineStr">
        <is>
          <t>TATVA</t>
        </is>
      </c>
      <c r="C1090" s="380" t="n">
        <v>223112</v>
      </c>
      <c r="D1090" s="379" t="inlineStr">
        <is>
          <t>TATVA IN</t>
        </is>
      </c>
      <c r="E1090" s="379" t="inlineStr">
        <is>
          <t>INE0GK401011</t>
        </is>
      </c>
    </row>
    <row r="1091">
      <c r="A1091" s="379" t="inlineStr">
        <is>
          <t>TCI Express Ltd</t>
        </is>
      </c>
      <c r="B1091" s="379" t="inlineStr">
        <is>
          <t>TCIEXP</t>
        </is>
      </c>
      <c r="C1091" s="380" t="n">
        <v>225998</v>
      </c>
      <c r="D1091" s="379" t="inlineStr">
        <is>
          <t>TCIEXP IN</t>
        </is>
      </c>
      <c r="E1091" s="379" t="inlineStr">
        <is>
          <t>INE586V01016</t>
        </is>
      </c>
    </row>
    <row r="1092">
      <c r="A1092" s="379" t="inlineStr">
        <is>
          <t>TCNS Clothing CoLtd</t>
        </is>
      </c>
      <c r="B1092" s="379" t="inlineStr">
        <is>
          <t>TCNSBRANDS</t>
        </is>
      </c>
      <c r="C1092" s="380" t="n">
        <v>209425</v>
      </c>
      <c r="D1092" s="379" t="inlineStr">
        <is>
          <t>TCNSBR IN</t>
        </is>
      </c>
      <c r="E1092" s="379" t="inlineStr">
        <is>
          <t>INE778U01029</t>
        </is>
      </c>
    </row>
    <row r="1093">
      <c r="A1093" s="379" t="inlineStr">
        <is>
          <t>TD Power Systems Ltd</t>
        </is>
      </c>
      <c r="B1093" s="379" t="inlineStr">
        <is>
          <t>TDPOWERSYS</t>
        </is>
      </c>
      <c r="C1093" s="380" t="n">
        <v>223658</v>
      </c>
      <c r="D1093" s="379" t="inlineStr">
        <is>
          <t>TDPS IN</t>
        </is>
      </c>
      <c r="E1093" s="379" t="inlineStr">
        <is>
          <t>INE419M01019</t>
        </is>
      </c>
    </row>
    <row r="1094">
      <c r="A1094" s="379" t="inlineStr">
        <is>
          <t>TeamLease Services Ltd</t>
        </is>
      </c>
      <c r="B1094" s="379" t="inlineStr">
        <is>
          <t>TEAMLEASE</t>
        </is>
      </c>
      <c r="C1094" s="380" t="n">
        <v>221194</v>
      </c>
      <c r="D1094" s="379" t="inlineStr">
        <is>
          <t>TEAM IN</t>
        </is>
      </c>
      <c r="E1094" s="379" t="inlineStr">
        <is>
          <t>INE985S01024</t>
        </is>
      </c>
    </row>
    <row r="1095">
      <c r="A1095" s="379" t="inlineStr">
        <is>
          <t>Tech Mahindra Ltd</t>
        </is>
      </c>
      <c r="B1095" s="379" t="inlineStr">
        <is>
          <t>TECHM</t>
        </is>
      </c>
      <c r="C1095" s="380" t="n">
        <v>132755</v>
      </c>
      <c r="D1095" s="379" t="inlineStr">
        <is>
          <t>TECHM IN</t>
        </is>
      </c>
      <c r="E1095" s="379" t="inlineStr">
        <is>
          <t>INE669C01036</t>
        </is>
      </c>
    </row>
    <row r="1096">
      <c r="A1096" s="379" t="inlineStr">
        <is>
          <t>Techno Electric &amp; Engineering Company Ltd</t>
        </is>
      </c>
      <c r="B1096" s="379" t="inlineStr">
        <is>
          <t>TECHNOE</t>
        </is>
      </c>
      <c r="C1096" s="380" t="n">
        <v>220869</v>
      </c>
      <c r="D1096" s="379" t="inlineStr">
        <is>
          <t>TECHNOE IN</t>
        </is>
      </c>
      <c r="E1096" s="379" t="inlineStr">
        <is>
          <t>INE285K01026</t>
        </is>
      </c>
    </row>
    <row r="1097">
      <c r="A1097" s="379" t="inlineStr">
        <is>
          <t>Technocraft Industries (India) Ltd</t>
        </is>
      </c>
      <c r="B1097" s="379" t="inlineStr">
        <is>
          <t>TIIL</t>
        </is>
      </c>
      <c r="C1097" s="380" t="n">
        <v>132804</v>
      </c>
      <c r="D1097" s="379" t="inlineStr">
        <is>
          <t>TIIL IN</t>
        </is>
      </c>
      <c r="E1097" s="379" t="inlineStr">
        <is>
          <t>INE545H01011</t>
        </is>
      </c>
    </row>
    <row r="1098">
      <c r="A1098" s="379" t="inlineStr">
        <is>
          <t>Tega Industries Ltd</t>
        </is>
      </c>
      <c r="B1098" s="379" t="inlineStr">
        <is>
          <t>TEGA</t>
        </is>
      </c>
      <c r="C1098" s="380" t="n">
        <v>255331</v>
      </c>
      <c r="D1098" s="379" t="inlineStr">
        <is>
          <t>TEGA IN</t>
        </is>
      </c>
      <c r="E1098" s="379" t="inlineStr">
        <is>
          <t>INE011K01018</t>
        </is>
      </c>
    </row>
    <row r="1099">
      <c r="A1099" s="379" t="inlineStr">
        <is>
          <t>Tejas Networks Ltd</t>
        </is>
      </c>
      <c r="B1099" s="379" t="inlineStr">
        <is>
          <t>TEJASNET</t>
        </is>
      </c>
      <c r="C1099" s="380" t="n">
        <v>210859</v>
      </c>
      <c r="D1099" s="379" t="inlineStr">
        <is>
          <t>TEJASNET IN</t>
        </is>
      </c>
      <c r="E1099" s="379" t="inlineStr">
        <is>
          <t>INE010J01012</t>
        </is>
      </c>
    </row>
    <row r="1100">
      <c r="A1100" s="379" t="inlineStr">
        <is>
          <t>Texmaco Infrastructure &amp; Holdings Ltd</t>
        </is>
      </c>
      <c r="B1100" s="379" t="inlineStr">
        <is>
          <t>TEXINFRA</t>
        </is>
      </c>
      <c r="C1100" s="380" t="n">
        <v>105400</v>
      </c>
      <c r="D1100" s="379" t="inlineStr">
        <is>
          <t>TXM IN</t>
        </is>
      </c>
      <c r="E1100" s="379" t="inlineStr">
        <is>
          <t>INE435C01024</t>
        </is>
      </c>
    </row>
    <row r="1101">
      <c r="A1101" s="379" t="inlineStr">
        <is>
          <t>Texmaco Rail &amp; Engineering Ltd</t>
        </is>
      </c>
      <c r="B1101" s="379" t="inlineStr">
        <is>
          <t>TEXRAIL</t>
        </is>
      </c>
      <c r="C1101" s="380" t="n">
        <v>222822</v>
      </c>
      <c r="D1101" s="379" t="inlineStr">
        <is>
          <t>TXMRE IN</t>
        </is>
      </c>
      <c r="E1101" s="379" t="inlineStr">
        <is>
          <t>INE621L01012</t>
        </is>
      </c>
    </row>
    <row r="1102">
      <c r="A1102" s="379" t="inlineStr">
        <is>
          <t>TGV SRACC Ltd</t>
        </is>
      </c>
      <c r="B1102" s="379" t="inlineStr">
        <is>
          <t>SREERAYALK</t>
        </is>
      </c>
      <c r="C1102" s="380" t="n">
        <v>107753</v>
      </c>
      <c r="D1102" s="379" t="inlineStr">
        <is>
          <t>TGVSL IN</t>
        </is>
      </c>
      <c r="E1102" s="379" t="inlineStr">
        <is>
          <t>INE284B01028</t>
        </is>
      </c>
    </row>
    <row r="1103">
      <c r="A1103" s="379" t="inlineStr">
        <is>
          <t>Thangamayil Jewellery Ltd</t>
        </is>
      </c>
      <c r="B1103" s="379" t="inlineStr">
        <is>
          <t>THANGAMAYL</t>
        </is>
      </c>
      <c r="C1103" s="380" t="n">
        <v>219236</v>
      </c>
      <c r="D1103" s="379" t="inlineStr">
        <is>
          <t>TJL IN</t>
        </is>
      </c>
      <c r="E1103" s="379" t="inlineStr">
        <is>
          <t>INE085J01014</t>
        </is>
      </c>
    </row>
    <row r="1104">
      <c r="A1104" s="379" t="inlineStr">
        <is>
          <t>The Andhra Sugars Ltd</t>
        </is>
      </c>
      <c r="B1104" s="379" t="inlineStr">
        <is>
          <t>ANDHRSUGAR</t>
        </is>
      </c>
      <c r="C1104" s="380" t="n">
        <v>190062</v>
      </c>
      <c r="D1104" s="379" t="inlineStr">
        <is>
          <t>ASG IN</t>
        </is>
      </c>
      <c r="E1104" s="379" t="inlineStr">
        <is>
          <t>INE715B01013</t>
        </is>
      </c>
    </row>
    <row r="1105">
      <c r="A1105" s="379" t="inlineStr">
        <is>
          <t>The Anup Engineering Ltd</t>
        </is>
      </c>
      <c r="B1105" s="379" t="inlineStr">
        <is>
          <t>ANUP</t>
        </is>
      </c>
      <c r="C1105" s="380" t="n">
        <v>293664</v>
      </c>
      <c r="D1105" s="379" t="inlineStr">
        <is>
          <t>ANUP IN</t>
        </is>
      </c>
      <c r="E1105" s="379" t="inlineStr">
        <is>
          <t>INE294Z01018</t>
        </is>
      </c>
    </row>
    <row r="1106">
      <c r="A1106" s="379" t="inlineStr">
        <is>
          <t>The Federal Bank Ltd</t>
        </is>
      </c>
      <c r="B1106" s="379" t="inlineStr">
        <is>
          <t>FEDERALBNK</t>
        </is>
      </c>
      <c r="C1106" s="380" t="n">
        <v>100469</v>
      </c>
      <c r="D1106" s="379" t="inlineStr">
        <is>
          <t>FB IN</t>
        </is>
      </c>
      <c r="E1106" s="379" t="inlineStr">
        <is>
          <t>INE171A01029</t>
        </is>
      </c>
    </row>
    <row r="1107">
      <c r="A1107" s="379" t="inlineStr">
        <is>
          <t>The Fertilisers And Chemicals Travancore Ltd</t>
        </is>
      </c>
      <c r="B1107" s="379" t="inlineStr">
        <is>
          <t>FACT</t>
        </is>
      </c>
      <c r="C1107" s="380" t="n">
        <v>190024</v>
      </c>
      <c r="D1107" s="379" t="inlineStr">
        <is>
          <t>FCT IN</t>
        </is>
      </c>
      <c r="E1107" s="379" t="inlineStr">
        <is>
          <t>INE188A01015</t>
        </is>
      </c>
    </row>
    <row r="1108">
      <c r="A1108" s="379" t="inlineStr">
        <is>
          <t>The Great Eastern Shipping Company Ltd</t>
        </is>
      </c>
      <c r="B1108" s="379" t="inlineStr">
        <is>
          <t>GESHIP</t>
        </is>
      </c>
      <c r="C1108" s="380" t="n">
        <v>100620</v>
      </c>
      <c r="D1108" s="379" t="inlineStr">
        <is>
          <t>GESCO IN</t>
        </is>
      </c>
      <c r="E1108" s="379" t="inlineStr">
        <is>
          <t>INE017A01032</t>
        </is>
      </c>
    </row>
    <row r="1109">
      <c r="A1109" s="379" t="inlineStr">
        <is>
          <t>The India Cements Ltd</t>
        </is>
      </c>
      <c r="B1109" s="379" t="inlineStr">
        <is>
          <t>INDIACEM</t>
        </is>
      </c>
      <c r="C1109" s="380" t="n">
        <v>130005</v>
      </c>
      <c r="D1109" s="379" t="inlineStr">
        <is>
          <t>ICEM IN</t>
        </is>
      </c>
      <c r="E1109" s="379" t="inlineStr">
        <is>
          <t>INE383A01012</t>
        </is>
      </c>
    </row>
    <row r="1110">
      <c r="A1110" s="379" t="inlineStr">
        <is>
          <t>The Indian Hotels Company Ltd</t>
        </is>
      </c>
      <c r="B1110" s="379" t="inlineStr">
        <is>
          <t>INDHOTEL</t>
        </is>
      </c>
      <c r="C1110" s="380" t="n">
        <v>100850</v>
      </c>
      <c r="D1110" s="379" t="inlineStr">
        <is>
          <t>IH IN</t>
        </is>
      </c>
      <c r="E1110" s="379" t="inlineStr">
        <is>
          <t>INE053A01029</t>
        </is>
      </c>
    </row>
    <row r="1111">
      <c r="A1111" s="379" t="inlineStr">
        <is>
          <t>The Investment Trust of India Ltd</t>
        </is>
      </c>
      <c r="B1111" s="379" t="inlineStr">
        <is>
          <t>THEINVEST</t>
        </is>
      </c>
      <c r="C1111" s="380" t="n">
        <v>130023</v>
      </c>
      <c r="D1111" s="379" t="inlineStr">
        <is>
          <t>THEINVES IN</t>
        </is>
      </c>
      <c r="E1111" s="379" t="inlineStr">
        <is>
          <t>INE924D01017</t>
        </is>
      </c>
    </row>
    <row r="1112">
      <c r="A1112" s="379" t="inlineStr">
        <is>
          <t>The Jammu &amp; Kashmir Bank Ltd</t>
        </is>
      </c>
      <c r="B1112" s="379" t="inlineStr">
        <is>
          <t>J&amp;KBANK</t>
        </is>
      </c>
      <c r="C1112" s="380" t="n">
        <v>132209</v>
      </c>
      <c r="D1112" s="379" t="inlineStr">
        <is>
          <t>JKBK IN</t>
        </is>
      </c>
      <c r="E1112" s="379" t="inlineStr">
        <is>
          <t>INE168A01041</t>
        </is>
      </c>
    </row>
    <row r="1113">
      <c r="A1113" s="379" t="inlineStr">
        <is>
          <t>The Karnataka Bank Ltd</t>
        </is>
      </c>
      <c r="B1113" s="379" t="inlineStr">
        <is>
          <t>KTKBANK</t>
        </is>
      </c>
      <c r="C1113" s="380" t="n">
        <v>132652</v>
      </c>
      <c r="D1113" s="379" t="inlineStr">
        <is>
          <t>KBL IN</t>
        </is>
      </c>
      <c r="E1113" s="379" t="inlineStr">
        <is>
          <t>INE614B01018</t>
        </is>
      </c>
    </row>
    <row r="1114">
      <c r="A1114" s="379" t="inlineStr">
        <is>
          <t>The New India Assurance Company Ltd</t>
        </is>
      </c>
      <c r="B1114" s="379" t="inlineStr">
        <is>
          <t>NIACL</t>
        </is>
      </c>
      <c r="C1114" s="380" t="n">
        <v>217385</v>
      </c>
      <c r="D1114" s="379" t="inlineStr">
        <is>
          <t>NIACL IN</t>
        </is>
      </c>
      <c r="E1114" s="379" t="inlineStr">
        <is>
          <t>INE470Y01017</t>
        </is>
      </c>
    </row>
    <row r="1115">
      <c r="A1115" s="379" t="inlineStr">
        <is>
          <t>The Orissa Minerals Development Company Ltd</t>
        </is>
      </c>
      <c r="B1115" s="379" t="inlineStr">
        <is>
          <t>ORISSAMINE</t>
        </is>
      </c>
      <c r="C1115" s="380" t="n">
        <v>205704</v>
      </c>
      <c r="D1115" s="379" t="inlineStr">
        <is>
          <t>OMDC IN</t>
        </is>
      </c>
      <c r="E1115" s="379" t="inlineStr">
        <is>
          <t>INE725E01024</t>
        </is>
      </c>
    </row>
    <row r="1116">
      <c r="A1116" s="379" t="inlineStr">
        <is>
          <t>The Phoenix Mills Ltd</t>
        </is>
      </c>
      <c r="B1116" s="379" t="inlineStr">
        <is>
          <t>PHOENIXLTD</t>
        </is>
      </c>
      <c r="C1116" s="380" t="n">
        <v>103100</v>
      </c>
      <c r="D1116" s="379" t="inlineStr">
        <is>
          <t>PHNX IN</t>
        </is>
      </c>
      <c r="E1116" s="379" t="inlineStr">
        <is>
          <t>INE211B01039</t>
        </is>
      </c>
    </row>
    <row r="1117">
      <c r="A1117" s="379" t="inlineStr">
        <is>
          <t>The Ramco Cements Ltd</t>
        </is>
      </c>
      <c r="B1117" s="379" t="inlineStr">
        <is>
          <t>RAMCOCEM</t>
        </is>
      </c>
      <c r="C1117" s="380" t="n">
        <v>100260</v>
      </c>
      <c r="D1117" s="379" t="inlineStr">
        <is>
          <t>TRCL IN</t>
        </is>
      </c>
      <c r="E1117" s="379" t="inlineStr">
        <is>
          <t>INE331A01037</t>
        </is>
      </c>
    </row>
    <row r="1118">
      <c r="A1118" s="379" t="inlineStr">
        <is>
          <t>The Sandesh Ltd</t>
        </is>
      </c>
      <c r="B1118" s="379" t="inlineStr">
        <is>
          <t>SANDESH</t>
        </is>
      </c>
      <c r="C1118" s="380" t="n">
        <v>126725</v>
      </c>
      <c r="D1118" s="379" t="inlineStr">
        <is>
          <t>SDSH IN</t>
        </is>
      </c>
      <c r="E1118" s="379" t="inlineStr">
        <is>
          <t>INE583B01015</t>
        </is>
      </c>
    </row>
    <row r="1119">
      <c r="A1119" s="379" t="inlineStr">
        <is>
          <t>The South Indian Bank Ltd</t>
        </is>
      </c>
      <c r="B1119" s="379" t="inlineStr">
        <is>
          <t>SOUTHBANK</t>
        </is>
      </c>
      <c r="C1119" s="380" t="n">
        <v>132218</v>
      </c>
      <c r="D1119" s="379" t="inlineStr">
        <is>
          <t>SIB IN</t>
        </is>
      </c>
      <c r="E1119" s="379" t="inlineStr">
        <is>
          <t>INE683A01023</t>
        </is>
      </c>
    </row>
    <row r="1120">
      <c r="A1120" s="379" t="inlineStr">
        <is>
          <t>The State Trading Corporation Of India Ltd</t>
        </is>
      </c>
      <c r="B1120" s="379" t="inlineStr">
        <is>
          <t>STCINDIA</t>
        </is>
      </c>
      <c r="C1120" s="380" t="n">
        <v>112531</v>
      </c>
      <c r="D1120" s="379" t="inlineStr">
        <is>
          <t>STC IN</t>
        </is>
      </c>
      <c r="E1120" s="379" t="inlineStr">
        <is>
          <t>INE655A01013</t>
        </is>
      </c>
    </row>
    <row r="1121">
      <c r="A1121" s="379" t="inlineStr">
        <is>
          <t>Thejo Engineering Ltd</t>
        </is>
      </c>
      <c r="B1121" s="379" t="inlineStr">
        <is>
          <t>THEJO</t>
        </is>
      </c>
      <c r="C1121" s="380" t="n">
        <v>238007</v>
      </c>
      <c r="D1121" s="379" t="inlineStr">
        <is>
          <t>THEL IN</t>
        </is>
      </c>
      <c r="E1121" s="379" t="inlineStr">
        <is>
          <t>INE121N01019</t>
        </is>
      </c>
    </row>
    <row r="1122">
      <c r="A1122" s="379" t="inlineStr">
        <is>
          <t>Themis Medicare Ltd</t>
        </is>
      </c>
      <c r="B1122" s="379" t="inlineStr">
        <is>
          <t>THEMISMED</t>
        </is>
      </c>
      <c r="C1122" s="380" t="n">
        <v>130199</v>
      </c>
      <c r="D1122" s="379" t="inlineStr">
        <is>
          <t>TMCH IN</t>
        </is>
      </c>
      <c r="E1122" s="379" t="inlineStr">
        <is>
          <t>INE083B01016</t>
        </is>
      </c>
    </row>
    <row r="1123">
      <c r="A1123" s="379" t="inlineStr">
        <is>
          <t>Thermax Ltd</t>
        </is>
      </c>
      <c r="B1123" s="379" t="inlineStr">
        <is>
          <t>THERMAX</t>
        </is>
      </c>
      <c r="C1123" s="380" t="n">
        <v>100411</v>
      </c>
      <c r="D1123" s="379" t="inlineStr">
        <is>
          <t>TMX IN</t>
        </is>
      </c>
      <c r="E1123" s="379" t="inlineStr">
        <is>
          <t>INE152A01029</t>
        </is>
      </c>
    </row>
    <row r="1124">
      <c r="A1124" s="379" t="inlineStr">
        <is>
          <t>Thirumalai Chemicals Ltd</t>
        </is>
      </c>
      <c r="B1124" s="379" t="inlineStr">
        <is>
          <t>TIRUMALCHM</t>
        </is>
      </c>
      <c r="C1124" s="380" t="n">
        <v>100412</v>
      </c>
      <c r="D1124" s="379" t="inlineStr">
        <is>
          <t>TMC IN</t>
        </is>
      </c>
      <c r="E1124" s="379" t="inlineStr">
        <is>
          <t>INE338A01024</t>
        </is>
      </c>
    </row>
    <row r="1125">
      <c r="A1125" s="379" t="inlineStr">
        <is>
          <t>Thomas Cook (India) Ltd</t>
        </is>
      </c>
      <c r="B1125" s="379" t="inlineStr">
        <is>
          <t>THOMASCOOK</t>
        </is>
      </c>
      <c r="C1125" s="380" t="n">
        <v>100413</v>
      </c>
      <c r="D1125" s="379" t="inlineStr">
        <is>
          <t>TC IN</t>
        </is>
      </c>
      <c r="E1125" s="379" t="inlineStr">
        <is>
          <t>INE332A01027</t>
        </is>
      </c>
    </row>
    <row r="1126">
      <c r="A1126" s="379" t="inlineStr">
        <is>
          <t>Thyrocare Technologies Ltd</t>
        </is>
      </c>
      <c r="B1126" s="379" t="inlineStr">
        <is>
          <t>THYROCARE</t>
        </is>
      </c>
      <c r="C1126" s="380" t="n">
        <v>218764</v>
      </c>
      <c r="D1126" s="379" t="inlineStr">
        <is>
          <t>THYROCAR IN</t>
        </is>
      </c>
      <c r="E1126" s="379" t="inlineStr">
        <is>
          <t>INE594H01019</t>
        </is>
      </c>
    </row>
    <row r="1127">
      <c r="A1127" s="379" t="inlineStr">
        <is>
          <t>Tide Water Oil Company (India) Ltd</t>
        </is>
      </c>
      <c r="B1127" s="379" t="inlineStr">
        <is>
          <t>TIDEWATER</t>
        </is>
      </c>
      <c r="C1127" s="380" t="n">
        <v>190005</v>
      </c>
      <c r="D1127" s="379" t="inlineStr">
        <is>
          <t>TWO IN</t>
        </is>
      </c>
      <c r="E1127" s="379" t="inlineStr">
        <is>
          <t>INE484C01030</t>
        </is>
      </c>
    </row>
    <row r="1128">
      <c r="A1128" s="379" t="inlineStr">
        <is>
          <t>Tilaknagar Industries Ltd</t>
        </is>
      </c>
      <c r="B1128" s="379" t="inlineStr">
        <is>
          <t>TI</t>
        </is>
      </c>
      <c r="C1128" s="380" t="n">
        <v>107205</v>
      </c>
      <c r="D1128" s="379" t="inlineStr">
        <is>
          <t>TLNGR IN</t>
        </is>
      </c>
      <c r="E1128" s="379" t="inlineStr">
        <is>
          <t>INE133E01013</t>
        </is>
      </c>
    </row>
    <row r="1129">
      <c r="A1129" s="379" t="inlineStr">
        <is>
          <t>Time Technoplast Ltd</t>
        </is>
      </c>
      <c r="B1129" s="379" t="inlineStr">
        <is>
          <t>TIMETECHNO</t>
        </is>
      </c>
      <c r="C1129" s="380" t="n">
        <v>132856</v>
      </c>
      <c r="D1129" s="379" t="inlineStr">
        <is>
          <t>TIME IN</t>
        </is>
      </c>
      <c r="E1129" s="379" t="inlineStr">
        <is>
          <t>INE508G01029</t>
        </is>
      </c>
    </row>
    <row r="1130">
      <c r="A1130" s="379" t="inlineStr">
        <is>
          <t>Timex Group India Ltd</t>
        </is>
      </c>
      <c r="B1130" s="379" t="inlineStr">
        <is>
          <t>TIMEXWATCH</t>
        </is>
      </c>
      <c r="C1130" s="380" t="n">
        <v>100414</v>
      </c>
      <c r="D1130" s="379" t="inlineStr">
        <is>
          <t>TIMX IN</t>
        </is>
      </c>
      <c r="E1130" s="379" t="inlineStr">
        <is>
          <t>INE064A01026</t>
        </is>
      </c>
    </row>
    <row r="1131">
      <c r="A1131" s="379" t="inlineStr">
        <is>
          <t>Timken India Ltd</t>
        </is>
      </c>
      <c r="B1131" s="379" t="inlineStr">
        <is>
          <t>TIMKEN</t>
        </is>
      </c>
      <c r="C1131" s="380" t="n">
        <v>122113</v>
      </c>
      <c r="D1131" s="379" t="inlineStr">
        <is>
          <t>TMKN IN</t>
        </is>
      </c>
      <c r="E1131" s="379" t="inlineStr">
        <is>
          <t>INE325A01013</t>
        </is>
      </c>
    </row>
    <row r="1132">
      <c r="A1132" s="379" t="inlineStr">
        <is>
          <t>Tinplate Company Of India Ltd</t>
        </is>
      </c>
      <c r="B1132" s="379" t="inlineStr">
        <is>
          <t>TINPLATE</t>
        </is>
      </c>
      <c r="C1132" s="380" t="n">
        <v>104966</v>
      </c>
      <c r="D1132" s="379" t="inlineStr">
        <is>
          <t>TPC IN</t>
        </is>
      </c>
      <c r="E1132" s="379" t="inlineStr">
        <is>
          <t>INE422C01014</t>
        </is>
      </c>
    </row>
    <row r="1133">
      <c r="A1133" s="379" t="inlineStr">
        <is>
          <t>Tips Industries Ltd</t>
        </is>
      </c>
      <c r="B1133" s="379" t="inlineStr">
        <is>
          <t>TIPSINDLTD</t>
        </is>
      </c>
      <c r="C1133" s="380" t="n">
        <v>132375</v>
      </c>
      <c r="D1133" s="379" t="inlineStr">
        <is>
          <t>TPS IN</t>
        </is>
      </c>
      <c r="E1133" s="379" t="inlineStr">
        <is>
          <t>INE716B01011</t>
        </is>
      </c>
    </row>
    <row r="1134">
      <c r="A1134" s="379" t="inlineStr">
        <is>
          <t>Titagarh Wagons Ltd</t>
        </is>
      </c>
      <c r="B1134" s="379" t="inlineStr">
        <is>
          <t>TWL</t>
        </is>
      </c>
      <c r="C1134" s="380" t="n">
        <v>200115</v>
      </c>
      <c r="D1134" s="379" t="inlineStr">
        <is>
          <t>TWL IN</t>
        </is>
      </c>
      <c r="E1134" s="379" t="inlineStr">
        <is>
          <t>INE615H01020</t>
        </is>
      </c>
    </row>
    <row r="1135">
      <c r="A1135" s="379" t="inlineStr">
        <is>
          <t>Titan Company Ltd</t>
        </is>
      </c>
      <c r="B1135" s="379" t="inlineStr">
        <is>
          <t>TITAN</t>
        </is>
      </c>
      <c r="C1135" s="380" t="n">
        <v>100114</v>
      </c>
      <c r="D1135" s="379" t="inlineStr">
        <is>
          <t>TTAN IN</t>
        </is>
      </c>
      <c r="E1135" s="379" t="inlineStr">
        <is>
          <t>INE280A01028</t>
        </is>
      </c>
    </row>
    <row r="1136">
      <c r="A1136" s="379" t="inlineStr">
        <is>
          <t>Torrent Pharmaceuticals Ltd</t>
        </is>
      </c>
      <c r="B1136" s="379" t="inlineStr">
        <is>
          <t>TORNTPHARM</t>
        </is>
      </c>
      <c r="C1136" s="380" t="n">
        <v>100420</v>
      </c>
      <c r="D1136" s="379" t="inlineStr">
        <is>
          <t>TRP IN</t>
        </is>
      </c>
      <c r="E1136" s="379" t="inlineStr">
        <is>
          <t>INE685A01028</t>
        </is>
      </c>
    </row>
    <row r="1137">
      <c r="A1137" s="379" t="inlineStr">
        <is>
          <t>Torrent Power Ltd</t>
        </is>
      </c>
      <c r="B1137" s="379" t="inlineStr">
        <is>
          <t>TORNTPOWER</t>
        </is>
      </c>
      <c r="C1137" s="380" t="n">
        <v>132779</v>
      </c>
      <c r="D1137" s="379" t="inlineStr">
        <is>
          <t>TPW IN</t>
        </is>
      </c>
      <c r="E1137" s="379" t="inlineStr">
        <is>
          <t>INE813H01021</t>
        </is>
      </c>
    </row>
    <row r="1138">
      <c r="A1138" s="379" t="inlineStr">
        <is>
          <t>Tourism Finance Corporation Of India Ltd</t>
        </is>
      </c>
      <c r="B1138" s="379" t="inlineStr">
        <is>
          <t>TFCILTD</t>
        </is>
      </c>
      <c r="C1138" s="380" t="n">
        <v>126650</v>
      </c>
      <c r="D1138" s="379" t="inlineStr">
        <is>
          <t>TFCI IN</t>
        </is>
      </c>
      <c r="E1138" s="379" t="inlineStr">
        <is>
          <t>INE305A01015</t>
        </is>
      </c>
    </row>
    <row r="1139">
      <c r="A1139" s="379" t="inlineStr">
        <is>
          <t>Transpek Industry Ltd</t>
        </is>
      </c>
      <c r="B1139" s="379" t="inlineStr">
        <is>
          <t>TRANSPEK</t>
        </is>
      </c>
      <c r="C1139" s="380" t="n">
        <v>106687</v>
      </c>
      <c r="D1139" s="379" t="inlineStr">
        <is>
          <t>TPI IN</t>
        </is>
      </c>
      <c r="E1139" s="379" t="inlineStr">
        <is>
          <t>INE687A01016</t>
        </is>
      </c>
    </row>
    <row r="1140">
      <c r="A1140" s="379" t="inlineStr">
        <is>
          <t>Transport Corporation Of India Ltd</t>
        </is>
      </c>
      <c r="B1140" s="379" t="inlineStr">
        <is>
          <t>TCI</t>
        </is>
      </c>
      <c r="C1140" s="380" t="n">
        <v>132349</v>
      </c>
      <c r="D1140" s="379" t="inlineStr">
        <is>
          <t>TRPC IN</t>
        </is>
      </c>
      <c r="E1140" s="379" t="inlineStr">
        <is>
          <t>INE688A01022</t>
        </is>
      </c>
    </row>
    <row r="1141">
      <c r="A1141" s="379" t="inlineStr">
        <is>
          <t>Trent Ltd</t>
        </is>
      </c>
      <c r="B1141" s="379" t="inlineStr">
        <is>
          <t>TRENT</t>
        </is>
      </c>
      <c r="C1141" s="380" t="n">
        <v>100251</v>
      </c>
      <c r="D1141" s="379" t="inlineStr">
        <is>
          <t>TRENT IN</t>
        </is>
      </c>
      <c r="E1141" s="379" t="inlineStr">
        <is>
          <t>INE849A01020</t>
        </is>
      </c>
    </row>
    <row r="1142">
      <c r="A1142" s="379" t="inlineStr">
        <is>
          <t>Tribhovandas Bhimji Zaveri Ltd</t>
        </is>
      </c>
      <c r="B1142" s="379" t="inlineStr">
        <is>
          <t>TBZ</t>
        </is>
      </c>
      <c r="C1142" s="380" t="n">
        <v>223359</v>
      </c>
      <c r="D1142" s="379" t="inlineStr">
        <is>
          <t>TBZL IN</t>
        </is>
      </c>
      <c r="E1142" s="379" t="inlineStr">
        <is>
          <t>INE760L01018</t>
        </is>
      </c>
    </row>
    <row r="1143">
      <c r="A1143" s="379" t="inlineStr">
        <is>
          <t>Trident Ltd</t>
        </is>
      </c>
      <c r="B1143" s="379" t="inlineStr">
        <is>
          <t>TRIDENT</t>
        </is>
      </c>
      <c r="C1143" s="380" t="n">
        <v>121064</v>
      </c>
      <c r="D1143" s="379" t="inlineStr">
        <is>
          <t>TRID IN</t>
        </is>
      </c>
      <c r="E1143" s="379" t="inlineStr">
        <is>
          <t>INE064C01022</t>
        </is>
      </c>
    </row>
    <row r="1144">
      <c r="A1144" s="379" t="inlineStr">
        <is>
          <t>Triveni Engineering &amp; Industries Ltd</t>
        </is>
      </c>
      <c r="B1144" s="379" t="inlineStr">
        <is>
          <t>TRIVENI</t>
        </is>
      </c>
      <c r="C1144" s="380" t="n">
        <v>132356</v>
      </c>
      <c r="D1144" s="379" t="inlineStr">
        <is>
          <t>TRE IN</t>
        </is>
      </c>
      <c r="E1144" s="379" t="inlineStr">
        <is>
          <t>INE256C01024</t>
        </is>
      </c>
    </row>
    <row r="1145">
      <c r="A1145" s="379" t="inlineStr">
        <is>
          <t>Triveni Turbine Ltd</t>
        </is>
      </c>
      <c r="B1145" s="379" t="inlineStr">
        <is>
          <t>TRITURBINE</t>
        </is>
      </c>
      <c r="C1145" s="380" t="n">
        <v>226076</v>
      </c>
      <c r="D1145" s="379" t="inlineStr">
        <is>
          <t>TRIV IN</t>
        </is>
      </c>
      <c r="E1145" s="379" t="inlineStr">
        <is>
          <t>INE152M01016</t>
        </is>
      </c>
    </row>
    <row r="1146">
      <c r="A1146" s="379" t="inlineStr">
        <is>
          <t>TTK Healthcare Ltd</t>
        </is>
      </c>
      <c r="B1146" s="379" t="inlineStr">
        <is>
          <t>TTKHLTCARE</t>
        </is>
      </c>
      <c r="C1146" s="380" t="n">
        <v>107747</v>
      </c>
      <c r="D1146" s="379" t="inlineStr">
        <is>
          <t>TTKP IN</t>
        </is>
      </c>
      <c r="E1146" s="379" t="inlineStr">
        <is>
          <t>INE910C01018</t>
        </is>
      </c>
    </row>
    <row r="1147">
      <c r="A1147" s="379" t="inlineStr">
        <is>
          <t>TTK Prestige Ltd</t>
        </is>
      </c>
      <c r="B1147" s="379" t="inlineStr">
        <is>
          <t>TTKPRESTIG</t>
        </is>
      </c>
      <c r="C1147" s="380" t="n">
        <v>117506</v>
      </c>
      <c r="D1147" s="379" t="inlineStr">
        <is>
          <t>TTKPT IN</t>
        </is>
      </c>
      <c r="E1147" s="379" t="inlineStr">
        <is>
          <t>INE690A01028</t>
        </is>
      </c>
    </row>
    <row r="1148">
      <c r="A1148" s="379" t="inlineStr">
        <is>
          <t>Tube Investments of India Ltd</t>
        </is>
      </c>
      <c r="B1148" s="379" t="inlineStr">
        <is>
          <t>TIINDIA</t>
        </is>
      </c>
      <c r="C1148" s="380" t="n">
        <v>269404</v>
      </c>
      <c r="D1148" s="379" t="inlineStr">
        <is>
          <t>TIINDIA IN</t>
        </is>
      </c>
      <c r="E1148" s="379" t="inlineStr">
        <is>
          <t>INE974X01010</t>
        </is>
      </c>
    </row>
    <row r="1149">
      <c r="A1149" s="379" t="inlineStr">
        <is>
          <t>TV Today Network Ltd</t>
        </is>
      </c>
      <c r="B1149" s="379" t="inlineStr">
        <is>
          <t>TVTODAY</t>
        </is>
      </c>
      <c r="C1149" s="380" t="n">
        <v>132515</v>
      </c>
      <c r="D1149" s="379" t="inlineStr">
        <is>
          <t>TVTN IN</t>
        </is>
      </c>
      <c r="E1149" s="379" t="inlineStr">
        <is>
          <t>INE038F01029</t>
        </is>
      </c>
    </row>
    <row r="1150">
      <c r="A1150" s="379" t="inlineStr">
        <is>
          <t>TV18 Broadcast Ltd</t>
        </is>
      </c>
      <c r="B1150" s="379" t="inlineStr">
        <is>
          <t>TV18BRDCST</t>
        </is>
      </c>
      <c r="C1150" s="380" t="n">
        <v>132800</v>
      </c>
      <c r="D1150" s="379" t="inlineStr">
        <is>
          <t>TV18 IN</t>
        </is>
      </c>
      <c r="E1150" s="379" t="inlineStr">
        <is>
          <t>INE886H01027</t>
        </is>
      </c>
    </row>
    <row r="1151">
      <c r="A1151" s="379" t="inlineStr">
        <is>
          <t>TVS Motor Company Ltd</t>
        </is>
      </c>
      <c r="B1151" s="379" t="inlineStr">
        <is>
          <t>TVSMOTOR</t>
        </is>
      </c>
      <c r="C1151" s="380" t="n">
        <v>132343</v>
      </c>
      <c r="D1151" s="379" t="inlineStr">
        <is>
          <t>TVSL IN</t>
        </is>
      </c>
      <c r="E1151" s="379" t="inlineStr">
        <is>
          <t>INE494B01023</t>
        </is>
      </c>
    </row>
    <row r="1152">
      <c r="A1152" s="379" t="inlineStr">
        <is>
          <t>TVS Srichakra Ltd</t>
        </is>
      </c>
      <c r="B1152" s="379" t="inlineStr">
        <is>
          <t>TVSSRICHAK</t>
        </is>
      </c>
      <c r="C1152" s="380" t="n">
        <v>109243</v>
      </c>
      <c r="D1152" s="379" t="inlineStr">
        <is>
          <t>SRTY IN</t>
        </is>
      </c>
      <c r="E1152" s="379" t="inlineStr">
        <is>
          <t>INE421C01016</t>
        </is>
      </c>
    </row>
    <row r="1153">
      <c r="A1153" s="379" t="inlineStr">
        <is>
          <t>UCO Bank</t>
        </is>
      </c>
      <c r="B1153" s="379" t="inlineStr">
        <is>
          <t>UCOBANK</t>
        </is>
      </c>
      <c r="C1153" s="380" t="n">
        <v>132505</v>
      </c>
      <c r="D1153" s="379" t="inlineStr">
        <is>
          <t>UCO IN</t>
        </is>
      </c>
      <c r="E1153" s="379" t="inlineStr">
        <is>
          <t>INE691A01018</t>
        </is>
      </c>
    </row>
    <row r="1154">
      <c r="A1154" s="379" t="inlineStr">
        <is>
          <t>Udaipur Cement Works Ltd</t>
        </is>
      </c>
      <c r="B1154" s="379" t="inlineStr">
        <is>
          <t>UDAICEMENT</t>
        </is>
      </c>
      <c r="C1154" s="380" t="n">
        <v>130131</v>
      </c>
      <c r="D1154" s="379" t="inlineStr">
        <is>
          <t>UCW IN</t>
        </is>
      </c>
      <c r="E1154" s="379" t="inlineStr">
        <is>
          <t>INE225C01029</t>
        </is>
      </c>
    </row>
    <row r="1155">
      <c r="A1155" s="379" t="inlineStr">
        <is>
          <t>Uflex Ltd</t>
        </is>
      </c>
      <c r="B1155" s="379" t="inlineStr">
        <is>
          <t>UFLEX</t>
        </is>
      </c>
      <c r="C1155" s="380" t="n">
        <v>100148</v>
      </c>
      <c r="D1155" s="379" t="inlineStr">
        <is>
          <t>UFLX IN</t>
        </is>
      </c>
      <c r="E1155" s="379" t="inlineStr">
        <is>
          <t>INE516A01017</t>
        </is>
      </c>
    </row>
    <row r="1156">
      <c r="A1156" s="379" t="inlineStr">
        <is>
          <t>Ugro Capital Ltd</t>
        </is>
      </c>
      <c r="B1156" s="379" t="inlineStr">
        <is>
          <t>UGROCAP</t>
        </is>
      </c>
      <c r="C1156" s="380" t="n">
        <v>111742</v>
      </c>
      <c r="D1156" s="379" t="inlineStr">
        <is>
          <t>UGRO IN</t>
        </is>
      </c>
      <c r="E1156" s="379" t="inlineStr">
        <is>
          <t>INE583D01011</t>
        </is>
      </c>
    </row>
    <row r="1157">
      <c r="A1157" s="379" t="inlineStr">
        <is>
          <t>Ujjivan Financial Services Ltd</t>
        </is>
      </c>
      <c r="B1157" s="379" t="inlineStr">
        <is>
          <t>UJJIVAN</t>
        </is>
      </c>
      <c r="C1157" s="380" t="n">
        <v>222671</v>
      </c>
      <c r="D1157" s="379" t="inlineStr">
        <is>
          <t>UJJIVAN IN</t>
        </is>
      </c>
      <c r="E1157" s="379" t="inlineStr">
        <is>
          <t>INE334L01012</t>
        </is>
      </c>
    </row>
    <row r="1158">
      <c r="A1158" s="379" t="inlineStr">
        <is>
          <t>Ujjivan Small Finance Bank Ltd</t>
        </is>
      </c>
      <c r="B1158" s="379" t="inlineStr">
        <is>
          <t>UJJIVANSFB</t>
        </is>
      </c>
      <c r="C1158" s="380" t="n">
        <v>287237</v>
      </c>
      <c r="D1158" s="379" t="inlineStr">
        <is>
          <t>UJJIVANS IN</t>
        </is>
      </c>
      <c r="E1158" s="379" t="inlineStr">
        <is>
          <t>INE551W01018</t>
        </is>
      </c>
    </row>
    <row r="1159">
      <c r="A1159" s="379" t="inlineStr">
        <is>
          <t>Ultramarine &amp; Pigments Ltd</t>
        </is>
      </c>
      <c r="B1159" s="379" t="inlineStr">
        <is>
          <t>ULTRMARINE</t>
        </is>
      </c>
      <c r="C1159" s="380" t="n">
        <v>106685</v>
      </c>
      <c r="D1159" s="379" t="inlineStr">
        <is>
          <t>UMP IN</t>
        </is>
      </c>
      <c r="E1159" s="379" t="inlineStr">
        <is>
          <t>INE405A01021</t>
        </is>
      </c>
    </row>
    <row r="1160">
      <c r="A1160" s="379" t="inlineStr">
        <is>
          <t>Ultratech Cement Ltd</t>
        </is>
      </c>
      <c r="B1160" s="379" t="inlineStr">
        <is>
          <t>ULTRACEMCO</t>
        </is>
      </c>
      <c r="C1160" s="380" t="n">
        <v>132538</v>
      </c>
      <c r="D1160" s="379" t="inlineStr">
        <is>
          <t>UTCEM IN</t>
        </is>
      </c>
      <c r="E1160" s="379" t="inlineStr">
        <is>
          <t>INE481G01011</t>
        </is>
      </c>
    </row>
    <row r="1161">
      <c r="A1161" s="379" t="inlineStr">
        <is>
          <t>Unichem Laboratories Ltd</t>
        </is>
      </c>
      <c r="B1161" s="379" t="inlineStr">
        <is>
          <t>UNICHEMLAB</t>
        </is>
      </c>
      <c r="C1161" s="380" t="n">
        <v>106690</v>
      </c>
      <c r="D1161" s="379" t="inlineStr">
        <is>
          <t>UL IN</t>
        </is>
      </c>
      <c r="E1161" s="379" t="inlineStr">
        <is>
          <t>INE351A01035</t>
        </is>
      </c>
    </row>
    <row r="1162">
      <c r="A1162" s="379" t="inlineStr">
        <is>
          <t>Union Bank Of India</t>
        </is>
      </c>
      <c r="B1162" s="379" t="inlineStr">
        <is>
          <t>UNIONBANK</t>
        </is>
      </c>
      <c r="C1162" s="380" t="n">
        <v>132477</v>
      </c>
      <c r="D1162" s="379" t="inlineStr">
        <is>
          <t>UNBK IN</t>
        </is>
      </c>
      <c r="E1162" s="379" t="inlineStr">
        <is>
          <t>INE692A01016</t>
        </is>
      </c>
    </row>
    <row r="1163">
      <c r="A1163" s="379" t="inlineStr">
        <is>
          <t>Uniphos Enterprises Ltd</t>
        </is>
      </c>
      <c r="B1163" s="379" t="inlineStr">
        <is>
          <t>UNIENTER</t>
        </is>
      </c>
      <c r="C1163" s="380" t="n">
        <v>100429</v>
      </c>
      <c r="D1163" s="379" t="inlineStr">
        <is>
          <t>UPE IN</t>
        </is>
      </c>
      <c r="E1163" s="379" t="inlineStr">
        <is>
          <t>INE037A01022</t>
        </is>
      </c>
    </row>
    <row r="1164">
      <c r="A1164" s="379" t="inlineStr">
        <is>
          <t>Unitech Ltd</t>
        </is>
      </c>
      <c r="B1164" s="379" t="inlineStr">
        <is>
          <t>UNITECH</t>
        </is>
      </c>
      <c r="C1164" s="380" t="n">
        <v>107878</v>
      </c>
      <c r="D1164" s="379" t="inlineStr">
        <is>
          <t>UT IN</t>
        </is>
      </c>
      <c r="E1164" s="379" t="inlineStr">
        <is>
          <t>INE694A01020</t>
        </is>
      </c>
    </row>
    <row r="1165">
      <c r="A1165" s="379" t="inlineStr">
        <is>
          <t>United Breweries Ltd</t>
        </is>
      </c>
      <c r="B1165" s="379" t="inlineStr">
        <is>
          <t>UBL</t>
        </is>
      </c>
      <c r="C1165" s="380" t="n">
        <v>132478</v>
      </c>
      <c r="D1165" s="379" t="inlineStr">
        <is>
          <t>UBBL IN</t>
        </is>
      </c>
      <c r="E1165" s="379" t="inlineStr">
        <is>
          <t>INE686F01025</t>
        </is>
      </c>
    </row>
    <row r="1166">
      <c r="A1166" s="379" t="inlineStr">
        <is>
          <t>United Drilling Tools Ltd</t>
        </is>
      </c>
      <c r="B1166" s="379" t="inlineStr">
        <is>
          <t>UNIDT</t>
        </is>
      </c>
      <c r="C1166" s="380" t="n">
        <v>122014</v>
      </c>
      <c r="D1166" s="379" t="inlineStr">
        <is>
          <t>UDT IN</t>
        </is>
      </c>
      <c r="E1166" s="379" t="inlineStr">
        <is>
          <t>INE961D01019</t>
        </is>
      </c>
    </row>
    <row r="1167">
      <c r="A1167" s="379" t="inlineStr">
        <is>
          <t>United Spirits Ltd</t>
        </is>
      </c>
      <c r="B1167" s="379" t="inlineStr">
        <is>
          <t>MCDOWELL-N</t>
        </is>
      </c>
      <c r="C1167" s="380" t="n">
        <v>132432</v>
      </c>
      <c r="D1167" s="379" t="inlineStr">
        <is>
          <t>UNSP IN</t>
        </is>
      </c>
      <c r="E1167" s="379" t="inlineStr">
        <is>
          <t>INE854D01024</t>
        </is>
      </c>
    </row>
    <row r="1168">
      <c r="A1168" s="379" t="inlineStr">
        <is>
          <t>Universal Cables Ltd</t>
        </is>
      </c>
      <c r="B1168" s="379" t="inlineStr">
        <is>
          <t>UNIVCABLES</t>
        </is>
      </c>
      <c r="C1168" s="380" t="n">
        <v>104212</v>
      </c>
      <c r="D1168" s="379" t="inlineStr">
        <is>
          <t>UVC IN</t>
        </is>
      </c>
      <c r="E1168" s="379" t="inlineStr">
        <is>
          <t>INE279A01012</t>
        </is>
      </c>
    </row>
    <row r="1169">
      <c r="A1169" s="379" t="inlineStr">
        <is>
          <t>Universus Photo Imagings Ltd</t>
        </is>
      </c>
      <c r="B1169" s="379" t="inlineStr">
        <is>
          <t>UNIVPHOTO</t>
        </is>
      </c>
      <c r="C1169" s="380" t="n">
        <v>268509</v>
      </c>
      <c r="D1169" s="379" t="inlineStr">
        <is>
          <t>UNIPHOTO IN</t>
        </is>
      </c>
      <c r="E1169" s="379" t="inlineStr">
        <is>
          <t>INE03V001013</t>
        </is>
      </c>
    </row>
    <row r="1170">
      <c r="A1170" s="379" t="inlineStr">
        <is>
          <t>UPL Ltd</t>
        </is>
      </c>
      <c r="B1170" s="379" t="inlineStr">
        <is>
          <t>UPL</t>
        </is>
      </c>
      <c r="C1170" s="380" t="n">
        <v>112070</v>
      </c>
      <c r="D1170" s="379" t="inlineStr">
        <is>
          <t>UPLL IN</t>
        </is>
      </c>
      <c r="E1170" s="379" t="inlineStr">
        <is>
          <t>INE628A01036</t>
        </is>
      </c>
    </row>
    <row r="1171">
      <c r="A1171" s="379" t="inlineStr">
        <is>
          <t>Urja Global Ltd</t>
        </is>
      </c>
      <c r="B1171" s="379" t="inlineStr">
        <is>
          <t>URJA</t>
        </is>
      </c>
      <c r="C1171" s="380" t="n">
        <v>126987</v>
      </c>
      <c r="D1171" s="379" t="inlineStr">
        <is>
          <t>UGL IN</t>
        </is>
      </c>
      <c r="E1171" s="379" t="inlineStr">
        <is>
          <t>INE550C01020</t>
        </is>
      </c>
    </row>
    <row r="1172">
      <c r="A1172" s="379" t="inlineStr">
        <is>
          <t>Usha Martin Ltd</t>
        </is>
      </c>
      <c r="B1172" s="379" t="inlineStr">
        <is>
          <t>USHAMART</t>
        </is>
      </c>
      <c r="C1172" s="380" t="n">
        <v>117146</v>
      </c>
      <c r="D1172" s="379" t="inlineStr">
        <is>
          <t>USM IN</t>
        </is>
      </c>
      <c r="E1172" s="379" t="inlineStr">
        <is>
          <t>INE228A01035</t>
        </is>
      </c>
    </row>
    <row r="1173">
      <c r="A1173" s="379" t="inlineStr">
        <is>
          <t>UTI Asset Management Company Ltd</t>
        </is>
      </c>
      <c r="B1173" s="379" t="inlineStr">
        <is>
          <t>UTIAMC</t>
        </is>
      </c>
      <c r="C1173" s="380" t="n">
        <v>209492</v>
      </c>
      <c r="D1173" s="379" t="inlineStr">
        <is>
          <t>UTIAM IN</t>
        </is>
      </c>
      <c r="E1173" s="379" t="inlineStr">
        <is>
          <t>INE094J01016</t>
        </is>
      </c>
    </row>
    <row r="1174">
      <c r="A1174" s="379" t="inlineStr">
        <is>
          <t>Uttam Sugar Mills Ltd</t>
        </is>
      </c>
      <c r="B1174" s="379" t="inlineStr">
        <is>
          <t>UTTAMSUGAR</t>
        </is>
      </c>
      <c r="C1174" s="380" t="n">
        <v>132729</v>
      </c>
      <c r="D1174" s="379" t="inlineStr">
        <is>
          <t>UTSM IN</t>
        </is>
      </c>
      <c r="E1174" s="379" t="inlineStr">
        <is>
          <t>INE786F01031</t>
        </is>
      </c>
    </row>
    <row r="1175">
      <c r="A1175" s="379" t="inlineStr">
        <is>
          <t>VSTTillers Tractors Ltd</t>
        </is>
      </c>
      <c r="B1175" s="379" t="inlineStr">
        <is>
          <t>VSTTILLERS</t>
        </is>
      </c>
      <c r="C1175" s="380" t="n">
        <v>131266</v>
      </c>
      <c r="D1175" s="379" t="inlineStr">
        <is>
          <t>VSTT IN</t>
        </is>
      </c>
      <c r="E1175" s="379" t="inlineStr">
        <is>
          <t>INE764D01017</t>
        </is>
      </c>
    </row>
    <row r="1176">
      <c r="A1176" s="379" t="inlineStr">
        <is>
          <t>V2 Retail Ltd</t>
        </is>
      </c>
      <c r="B1176" s="379" t="inlineStr">
        <is>
          <t>V2RETAIL</t>
        </is>
      </c>
      <c r="C1176" s="380" t="n">
        <v>132867</v>
      </c>
      <c r="D1176" s="379" t="inlineStr">
        <is>
          <t>VREL IN</t>
        </is>
      </c>
      <c r="E1176" s="379" t="inlineStr">
        <is>
          <t>INE945H01013</t>
        </is>
      </c>
    </row>
    <row r="1177">
      <c r="A1177" s="379" t="inlineStr">
        <is>
          <t>VA Tech Wabag Ltd</t>
        </is>
      </c>
      <c r="B1177" s="379" t="inlineStr">
        <is>
          <t>WABAG</t>
        </is>
      </c>
      <c r="C1177" s="380" t="n">
        <v>209532</v>
      </c>
      <c r="D1177" s="379" t="inlineStr">
        <is>
          <t>VATW IN</t>
        </is>
      </c>
      <c r="E1177" s="379" t="inlineStr">
        <is>
          <t>INE956G01038</t>
        </is>
      </c>
    </row>
    <row r="1178">
      <c r="A1178" s="379" t="inlineStr">
        <is>
          <t>Vadilal Industries Ltd</t>
        </is>
      </c>
      <c r="B1178" s="379" t="inlineStr">
        <is>
          <t>VADILALIND</t>
        </is>
      </c>
      <c r="C1178" s="380" t="n">
        <v>119156</v>
      </c>
      <c r="D1178" s="379" t="inlineStr">
        <is>
          <t>VDI IN</t>
        </is>
      </c>
      <c r="E1178" s="379" t="inlineStr">
        <is>
          <t>INE694D01016</t>
        </is>
      </c>
    </row>
    <row r="1179">
      <c r="A1179" s="379" t="inlineStr">
        <is>
          <t>Vaibhav Global Ltd</t>
        </is>
      </c>
      <c r="B1179" s="379" t="inlineStr">
        <is>
          <t>VAIBHAVGBL</t>
        </is>
      </c>
      <c r="C1179" s="380" t="n">
        <v>132156</v>
      </c>
      <c r="D1179" s="379" t="inlineStr">
        <is>
          <t>VGM IN</t>
        </is>
      </c>
      <c r="E1179" s="379" t="inlineStr">
        <is>
          <t>INE884A01027</t>
        </is>
      </c>
    </row>
    <row r="1180">
      <c r="A1180" s="379" t="inlineStr">
        <is>
          <t>Vakrangee Ltd</t>
        </is>
      </c>
      <c r="B1180" s="379" t="inlineStr">
        <is>
          <t>VAKRANGEE</t>
        </is>
      </c>
      <c r="C1180" s="380" t="n">
        <v>111431</v>
      </c>
      <c r="D1180" s="379" t="inlineStr">
        <is>
          <t>VKI IN</t>
        </is>
      </c>
      <c r="E1180" s="379" t="inlineStr">
        <is>
          <t>INE051B01021</t>
        </is>
      </c>
    </row>
    <row r="1181">
      <c r="A1181" s="379" t="inlineStr">
        <is>
          <t>Valiant Organics Ltd</t>
        </is>
      </c>
      <c r="B1181" s="379" t="inlineStr">
        <is>
          <t>VALIANTORG</t>
        </is>
      </c>
      <c r="C1181" s="380" t="n">
        <v>224818</v>
      </c>
      <c r="D1181" s="379" t="inlineStr">
        <is>
          <t>VORG IN</t>
        </is>
      </c>
      <c r="E1181" s="379" t="inlineStr">
        <is>
          <t>INE565V01010</t>
        </is>
      </c>
    </row>
    <row r="1182">
      <c r="A1182" s="379" t="inlineStr">
        <is>
          <t>Vardhman Holdings Ltd</t>
        </is>
      </c>
      <c r="B1182" s="379" t="inlineStr">
        <is>
          <t>VHL</t>
        </is>
      </c>
      <c r="C1182" s="380" t="n">
        <v>100439</v>
      </c>
      <c r="D1182" s="379" t="inlineStr">
        <is>
          <t>VARH IN</t>
        </is>
      </c>
      <c r="E1182" s="379" t="inlineStr">
        <is>
          <t>INE701A01023</t>
        </is>
      </c>
    </row>
    <row r="1183">
      <c r="A1183" s="379" t="inlineStr">
        <is>
          <t>Vardhman Special Steels Ltd</t>
        </is>
      </c>
      <c r="B1183" s="379" t="inlineStr">
        <is>
          <t>VSSL</t>
        </is>
      </c>
      <c r="C1183" s="380" t="n">
        <v>224243</v>
      </c>
      <c r="D1183" s="379" t="inlineStr">
        <is>
          <t>VSSL IN</t>
        </is>
      </c>
      <c r="E1183" s="379" t="inlineStr">
        <is>
          <t>INE050M01012</t>
        </is>
      </c>
    </row>
    <row r="1184">
      <c r="A1184" s="379" t="inlineStr">
        <is>
          <t>Vardhman Textiles Ltd</t>
        </is>
      </c>
      <c r="B1184" s="379" t="inlineStr">
        <is>
          <t>VTL</t>
        </is>
      </c>
      <c r="C1184" s="380" t="n">
        <v>102986</v>
      </c>
      <c r="D1184" s="379" t="inlineStr">
        <is>
          <t>VTEX IN</t>
        </is>
      </c>
      <c r="E1184" s="379" t="inlineStr">
        <is>
          <t>INE825A01012</t>
        </is>
      </c>
    </row>
    <row r="1185">
      <c r="A1185" s="379" t="inlineStr">
        <is>
          <t>Varroc Engineering Ltd</t>
        </is>
      </c>
      <c r="B1185" s="379" t="inlineStr">
        <is>
          <t>VARROC</t>
        </is>
      </c>
      <c r="C1185" s="380" t="n">
        <v>214437</v>
      </c>
      <c r="D1185" s="379" t="inlineStr">
        <is>
          <t>VARROC IN</t>
        </is>
      </c>
      <c r="E1185" s="379" t="inlineStr">
        <is>
          <t>INE665L01035</t>
        </is>
      </c>
    </row>
    <row r="1186">
      <c r="A1186" s="379" t="inlineStr">
        <is>
          <t>Varun Beverages Ltd</t>
        </is>
      </c>
      <c r="B1186" s="379" t="inlineStr">
        <is>
          <t>VBL</t>
        </is>
      </c>
      <c r="C1186" s="380" t="n">
        <v>209550</v>
      </c>
      <c r="D1186" s="379" t="inlineStr">
        <is>
          <t>VBL IN</t>
        </is>
      </c>
      <c r="E1186" s="379" t="inlineStr">
        <is>
          <t>INE200M01013</t>
        </is>
      </c>
    </row>
    <row r="1187">
      <c r="A1187" s="379" t="inlineStr">
        <is>
          <t>Vascon Engineers Ltd</t>
        </is>
      </c>
      <c r="B1187" s="379" t="inlineStr">
        <is>
          <t>VASCONEQ</t>
        </is>
      </c>
      <c r="C1187" s="380" t="n">
        <v>212035</v>
      </c>
      <c r="D1187" s="379" t="inlineStr">
        <is>
          <t>VSCN IN</t>
        </is>
      </c>
      <c r="E1187" s="379" t="inlineStr">
        <is>
          <t>INE893I01013</t>
        </is>
      </c>
    </row>
    <row r="1188">
      <c r="A1188" s="379" t="inlineStr">
        <is>
          <t>Vedanta Ltd</t>
        </is>
      </c>
      <c r="B1188" s="379" t="inlineStr">
        <is>
          <t>VEDL</t>
        </is>
      </c>
      <c r="C1188" s="380" t="n">
        <v>100295</v>
      </c>
      <c r="D1188" s="379" t="inlineStr">
        <is>
          <t>VEDL IN</t>
        </is>
      </c>
      <c r="E1188" s="379" t="inlineStr">
        <is>
          <t>INE205A01025</t>
        </is>
      </c>
    </row>
    <row r="1189">
      <c r="A1189" s="379" t="inlineStr">
        <is>
          <t>Venky'S (India) Ltd</t>
        </is>
      </c>
      <c r="B1189" s="379" t="inlineStr">
        <is>
          <t>VENKEYS</t>
        </is>
      </c>
      <c r="C1189" s="380" t="n">
        <v>123261</v>
      </c>
      <c r="D1189" s="379" t="inlineStr">
        <is>
          <t>WH IN</t>
        </is>
      </c>
      <c r="E1189" s="379" t="inlineStr">
        <is>
          <t>INE398A01010</t>
        </is>
      </c>
    </row>
    <row r="1190">
      <c r="A1190" s="379" t="inlineStr">
        <is>
          <t>Venus Remedies Ltd</t>
        </is>
      </c>
      <c r="B1190" s="379" t="inlineStr">
        <is>
          <t>VENUSREM</t>
        </is>
      </c>
      <c r="C1190" s="380" t="n">
        <v>126953</v>
      </c>
      <c r="D1190" s="379" t="inlineStr">
        <is>
          <t>VNR IN</t>
        </is>
      </c>
      <c r="E1190" s="379" t="inlineStr">
        <is>
          <t>INE411B01019</t>
        </is>
      </c>
    </row>
    <row r="1191">
      <c r="A1191" s="379" t="inlineStr">
        <is>
          <t>Vesuvius India Ltd</t>
        </is>
      </c>
      <c r="B1191" s="379" t="inlineStr">
        <is>
          <t>VESUVIUS</t>
        </is>
      </c>
      <c r="C1191" s="380" t="n">
        <v>120113</v>
      </c>
      <c r="D1191" s="379" t="inlineStr">
        <is>
          <t>VI IN</t>
        </is>
      </c>
      <c r="E1191" s="379" t="inlineStr">
        <is>
          <t>INE386A01015</t>
        </is>
      </c>
    </row>
    <row r="1192">
      <c r="A1192" s="379" t="inlineStr">
        <is>
          <t>V-Guard Industries Ltd</t>
        </is>
      </c>
      <c r="B1192" s="379" t="inlineStr">
        <is>
          <t>VGUARD</t>
        </is>
      </c>
      <c r="C1192" s="380" t="n">
        <v>200054</v>
      </c>
      <c r="D1192" s="379" t="inlineStr">
        <is>
          <t>VGRD IN</t>
        </is>
      </c>
      <c r="E1192" s="379" t="inlineStr">
        <is>
          <t>INE951I01027</t>
        </is>
      </c>
    </row>
    <row r="1193">
      <c r="A1193" s="379" t="inlineStr">
        <is>
          <t>Vidhi Specialty Food Ingredients Ltd</t>
        </is>
      </c>
      <c r="B1193" s="379" t="inlineStr">
        <is>
          <t>VIDHIING</t>
        </is>
      </c>
      <c r="C1193" s="380" t="n">
        <v>131717</v>
      </c>
      <c r="D1193" s="379" t="inlineStr">
        <is>
          <t>VSFI IN</t>
        </is>
      </c>
      <c r="E1193" s="379" t="inlineStr">
        <is>
          <t>INE632C01026</t>
        </is>
      </c>
    </row>
    <row r="1194">
      <c r="A1194" s="379" t="inlineStr">
        <is>
          <t>Vijay Solvex Ltd</t>
        </is>
      </c>
      <c r="B1194" s="379" t="n"/>
      <c r="C1194" s="380" t="n">
        <v>131069</v>
      </c>
      <c r="D1194" s="379" t="inlineStr">
        <is>
          <t>VJS IN</t>
        </is>
      </c>
      <c r="E1194" s="379" t="inlineStr">
        <is>
          <t>INE362D01010</t>
        </is>
      </c>
    </row>
    <row r="1195">
      <c r="A1195" s="379" t="inlineStr">
        <is>
          <t>Vijaya Diagnostic Centre Ltd</t>
        </is>
      </c>
      <c r="B1195" s="379" t="inlineStr">
        <is>
          <t>VIJAYA</t>
        </is>
      </c>
      <c r="C1195" s="380" t="n">
        <v>302427</v>
      </c>
      <c r="D1195" s="379" t="inlineStr">
        <is>
          <t>VIJAYA IN</t>
        </is>
      </c>
      <c r="E1195" s="379" t="inlineStr">
        <is>
          <t>INE043W01024</t>
        </is>
      </c>
    </row>
    <row r="1196">
      <c r="A1196" s="379" t="inlineStr">
        <is>
          <t>Vimta Labs Ltd</t>
        </is>
      </c>
      <c r="B1196" s="379" t="inlineStr">
        <is>
          <t>VIMTALABS</t>
        </is>
      </c>
      <c r="C1196" s="380" t="n">
        <v>124394</v>
      </c>
      <c r="D1196" s="379" t="inlineStr">
        <is>
          <t>VL IN</t>
        </is>
      </c>
      <c r="E1196" s="379" t="inlineStr">
        <is>
          <t>INE579C01029</t>
        </is>
      </c>
    </row>
    <row r="1197">
      <c r="A1197" s="379" t="inlineStr">
        <is>
          <t>Vinati Organics Ltd</t>
        </is>
      </c>
      <c r="B1197" s="379" t="inlineStr">
        <is>
          <t>VINATIORGA</t>
        </is>
      </c>
      <c r="C1197" s="380" t="n">
        <v>124200</v>
      </c>
      <c r="D1197" s="379" t="inlineStr">
        <is>
          <t>VO IN</t>
        </is>
      </c>
      <c r="E1197" s="379" t="inlineStr">
        <is>
          <t>INE410B01037</t>
        </is>
      </c>
    </row>
    <row r="1198">
      <c r="A1198" s="379" t="inlineStr">
        <is>
          <t>Vindhya Telelinks Ltd</t>
        </is>
      </c>
      <c r="B1198" s="379" t="inlineStr">
        <is>
          <t>VINDHYATEL</t>
        </is>
      </c>
      <c r="C1198" s="380" t="n">
        <v>117015</v>
      </c>
      <c r="D1198" s="379" t="inlineStr">
        <is>
          <t>VT IN</t>
        </is>
      </c>
      <c r="E1198" s="379" t="inlineStr">
        <is>
          <t>INE707A01012</t>
        </is>
      </c>
    </row>
    <row r="1199">
      <c r="A1199" s="379" t="inlineStr">
        <is>
          <t>Vintage Coffee &amp; Beverages Ltd</t>
        </is>
      </c>
      <c r="B1199" s="379" t="n"/>
      <c r="C1199" s="380" t="n">
        <v>247454</v>
      </c>
      <c r="D1199" s="379" t="inlineStr">
        <is>
          <t>SPAC IN</t>
        </is>
      </c>
      <c r="E1199" s="379" t="inlineStr">
        <is>
          <t>INE498Q01014</t>
        </is>
      </c>
    </row>
    <row r="1200">
      <c r="A1200" s="379" t="inlineStr">
        <is>
          <t>VIP Industries Ltd</t>
        </is>
      </c>
      <c r="B1200" s="379" t="inlineStr">
        <is>
          <t>VIPIND</t>
        </is>
      </c>
      <c r="C1200" s="380" t="n">
        <v>107880</v>
      </c>
      <c r="D1200" s="379" t="inlineStr">
        <is>
          <t>VIP IN</t>
        </is>
      </c>
      <c r="E1200" s="379" t="inlineStr">
        <is>
          <t>INE054A01027</t>
        </is>
      </c>
    </row>
    <row r="1201">
      <c r="A1201" s="379" t="inlineStr">
        <is>
          <t>Visaka Industries Ltd</t>
        </is>
      </c>
      <c r="B1201" s="379" t="inlineStr">
        <is>
          <t>VISAKAIND</t>
        </is>
      </c>
      <c r="C1201" s="380" t="n">
        <v>109055</v>
      </c>
      <c r="D1201" s="379" t="inlineStr">
        <is>
          <t>VSKI IN</t>
        </is>
      </c>
      <c r="E1201" s="379" t="inlineStr">
        <is>
          <t>INE392A01013</t>
        </is>
      </c>
    </row>
    <row r="1202">
      <c r="A1202" s="379" t="inlineStr">
        <is>
          <t>Vishal Fabrics Ltd</t>
        </is>
      </c>
      <c r="B1202" s="379" t="inlineStr">
        <is>
          <t>VISHAL</t>
        </is>
      </c>
      <c r="C1202" s="380" t="n">
        <v>267541</v>
      </c>
      <c r="D1202" s="379" t="inlineStr">
        <is>
          <t>VIFL IN</t>
        </is>
      </c>
      <c r="E1202" s="379" t="inlineStr">
        <is>
          <t>INE755Q01025</t>
        </is>
      </c>
    </row>
    <row r="1203">
      <c r="A1203" s="379" t="inlineStr">
        <is>
          <t>Vishnu Chemicals Ltd</t>
        </is>
      </c>
      <c r="B1203" s="379" t="inlineStr">
        <is>
          <t>VISHNU</t>
        </is>
      </c>
      <c r="C1203" s="380" t="n">
        <v>116072</v>
      </c>
      <c r="D1203" s="379" t="inlineStr">
        <is>
          <t>VCL IN</t>
        </is>
      </c>
      <c r="E1203" s="379" t="inlineStr">
        <is>
          <t>INE270I01014</t>
        </is>
      </c>
    </row>
    <row r="1204">
      <c r="A1204" s="379" t="inlineStr">
        <is>
          <t>Vishwaraj Sugar Industries Ltd</t>
        </is>
      </c>
      <c r="B1204" s="379" t="inlineStr">
        <is>
          <t>VISHWARAJ</t>
        </is>
      </c>
      <c r="C1204" s="380" t="n">
        <v>229819</v>
      </c>
      <c r="D1204" s="379" t="inlineStr">
        <is>
          <t>VISHWARA IN</t>
        </is>
      </c>
      <c r="E1204" s="379" t="inlineStr">
        <is>
          <t>INE430N01022</t>
        </is>
      </c>
    </row>
    <row r="1205">
      <c r="A1205" s="379" t="inlineStr">
        <is>
          <t>VLS Finance Ltd</t>
        </is>
      </c>
      <c r="B1205" s="379" t="inlineStr">
        <is>
          <t>VLSFINANCE</t>
        </is>
      </c>
      <c r="C1205" s="380" t="n">
        <v>111333</v>
      </c>
      <c r="D1205" s="379" t="inlineStr">
        <is>
          <t>VLS IN</t>
        </is>
      </c>
      <c r="E1205" s="379" t="inlineStr">
        <is>
          <t>INE709A01018</t>
        </is>
      </c>
    </row>
    <row r="1206">
      <c r="A1206" s="379" t="inlineStr">
        <is>
          <t>V-Mart Retail Ltd</t>
        </is>
      </c>
      <c r="B1206" s="379" t="inlineStr">
        <is>
          <t>VMART</t>
        </is>
      </c>
      <c r="C1206" s="380" t="n">
        <v>237191</v>
      </c>
      <c r="D1206" s="379" t="inlineStr">
        <is>
          <t>VMART IN</t>
        </is>
      </c>
      <c r="E1206" s="379" t="inlineStr">
        <is>
          <t>INE665J01013</t>
        </is>
      </c>
    </row>
    <row r="1207">
      <c r="A1207" s="379" t="inlineStr">
        <is>
          <t>Vodafone Idea Ltd</t>
        </is>
      </c>
      <c r="B1207" s="379" t="inlineStr">
        <is>
          <t>IDEA</t>
        </is>
      </c>
      <c r="C1207" s="380" t="n">
        <v>132822</v>
      </c>
      <c r="D1207" s="379" t="inlineStr">
        <is>
          <t>IDEA IN</t>
        </is>
      </c>
      <c r="E1207" s="379" t="inlineStr">
        <is>
          <t>INE669E01016</t>
        </is>
      </c>
    </row>
    <row r="1208">
      <c r="A1208" s="379" t="inlineStr">
        <is>
          <t>Voltamp Transformers Ltd</t>
        </is>
      </c>
      <c r="B1208" s="379" t="inlineStr">
        <is>
          <t>VOLTAMP</t>
        </is>
      </c>
      <c r="C1208" s="380" t="n">
        <v>132757</v>
      </c>
      <c r="D1208" s="379" t="inlineStr">
        <is>
          <t>VAMP IN</t>
        </is>
      </c>
      <c r="E1208" s="379" t="inlineStr">
        <is>
          <t>INE540H01012</t>
        </is>
      </c>
    </row>
    <row r="1209">
      <c r="A1209" s="379" t="inlineStr">
        <is>
          <t>Voltas Ltd</t>
        </is>
      </c>
      <c r="B1209" s="379" t="inlineStr">
        <is>
          <t>VOLTAS</t>
        </is>
      </c>
      <c r="C1209" s="380" t="n">
        <v>100575</v>
      </c>
      <c r="D1209" s="379" t="inlineStr">
        <is>
          <t>VOLT IN</t>
        </is>
      </c>
      <c r="E1209" s="379" t="inlineStr">
        <is>
          <t>INE226A01021</t>
        </is>
      </c>
    </row>
    <row r="1210">
      <c r="A1210" s="379" t="inlineStr">
        <is>
          <t>VRL Logistics Ltd</t>
        </is>
      </c>
      <c r="B1210" s="379" t="inlineStr">
        <is>
          <t>VRLLOG</t>
        </is>
      </c>
      <c r="C1210" s="380" t="n">
        <v>209587</v>
      </c>
      <c r="D1210" s="379" t="inlineStr">
        <is>
          <t>VRLL IN</t>
        </is>
      </c>
      <c r="E1210" s="379" t="inlineStr">
        <is>
          <t>INE366I01010</t>
        </is>
      </c>
    </row>
    <row r="1211">
      <c r="A1211" s="379" t="inlineStr">
        <is>
          <t>VST Industries Ltd</t>
        </is>
      </c>
      <c r="B1211" s="379" t="inlineStr">
        <is>
          <t>VSTIND</t>
        </is>
      </c>
      <c r="C1211" s="380" t="n">
        <v>109966</v>
      </c>
      <c r="D1211" s="379" t="inlineStr">
        <is>
          <t>VST IN</t>
        </is>
      </c>
      <c r="E1211" s="379" t="inlineStr">
        <is>
          <t>INE710A01016</t>
        </is>
      </c>
    </row>
    <row r="1212">
      <c r="A1212" s="379" t="inlineStr">
        <is>
          <t>Waaree Renewable Technologies Ltd</t>
        </is>
      </c>
      <c r="B1212" s="379" t="n"/>
      <c r="C1212" s="380" t="n">
        <v>237056</v>
      </c>
      <c r="D1212" s="379" t="inlineStr">
        <is>
          <t>SANG IN</t>
        </is>
      </c>
      <c r="E1212" s="379" t="inlineStr">
        <is>
          <t>INE299N01013</t>
        </is>
      </c>
    </row>
    <row r="1213">
      <c r="A1213" s="379" t="inlineStr">
        <is>
          <t>Wabco India Ltd</t>
        </is>
      </c>
      <c r="B1213" s="379" t="inlineStr">
        <is>
          <t>WABCOINDIA</t>
        </is>
      </c>
      <c r="C1213" s="380" t="n">
        <v>200515</v>
      </c>
      <c r="D1213" s="379" t="inlineStr">
        <is>
          <t>WIL IN</t>
        </is>
      </c>
      <c r="E1213" s="379" t="inlineStr">
        <is>
          <t>INE342J01019</t>
        </is>
      </c>
    </row>
    <row r="1214">
      <c r="A1214" s="379" t="inlineStr">
        <is>
          <t>Wardwizard Innovations &amp; Mobility Ltd</t>
        </is>
      </c>
      <c r="B1214" s="379" t="n"/>
      <c r="C1214" s="380" t="n">
        <v>255008</v>
      </c>
      <c r="D1214" s="379" t="inlineStr">
        <is>
          <t>MNVJ IN</t>
        </is>
      </c>
      <c r="E1214" s="379" t="inlineStr">
        <is>
          <t>INE945P01024</t>
        </is>
      </c>
    </row>
    <row r="1215">
      <c r="A1215" s="379" t="inlineStr">
        <is>
          <t>Welspun Corp Ltd</t>
        </is>
      </c>
      <c r="B1215" s="379" t="inlineStr">
        <is>
          <t>WELCORP</t>
        </is>
      </c>
      <c r="C1215" s="380" t="n">
        <v>132144</v>
      </c>
      <c r="D1215" s="379" t="inlineStr">
        <is>
          <t>WLCO IN</t>
        </is>
      </c>
      <c r="E1215" s="379" t="inlineStr">
        <is>
          <t>INE191B01025</t>
        </is>
      </c>
    </row>
    <row r="1216">
      <c r="A1216" s="379" t="inlineStr">
        <is>
          <t>Welspun Enterprises Ltd</t>
        </is>
      </c>
      <c r="B1216" s="379" t="inlineStr">
        <is>
          <t>WELENT</t>
        </is>
      </c>
      <c r="C1216" s="380" t="n">
        <v>132553</v>
      </c>
      <c r="D1216" s="379" t="inlineStr">
        <is>
          <t>WEL IN</t>
        </is>
      </c>
      <c r="E1216" s="379" t="inlineStr">
        <is>
          <t>INE625G01013</t>
        </is>
      </c>
    </row>
    <row r="1217">
      <c r="A1217" s="379" t="inlineStr">
        <is>
          <t>Welspun India Ltd</t>
        </is>
      </c>
      <c r="B1217" s="379" t="inlineStr">
        <is>
          <t>WELSPUNIND</t>
        </is>
      </c>
      <c r="C1217" s="380" t="n">
        <v>114162</v>
      </c>
      <c r="D1217" s="379" t="inlineStr">
        <is>
          <t>WLSI IN</t>
        </is>
      </c>
      <c r="E1217" s="379" t="inlineStr">
        <is>
          <t>INE192B01031</t>
        </is>
      </c>
    </row>
    <row r="1218">
      <c r="A1218" s="379" t="inlineStr">
        <is>
          <t>Welspun Specialty Solutions Ltd</t>
        </is>
      </c>
      <c r="B1218" s="379" t="inlineStr">
        <is>
          <t>REMIMETAL</t>
        </is>
      </c>
      <c r="C1218" s="380" t="n">
        <v>100365</v>
      </c>
      <c r="D1218" s="379" t="inlineStr">
        <is>
          <t>RMG IN</t>
        </is>
      </c>
      <c r="E1218" s="379" t="inlineStr">
        <is>
          <t>INE731F01037</t>
        </is>
      </c>
    </row>
    <row r="1219">
      <c r="A1219" s="379" t="inlineStr">
        <is>
          <t>Wendt (India) Ltd</t>
        </is>
      </c>
      <c r="B1219" s="379" t="inlineStr">
        <is>
          <t>WENDT</t>
        </is>
      </c>
      <c r="C1219" s="380" t="n">
        <v>105412</v>
      </c>
      <c r="D1219" s="379" t="inlineStr">
        <is>
          <t>WNDT IN</t>
        </is>
      </c>
      <c r="E1219" s="379" t="inlineStr">
        <is>
          <t>INE274C01019</t>
        </is>
      </c>
    </row>
    <row r="1220">
      <c r="A1220" s="379" t="inlineStr">
        <is>
          <t>West Coast Paper Mills Ltd</t>
        </is>
      </c>
      <c r="B1220" s="379" t="inlineStr">
        <is>
          <t>WSTCSTPAPR</t>
        </is>
      </c>
      <c r="C1220" s="380" t="n">
        <v>100444</v>
      </c>
      <c r="D1220" s="379" t="inlineStr">
        <is>
          <t>WCPM IN</t>
        </is>
      </c>
      <c r="E1220" s="379" t="inlineStr">
        <is>
          <t>INE976A01021</t>
        </is>
      </c>
    </row>
    <row r="1221">
      <c r="A1221" s="379" t="inlineStr">
        <is>
          <t>Westlife Development Ltd</t>
        </is>
      </c>
      <c r="B1221" s="379" t="inlineStr">
        <is>
          <t>WESTLIFE</t>
        </is>
      </c>
      <c r="C1221" s="380" t="n">
        <v>105533</v>
      </c>
      <c r="D1221" s="379" t="inlineStr">
        <is>
          <t>WLDL IN</t>
        </is>
      </c>
      <c r="E1221" s="379" t="inlineStr">
        <is>
          <t>INE274F01020</t>
        </is>
      </c>
    </row>
    <row r="1222">
      <c r="A1222" s="379" t="inlineStr">
        <is>
          <t>Wheels India Ltd</t>
        </is>
      </c>
      <c r="B1222" s="379" t="inlineStr">
        <is>
          <t>WHEELS</t>
        </is>
      </c>
      <c r="C1222" s="380" t="n">
        <v>190073</v>
      </c>
      <c r="D1222" s="379" t="inlineStr">
        <is>
          <t>WHL IN</t>
        </is>
      </c>
      <c r="E1222" s="379" t="inlineStr">
        <is>
          <t>INE715A01015</t>
        </is>
      </c>
    </row>
    <row r="1223">
      <c r="A1223" s="379" t="inlineStr">
        <is>
          <t>Whirlpool Of India Ltd</t>
        </is>
      </c>
      <c r="B1223" s="379" t="inlineStr">
        <is>
          <t>WHIRLPOOL</t>
        </is>
      </c>
      <c r="C1223" s="380" t="n">
        <v>100238</v>
      </c>
      <c r="D1223" s="379" t="inlineStr">
        <is>
          <t>WHIRL IN</t>
        </is>
      </c>
      <c r="E1223" s="379" t="inlineStr">
        <is>
          <t>INE716A01013</t>
        </is>
      </c>
    </row>
    <row r="1224">
      <c r="A1224" s="379" t="inlineStr">
        <is>
          <t>Wim Plast Ltd</t>
        </is>
      </c>
      <c r="B1224" s="379" t="inlineStr">
        <is>
          <t>WIMPLAST</t>
        </is>
      </c>
      <c r="C1224" s="380" t="n">
        <v>126586</v>
      </c>
      <c r="D1224" s="379" t="inlineStr">
        <is>
          <t>WMP IN</t>
        </is>
      </c>
      <c r="E1224" s="379" t="inlineStr">
        <is>
          <t>INE015B01018</t>
        </is>
      </c>
    </row>
    <row r="1225">
      <c r="A1225" s="379" t="inlineStr">
        <is>
          <t>Windlas Biotech Ltd</t>
        </is>
      </c>
      <c r="B1225" s="379" t="inlineStr">
        <is>
          <t>WINDLAS</t>
        </is>
      </c>
      <c r="C1225" s="380" t="n">
        <v>255003</v>
      </c>
      <c r="D1225" s="379" t="inlineStr">
        <is>
          <t>WINDLAS IN</t>
        </is>
      </c>
      <c r="E1225" s="379" t="inlineStr">
        <is>
          <t>INE0H5O01029</t>
        </is>
      </c>
    </row>
    <row r="1226">
      <c r="A1226" s="379" t="inlineStr">
        <is>
          <t>Wipro Ltd</t>
        </is>
      </c>
      <c r="B1226" s="379" t="inlineStr">
        <is>
          <t>WIPRO</t>
        </is>
      </c>
      <c r="C1226" s="380" t="n">
        <v>107685</v>
      </c>
      <c r="D1226" s="379" t="inlineStr">
        <is>
          <t>WPRO IN</t>
        </is>
      </c>
      <c r="E1226" s="379" t="inlineStr">
        <is>
          <t>INE075A01022</t>
        </is>
      </c>
    </row>
    <row r="1227">
      <c r="A1227" s="379" t="inlineStr">
        <is>
          <t>Wockhardt Ltd</t>
        </is>
      </c>
      <c r="B1227" s="379" t="inlineStr">
        <is>
          <t>WOCKPHARMA</t>
        </is>
      </c>
      <c r="C1227" s="380" t="n">
        <v>132300</v>
      </c>
      <c r="D1227" s="379" t="inlineStr">
        <is>
          <t>WPL IN</t>
        </is>
      </c>
      <c r="E1227" s="379" t="inlineStr">
        <is>
          <t>INE049B01025</t>
        </is>
      </c>
    </row>
    <row r="1228">
      <c r="A1228" s="379" t="inlineStr">
        <is>
          <t>Wonderla Holidays Ltd</t>
        </is>
      </c>
      <c r="B1228" s="379" t="inlineStr">
        <is>
          <t>WONDERLA</t>
        </is>
      </c>
      <c r="C1228" s="380" t="n">
        <v>221217</v>
      </c>
      <c r="D1228" s="379" t="inlineStr">
        <is>
          <t>WONH IN</t>
        </is>
      </c>
      <c r="E1228" s="379" t="inlineStr">
        <is>
          <t>INE066O01014</t>
        </is>
      </c>
    </row>
    <row r="1229">
      <c r="A1229" s="379" t="inlineStr">
        <is>
          <t>WPIL Ltd</t>
        </is>
      </c>
      <c r="B1229" s="379" t="n"/>
      <c r="C1229" s="380" t="n">
        <v>105872</v>
      </c>
      <c r="D1229" s="379" t="inlineStr">
        <is>
          <t>WPI IN</t>
        </is>
      </c>
      <c r="E1229" s="379" t="inlineStr">
        <is>
          <t>INE765D01014</t>
        </is>
      </c>
    </row>
    <row r="1230">
      <c r="A1230" s="379" t="inlineStr">
        <is>
          <t>Xchanging Solutions Ltd</t>
        </is>
      </c>
      <c r="B1230" s="379" t="inlineStr">
        <is>
          <t>XCHANGING</t>
        </is>
      </c>
      <c r="C1230" s="380" t="n">
        <v>132616</v>
      </c>
      <c r="D1230" s="379" t="inlineStr">
        <is>
          <t>XSL IN</t>
        </is>
      </c>
      <c r="E1230" s="379" t="inlineStr">
        <is>
          <t>INE692G01013</t>
        </is>
      </c>
    </row>
    <row r="1231">
      <c r="A1231" s="379" t="inlineStr">
        <is>
          <t>Xelpmoc Design And Tech Ltd</t>
        </is>
      </c>
      <c r="B1231" s="379" t="inlineStr">
        <is>
          <t>XELPMOC</t>
        </is>
      </c>
      <c r="C1231" s="380" t="n">
        <v>291852</v>
      </c>
      <c r="D1231" s="379" t="inlineStr">
        <is>
          <t>XELP IN</t>
        </is>
      </c>
      <c r="E1231" s="379" t="inlineStr">
        <is>
          <t>INE01P501012</t>
        </is>
      </c>
    </row>
    <row r="1232">
      <c r="A1232" s="379" t="inlineStr">
        <is>
          <t>Xpro India Ltd</t>
        </is>
      </c>
      <c r="B1232" s="379" t="inlineStr">
        <is>
          <t>XPROINDIA</t>
        </is>
      </c>
      <c r="C1232" s="380" t="n">
        <v>190013</v>
      </c>
      <c r="D1232" s="379" t="inlineStr">
        <is>
          <t>XPRO IN</t>
        </is>
      </c>
      <c r="E1232" s="379" t="inlineStr">
        <is>
          <t>INE445C01015</t>
        </is>
      </c>
    </row>
    <row r="1233">
      <c r="A1233" s="379" t="inlineStr">
        <is>
          <t>XT Global Infotech Ltd</t>
        </is>
      </c>
      <c r="B1233" s="379" t="n"/>
      <c r="C1233" s="380" t="n">
        <v>131225</v>
      </c>
      <c r="D1233" s="379" t="inlineStr">
        <is>
          <t>FIT IN</t>
        </is>
      </c>
      <c r="E1233" s="379" t="inlineStr">
        <is>
          <t>INE547B01028</t>
        </is>
      </c>
    </row>
    <row r="1234">
      <c r="A1234" s="379" t="inlineStr">
        <is>
          <t>Yaari Digital Integrated Services Ltd</t>
        </is>
      </c>
      <c r="B1234" s="379" t="inlineStr">
        <is>
          <t xml:space="preserve">YAARI </t>
        </is>
      </c>
      <c r="C1234" s="380" t="n">
        <v>210289</v>
      </c>
      <c r="D1234" s="379" t="inlineStr">
        <is>
          <t>YAARII IN</t>
        </is>
      </c>
      <c r="E1234" s="379" t="inlineStr">
        <is>
          <t>INE126M01010</t>
        </is>
      </c>
    </row>
    <row r="1235">
      <c r="A1235" s="379" t="inlineStr">
        <is>
          <t>Yasho Industries Ltd</t>
        </is>
      </c>
      <c r="B1235" s="379" t="n"/>
      <c r="C1235" s="380" t="n">
        <v>275557</v>
      </c>
      <c r="D1235" s="379" t="inlineStr">
        <is>
          <t>YASHO IN</t>
        </is>
      </c>
      <c r="E1235" s="379" t="inlineStr">
        <is>
          <t>INE616Z01012</t>
        </is>
      </c>
    </row>
    <row r="1236">
      <c r="A1236" s="379" t="inlineStr">
        <is>
          <t>Yes Bank Ltd</t>
        </is>
      </c>
      <c r="B1236" s="379" t="inlineStr">
        <is>
          <t>YESBANK</t>
        </is>
      </c>
      <c r="C1236" s="380" t="n">
        <v>132648</v>
      </c>
      <c r="D1236" s="379" t="inlineStr">
        <is>
          <t>YES IN</t>
        </is>
      </c>
      <c r="E1236" s="379" t="inlineStr">
        <is>
          <t>INE528G01035</t>
        </is>
      </c>
    </row>
    <row r="1237">
      <c r="A1237" s="379" t="inlineStr">
        <is>
          <t>Yuken India Ltd</t>
        </is>
      </c>
      <c r="B1237" s="379" t="inlineStr">
        <is>
          <t>YUKEN</t>
        </is>
      </c>
      <c r="C1237" s="380" t="n">
        <v>122108</v>
      </c>
      <c r="D1237" s="379" t="inlineStr">
        <is>
          <t>YI IN</t>
        </is>
      </c>
      <c r="E1237" s="379" t="inlineStr">
        <is>
          <t>INE384C01016</t>
        </is>
      </c>
    </row>
    <row r="1238">
      <c r="A1238" s="379" t="inlineStr">
        <is>
          <t>Zee Entertainment Enterprises Ltd</t>
        </is>
      </c>
      <c r="B1238" s="379" t="inlineStr">
        <is>
          <t>ZEEL</t>
        </is>
      </c>
      <c r="C1238" s="380" t="n">
        <v>105537</v>
      </c>
      <c r="D1238" s="379" t="inlineStr">
        <is>
          <t>Z IN</t>
        </is>
      </c>
      <c r="E1238" s="379" t="inlineStr">
        <is>
          <t>INE256A01028</t>
        </is>
      </c>
    </row>
    <row r="1239">
      <c r="A1239" s="379" t="inlineStr">
        <is>
          <t>Zee Media Corporation Ltd</t>
        </is>
      </c>
      <c r="B1239" s="379" t="inlineStr">
        <is>
          <t>ZEEMEDIA</t>
        </is>
      </c>
      <c r="C1239" s="380" t="n">
        <v>132794</v>
      </c>
      <c r="D1239" s="379" t="inlineStr">
        <is>
          <t>ZEEN IN</t>
        </is>
      </c>
      <c r="E1239" s="379" t="inlineStr">
        <is>
          <t>INE966H01019</t>
        </is>
      </c>
    </row>
    <row r="1240">
      <c r="A1240" s="379" t="inlineStr">
        <is>
          <t>Zen Technologies Ltd</t>
        </is>
      </c>
      <c r="B1240" s="379" t="inlineStr">
        <is>
          <t>ZENTEC</t>
        </is>
      </c>
      <c r="C1240" s="380" t="n">
        <v>190032</v>
      </c>
      <c r="D1240" s="379" t="inlineStr">
        <is>
          <t>ZEN IN</t>
        </is>
      </c>
      <c r="E1240" s="379" t="inlineStr">
        <is>
          <t>INE251B01027</t>
        </is>
      </c>
    </row>
    <row r="1241">
      <c r="A1241" s="379" t="inlineStr">
        <is>
          <t>Zensar Technologies Ltd</t>
        </is>
      </c>
      <c r="B1241" s="379" t="inlineStr">
        <is>
          <t>ZENSARTECH</t>
        </is>
      </c>
      <c r="C1241" s="380" t="n">
        <v>104067</v>
      </c>
      <c r="D1241" s="379" t="inlineStr">
        <is>
          <t>ZENT IN</t>
        </is>
      </c>
      <c r="E1241" s="379" t="inlineStr">
        <is>
          <t>INE520A01027</t>
        </is>
      </c>
    </row>
    <row r="1242">
      <c r="A1242" s="379" t="inlineStr">
        <is>
          <t>Zomato Ltd</t>
        </is>
      </c>
      <c r="B1242" s="379" t="inlineStr">
        <is>
          <t>ZOMATO</t>
        </is>
      </c>
      <c r="C1242" s="380" t="n">
        <v>252306</v>
      </c>
      <c r="D1242" s="379" t="inlineStr">
        <is>
          <t>ZOMATO IN</t>
        </is>
      </c>
      <c r="E1242" s="379" t="inlineStr">
        <is>
          <t>INE758T01015</t>
        </is>
      </c>
    </row>
    <row r="1243">
      <c r="A1243" s="379" t="inlineStr">
        <is>
          <t>Zota Health Care Ltd</t>
        </is>
      </c>
      <c r="B1243" s="379" t="inlineStr">
        <is>
          <t>ZOTA</t>
        </is>
      </c>
      <c r="C1243" s="380" t="n">
        <v>285652</v>
      </c>
      <c r="D1243" s="379" t="inlineStr">
        <is>
          <t>ZOTA IN</t>
        </is>
      </c>
      <c r="E1243" s="379" t="inlineStr">
        <is>
          <t>INE358U01012</t>
        </is>
      </c>
    </row>
  </sheetData>
  <conditionalFormatting sqref="A300:A545 A555:A793">
    <cfRule type="duplicateValues" priority="1" dxfId="0"/>
  </conditionalFormatting>
  <conditionalFormatting sqref="A300:A536">
    <cfRule type="duplicateValues" priority="2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" customWidth="1" min="3" max="3"/>
    <col width="25" customWidth="1" min="4" max="4"/>
    <col width="30" customWidth="1" min="5" max="5"/>
  </cols>
  <sheetData>
    <row r="1" ht="45" customHeight="1">
      <c r="A1" s="533" t="inlineStr">
        <is>
          <t>GRAVITA INDIA LTD</t>
        </is>
      </c>
    </row>
    <row r="2">
      <c r="A2" s="534" t="inlineStr">
        <is>
          <t>Metal &amp; Metal Products | TIKONA CAPITAL</t>
        </is>
      </c>
    </row>
    <row r="4">
      <c r="A4" s="535" t="inlineStr">
        <is>
          <t>CMP (₹)</t>
        </is>
      </c>
      <c r="B4" s="536" t="n">
        <v>1777</v>
      </c>
    </row>
    <row r="5">
      <c r="A5" s="535" t="inlineStr">
        <is>
          <t>Target (₹)</t>
        </is>
      </c>
      <c r="B5" s="536" t="n">
        <v>2380</v>
      </c>
    </row>
    <row r="6">
      <c r="A6" s="535" t="inlineStr">
        <is>
          <t>Upside</t>
        </is>
      </c>
      <c r="B6" s="536" t="inlineStr">
        <is>
          <t>33.9%</t>
        </is>
      </c>
    </row>
    <row r="7">
      <c r="A7" s="535" t="inlineStr">
        <is>
          <t>Rating</t>
        </is>
      </c>
      <c r="B7" s="536" t="inlineStr">
        <is>
          <t>BUY</t>
        </is>
      </c>
    </row>
    <row r="8">
      <c r="A8" s="535" t="inlineStr">
        <is>
          <t>Market Cap (₹ Cr)</t>
        </is>
      </c>
      <c r="B8" s="536" t="n">
        <v>13112.41</v>
      </c>
    </row>
    <row r="9">
      <c r="A9" s="535" t="inlineStr">
        <is>
          <t>Shares (Cr)</t>
        </is>
      </c>
      <c r="B9" s="536" t="inlineStr">
        <is>
          <t>7.38</t>
        </is>
      </c>
    </row>
    <row r="10">
      <c r="A10" s="535" t="inlineStr">
        <is>
          <t>Base Year</t>
        </is>
      </c>
      <c r="B10" s="536" t="inlineStr">
        <is>
          <t>FY26</t>
        </is>
      </c>
    </row>
    <row r="12">
      <c r="A12" s="537" t="inlineStr">
        <is>
          <t>RATING: BUY | Target: ₹2,380 | Upside: 33.9%</t>
        </is>
      </c>
    </row>
    <row r="14">
      <c r="A14" s="538" t="inlineStr">
        <is>
          <t>Gravita is poised to benefit from India's circular economy push and regulatory tailwinds in battery recycling. The company's capacity doubling to 7 lakh MTPA by FY28, diversification into lithium-ion and rubber recycling, and improving domestic scrap availability provide strong growth visibility. Management's Vision 2029 targets 25%+ volume CAGR with expanding non-lead contribution create multiple re-rating catalysts.</t>
        </is>
      </c>
    </row>
    <row r="15"/>
    <row r="16"/>
    <row r="17"/>
    <row r="19">
      <c r="A19" s="539" t="inlineStr">
        <is>
          <t>KEY CATALYSTS</t>
        </is>
      </c>
    </row>
    <row r="20">
      <c r="A20" t="inlineStr">
        <is>
          <t>• Completion of 1.25 lakh MTPA lead capacity by Q4 FY26</t>
        </is>
      </c>
    </row>
    <row r="21">
      <c r="A21" t="inlineStr">
        <is>
          <t>• Lithium-ion battery recycling plant commissioning at Mundra</t>
        </is>
      </c>
    </row>
    <row r="22">
      <c r="A22" t="inlineStr">
        <is>
          <t>• Copper recycling plant setup at Mandvi, Gujarat (29,400 MTPA)</t>
        </is>
      </c>
    </row>
    <row r="23">
      <c r="A23" t="inlineStr">
        <is>
          <t>• RMIL acquisition synergies and integration completion</t>
        </is>
      </c>
    </row>
    <row r="25">
      <c r="A25" s="540" t="inlineStr">
        <is>
          <t>KEY RISKS</t>
        </is>
      </c>
    </row>
    <row r="26">
      <c r="A26" t="inlineStr">
        <is>
          <t>• Regulatory delays in capacity expansion approvals</t>
        </is>
      </c>
    </row>
    <row r="27">
      <c r="A27" t="inlineStr">
        <is>
          <t>• Raw material scrap availability fluctuations</t>
        </is>
      </c>
    </row>
    <row r="28">
      <c r="A28" t="inlineStr">
        <is>
          <t>• Commodity price volatility affecting margins</t>
        </is>
      </c>
    </row>
    <row r="29">
      <c r="A29" t="inlineStr">
        <is>
          <t>• New vertical execution and scaling risks</t>
        </is>
      </c>
    </row>
    <row r="31">
      <c r="A31" s="541" t="inlineStr">
        <is>
          <t>SAARTHI SCORE: 78.0/100 → BUY</t>
        </is>
      </c>
    </row>
  </sheetData>
  <mergeCells count="4">
    <mergeCell ref="A2:E2"/>
    <mergeCell ref="A14:E17"/>
    <mergeCell ref="A1:E1"/>
    <mergeCell ref="A12:E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2" t="inlineStr">
        <is>
          <t>Particulars</t>
        </is>
      </c>
      <c r="B1" s="542" t="inlineStr">
        <is>
          <t>FY21A</t>
        </is>
      </c>
      <c r="C1" s="542" t="inlineStr">
        <is>
          <t>FY22A</t>
        </is>
      </c>
      <c r="D1" s="542" t="inlineStr">
        <is>
          <t>FY23A</t>
        </is>
      </c>
      <c r="E1" s="542" t="inlineStr">
        <is>
          <t>FY24A</t>
        </is>
      </c>
      <c r="F1" s="542" t="inlineStr">
        <is>
          <t>FY25A</t>
        </is>
      </c>
      <c r="G1" s="542" t="inlineStr">
        <is>
          <t>FY26A</t>
        </is>
      </c>
      <c r="H1" s="543" t="inlineStr">
        <is>
          <t>FY27E</t>
        </is>
      </c>
      <c r="I1" s="543" t="inlineStr">
        <is>
          <t>FY28E</t>
        </is>
      </c>
      <c r="J1" s="543" t="inlineStr">
        <is>
          <t>FY29E</t>
        </is>
      </c>
      <c r="K1" s="543" t="inlineStr">
        <is>
          <t>FY30E</t>
        </is>
      </c>
      <c r="L1" s="543" t="inlineStr">
        <is>
          <t>FY31E</t>
        </is>
      </c>
    </row>
    <row r="2">
      <c r="A2" s="536" t="inlineStr">
        <is>
          <t>Revenue Growth %</t>
        </is>
      </c>
      <c r="B2" s="544" t="n"/>
      <c r="C2" s="544" t="n"/>
      <c r="D2" s="544" t="n"/>
      <c r="E2" s="544" t="n"/>
      <c r="F2" s="544" t="n"/>
      <c r="G2" s="544" t="n"/>
      <c r="H2" s="545" t="n">
        <v>16.5</v>
      </c>
      <c r="I2" s="545" t="n">
        <v>22</v>
      </c>
      <c r="J2" s="545" t="n">
        <v>18.5</v>
      </c>
      <c r="K2" s="545" t="n">
        <v>15.2</v>
      </c>
      <c r="L2" s="545" t="n">
        <v>12.8</v>
      </c>
    </row>
    <row r="3">
      <c r="A3" s="536" t="inlineStr">
        <is>
          <t>RM % of Revenue</t>
        </is>
      </c>
      <c r="B3" s="544" t="n"/>
      <c r="C3" s="544" t="n"/>
      <c r="D3" s="544" t="n"/>
      <c r="E3" s="544" t="n"/>
      <c r="F3" s="544" t="n"/>
      <c r="G3" s="544" t="n"/>
      <c r="H3" s="545" t="n">
        <v>83.2</v>
      </c>
      <c r="I3" s="545" t="n">
        <v>82.5</v>
      </c>
      <c r="J3" s="545" t="n">
        <v>81.8</v>
      </c>
      <c r="K3" s="545" t="n">
        <v>81.2</v>
      </c>
      <c r="L3" s="545" t="n">
        <v>80.8</v>
      </c>
    </row>
    <row r="4">
      <c r="A4" s="536" t="inlineStr">
        <is>
          <t>Employee % of Revenue</t>
        </is>
      </c>
      <c r="B4" s="544" t="n"/>
      <c r="C4" s="544" t="n"/>
      <c r="D4" s="544" t="n"/>
      <c r="E4" s="544" t="n"/>
      <c r="F4" s="544" t="n"/>
      <c r="G4" s="544" t="n"/>
      <c r="H4" s="545" t="n">
        <v>4.1</v>
      </c>
      <c r="I4" s="545" t="n">
        <v>3.9</v>
      </c>
      <c r="J4" s="545" t="n">
        <v>3.8</v>
      </c>
      <c r="K4" s="545" t="n">
        <v>3.7</v>
      </c>
      <c r="L4" s="545" t="n">
        <v>3.6</v>
      </c>
    </row>
    <row r="5">
      <c r="A5" s="536" t="inlineStr">
        <is>
          <t>Power &amp; Fuel %</t>
        </is>
      </c>
      <c r="B5" s="544" t="n"/>
      <c r="C5" s="544" t="n"/>
      <c r="D5" s="544" t="n"/>
      <c r="E5" s="544" t="n"/>
      <c r="F5" s="544" t="n"/>
      <c r="G5" s="544" t="n"/>
      <c r="H5" s="545" t="n">
        <v>0.9</v>
      </c>
      <c r="I5" s="545" t="n">
        <v>0.8</v>
      </c>
      <c r="J5" s="545" t="n">
        <v>0.8</v>
      </c>
      <c r="K5" s="545" t="n">
        <v>0.8</v>
      </c>
      <c r="L5" s="545" t="n">
        <v>0.7</v>
      </c>
    </row>
    <row r="6">
      <c r="A6" s="536" t="inlineStr">
        <is>
          <t>Other Mfg %</t>
        </is>
      </c>
      <c r="B6" s="544" t="n"/>
      <c r="C6" s="544" t="n"/>
      <c r="D6" s="544" t="n"/>
      <c r="E6" s="544" t="n"/>
      <c r="F6" s="544" t="n"/>
      <c r="G6" s="544" t="n"/>
      <c r="H6" s="545" t="n">
        <v>2.1</v>
      </c>
      <c r="I6" s="545" t="n">
        <v>2</v>
      </c>
      <c r="J6" s="545" t="n">
        <v>1.9</v>
      </c>
      <c r="K6" s="545" t="n">
        <v>1.8</v>
      </c>
      <c r="L6" s="545" t="n">
        <v>1.8</v>
      </c>
    </row>
    <row r="7">
      <c r="A7" s="536" t="inlineStr">
        <is>
          <t>Selling &amp; Admin %</t>
        </is>
      </c>
      <c r="B7" s="544" t="n"/>
      <c r="C7" s="544" t="n"/>
      <c r="D7" s="544" t="n"/>
      <c r="E7" s="544" t="n"/>
      <c r="F7" s="544" t="n"/>
      <c r="G7" s="544" t="n"/>
      <c r="H7" s="545" t="n">
        <v>1</v>
      </c>
      <c r="I7" s="545" t="n">
        <v>1</v>
      </c>
      <c r="J7" s="545" t="n">
        <v>1</v>
      </c>
      <c r="K7" s="545" t="n">
        <v>1</v>
      </c>
      <c r="L7" s="545" t="n">
        <v>1</v>
      </c>
    </row>
    <row r="8">
      <c r="A8" s="536" t="inlineStr">
        <is>
          <t>Other Expenses %</t>
        </is>
      </c>
      <c r="B8" s="544" t="n"/>
      <c r="C8" s="544" t="n"/>
      <c r="D8" s="544" t="n"/>
      <c r="E8" s="544" t="n"/>
      <c r="F8" s="544" t="n"/>
      <c r="G8" s="544" t="n"/>
      <c r="H8" s="545" t="n">
        <v>1.2</v>
      </c>
      <c r="I8" s="545" t="n">
        <v>1.1</v>
      </c>
      <c r="J8" s="545" t="n">
        <v>1</v>
      </c>
      <c r="K8" s="545" t="n">
        <v>0.9</v>
      </c>
      <c r="L8" s="545" t="n">
        <v>0.9</v>
      </c>
    </row>
    <row r="9">
      <c r="A9" s="536" t="inlineStr">
        <is>
          <t>Chg in Inventory %</t>
        </is>
      </c>
      <c r="B9" s="544" t="n"/>
      <c r="C9" s="544" t="n"/>
      <c r="D9" s="544" t="n"/>
      <c r="E9" s="544" t="n"/>
      <c r="F9" s="544" t="n"/>
      <c r="G9" s="544" t="n"/>
      <c r="H9" s="545" t="n">
        <v>3.8</v>
      </c>
      <c r="I9" s="545" t="n">
        <v>4.2</v>
      </c>
      <c r="J9" s="545" t="n">
        <v>3.5</v>
      </c>
      <c r="K9" s="545" t="n">
        <v>3.2</v>
      </c>
      <c r="L9" s="545" t="n">
        <v>2.8</v>
      </c>
    </row>
    <row r="10">
      <c r="A10" s="536" t="inlineStr">
        <is>
          <t>Depreciation (₹ Cr)</t>
        </is>
      </c>
      <c r="B10" s="544" t="n"/>
      <c r="C10" s="544" t="n"/>
      <c r="D10" s="544" t="n"/>
      <c r="E10" s="544" t="n"/>
      <c r="F10" s="544" t="n"/>
      <c r="G10" s="544" t="n"/>
      <c r="H10" s="546" t="n">
        <v>58</v>
      </c>
      <c r="I10" s="546" t="n">
        <v>78</v>
      </c>
      <c r="J10" s="546" t="n">
        <v>105</v>
      </c>
      <c r="K10" s="546" t="n">
        <v>128</v>
      </c>
      <c r="L10" s="546" t="n">
        <v>148</v>
      </c>
    </row>
    <row r="11">
      <c r="A11" s="536" t="inlineStr">
        <is>
          <t>Interest (₹ Cr)</t>
        </is>
      </c>
      <c r="B11" s="544" t="n"/>
      <c r="C11" s="544" t="n"/>
      <c r="D11" s="544" t="n"/>
      <c r="E11" s="544" t="n"/>
      <c r="F11" s="544" t="n"/>
      <c r="G11" s="544" t="n"/>
      <c r="H11" s="546" t="n">
        <v>32</v>
      </c>
      <c r="I11" s="546" t="n">
        <v>45</v>
      </c>
      <c r="J11" s="546" t="n">
        <v>52</v>
      </c>
      <c r="K11" s="546" t="n">
        <v>58</v>
      </c>
      <c r="L11" s="546" t="n">
        <v>62</v>
      </c>
    </row>
    <row r="12">
      <c r="A12" s="536" t="inlineStr">
        <is>
          <t>Other Income (₹ Cr)</t>
        </is>
      </c>
      <c r="B12" s="544" t="n"/>
      <c r="C12" s="544" t="n"/>
      <c r="D12" s="544" t="n"/>
      <c r="E12" s="544" t="n"/>
      <c r="F12" s="544" t="n"/>
      <c r="G12" s="544" t="n"/>
      <c r="H12" s="546" t="n">
        <v>95</v>
      </c>
      <c r="I12" s="546" t="n">
        <v>118</v>
      </c>
      <c r="J12" s="546" t="n">
        <v>142</v>
      </c>
      <c r="K12" s="546" t="n">
        <v>165</v>
      </c>
      <c r="L12" s="546" t="n">
        <v>185</v>
      </c>
    </row>
    <row r="13">
      <c r="A13" s="536" t="inlineStr">
        <is>
          <t>Tax Rate %</t>
        </is>
      </c>
      <c r="B13" s="544" t="n"/>
      <c r="C13" s="544" t="n"/>
      <c r="D13" s="544" t="n"/>
      <c r="E13" s="544" t="n"/>
      <c r="F13" s="544" t="n"/>
      <c r="G13" s="544" t="n"/>
      <c r="H13" s="545" t="n">
        <v>15.8</v>
      </c>
      <c r="I13" s="545" t="n">
        <v>16.2</v>
      </c>
      <c r="J13" s="545" t="n">
        <v>16.5</v>
      </c>
      <c r="K13" s="545" t="n">
        <v>17</v>
      </c>
      <c r="L13" s="545" t="n">
        <v>17.5</v>
      </c>
    </row>
    <row r="14">
      <c r="A14" s="536" t="inlineStr">
        <is>
          <t>Capex (₹ Cr)</t>
        </is>
      </c>
      <c r="B14" s="544" t="n"/>
      <c r="C14" s="544" t="n"/>
      <c r="D14" s="544" t="n"/>
      <c r="E14" s="544" t="n"/>
      <c r="F14" s="544" t="n"/>
      <c r="G14" s="544" t="n"/>
      <c r="H14" s="546" t="n">
        <v>385</v>
      </c>
      <c r="I14" s="546" t="n">
        <v>630</v>
      </c>
      <c r="J14" s="546" t="n">
        <v>450</v>
      </c>
      <c r="K14" s="546" t="n">
        <v>320</v>
      </c>
      <c r="L14" s="546" t="n">
        <v>280</v>
      </c>
    </row>
    <row r="15">
      <c r="A15" s="536" t="inlineStr">
        <is>
          <t>Receivable Days</t>
        </is>
      </c>
      <c r="B15" s="544" t="n"/>
      <c r="C15" s="544" t="n"/>
      <c r="D15" s="544" t="n"/>
      <c r="E15" s="544" t="n"/>
      <c r="F15" s="544" t="n"/>
      <c r="G15" s="544" t="n"/>
      <c r="H15" s="547" t="n">
        <v>35</v>
      </c>
      <c r="I15" s="547" t="n">
        <v>33</v>
      </c>
      <c r="J15" s="547" t="n">
        <v>32</v>
      </c>
      <c r="K15" s="547" t="n">
        <v>31</v>
      </c>
      <c r="L15" s="547" t="n">
        <v>30</v>
      </c>
    </row>
    <row r="16">
      <c r="A16" s="536" t="inlineStr">
        <is>
          <t>Inventory Days</t>
        </is>
      </c>
      <c r="B16" s="544" t="n"/>
      <c r="C16" s="544" t="n"/>
      <c r="D16" s="544" t="n"/>
      <c r="E16" s="544" t="n"/>
      <c r="F16" s="544" t="n"/>
      <c r="G16" s="544" t="n"/>
      <c r="H16" s="547" t="n">
        <v>82</v>
      </c>
      <c r="I16" s="547" t="n">
        <v>78</v>
      </c>
      <c r="J16" s="547" t="n">
        <v>75</v>
      </c>
      <c r="K16" s="547" t="n">
        <v>72</v>
      </c>
      <c r="L16" s="547" t="n">
        <v>70</v>
      </c>
    </row>
    <row r="17">
      <c r="A17" s="544" t="n"/>
      <c r="B17" s="544" t="n"/>
      <c r="C17" s="544" t="n"/>
      <c r="D17" s="544" t="n"/>
      <c r="E17" s="544" t="n"/>
      <c r="F17" s="544" t="n"/>
      <c r="G17" s="544" t="n"/>
      <c r="H17" s="544" t="n"/>
      <c r="I17" s="544" t="n"/>
      <c r="J17" s="544" t="n"/>
      <c r="K17" s="544" t="n"/>
      <c r="L17" s="544" t="n"/>
    </row>
    <row r="18">
      <c r="A18" s="548" t="inlineStr">
        <is>
          <t>VALUATION ASSUMPTIONS</t>
        </is>
      </c>
      <c r="B18" s="549" t="n"/>
      <c r="C18" s="549" t="n"/>
      <c r="D18" s="549" t="n"/>
      <c r="E18" s="549" t="n"/>
      <c r="F18" s="549" t="n"/>
      <c r="G18" s="549" t="n"/>
      <c r="H18" s="549" t="n"/>
      <c r="I18" s="549" t="n"/>
      <c r="J18" s="549" t="n"/>
      <c r="K18" s="549" t="n"/>
      <c r="L18" s="549" t="n"/>
    </row>
    <row r="19">
      <c r="A19" s="544" t="inlineStr">
        <is>
          <t>WACC %</t>
        </is>
      </c>
      <c r="B19" s="550" t="n">
        <v>11.8</v>
      </c>
      <c r="C19" s="544" t="n"/>
      <c r="D19" s="544" t="n"/>
      <c r="E19" s="544" t="n"/>
      <c r="F19" s="544" t="n"/>
      <c r="G19" s="544" t="n"/>
      <c r="H19" s="544" t="n"/>
      <c r="I19" s="544" t="n"/>
      <c r="J19" s="544" t="n"/>
      <c r="K19" s="544" t="n"/>
      <c r="L19" s="544" t="n"/>
    </row>
    <row r="20">
      <c r="A20" s="544" t="inlineStr">
        <is>
          <t>Terminal Growth %</t>
        </is>
      </c>
      <c r="B20" s="550" t="n">
        <v>4.2</v>
      </c>
      <c r="C20" s="544" t="n"/>
      <c r="D20" s="544" t="n"/>
      <c r="E20" s="544" t="n"/>
      <c r="F20" s="544" t="n"/>
      <c r="G20" s="544" t="n"/>
      <c r="H20" s="544" t="n"/>
      <c r="I20" s="544" t="n"/>
      <c r="J20" s="544" t="n"/>
      <c r="K20" s="544" t="n"/>
      <c r="L20" s="544" t="n"/>
    </row>
    <row r="21">
      <c r="A21" s="544" t="inlineStr">
        <is>
          <t>Target PE (x)</t>
        </is>
      </c>
      <c r="B21" s="550" t="n">
        <v>28.5</v>
      </c>
      <c r="C21" s="544" t="n"/>
      <c r="D21" s="544" t="n"/>
      <c r="E21" s="544" t="n"/>
      <c r="F21" s="544" t="n"/>
      <c r="G21" s="544" t="n"/>
      <c r="H21" s="544" t="n"/>
      <c r="I21" s="544" t="n"/>
      <c r="J21" s="544" t="n"/>
      <c r="K21" s="544" t="n"/>
      <c r="L21" s="544" t="n"/>
    </row>
    <row r="22">
      <c r="A22" s="544" t="inlineStr">
        <is>
          <t>Target EV/EBITDA (x)</t>
        </is>
      </c>
      <c r="B22" s="550" t="n">
        <v>18.2</v>
      </c>
      <c r="C22" s="544" t="n"/>
      <c r="D22" s="544" t="n"/>
      <c r="E22" s="544" t="n"/>
      <c r="F22" s="544" t="n"/>
      <c r="G22" s="544" t="n"/>
      <c r="H22" s="544" t="n"/>
      <c r="I22" s="544" t="n"/>
      <c r="J22" s="544" t="n"/>
      <c r="K22" s="544" t="n"/>
      <c r="L22" s="544" t="n"/>
    </row>
    <row r="23">
      <c r="A23" s="544" t="inlineStr">
        <is>
          <t>Dividend Payout %</t>
        </is>
      </c>
      <c r="B23" s="550" t="n">
        <v>15</v>
      </c>
      <c r="C23" s="544" t="n"/>
      <c r="D23" s="544" t="n"/>
      <c r="E23" s="544" t="n"/>
      <c r="F23" s="544" t="n"/>
      <c r="G23" s="544" t="n"/>
      <c r="H23" s="544" t="n"/>
      <c r="I23" s="544" t="n"/>
      <c r="J23" s="544" t="n"/>
      <c r="K23" s="544" t="n"/>
      <c r="L23" s="544" t="n"/>
    </row>
    <row r="24">
      <c r="A24" s="544" t="n"/>
      <c r="B24" s="544" t="n"/>
      <c r="C24" s="544" t="n"/>
      <c r="D24" s="544" t="n"/>
      <c r="E24" s="544" t="n"/>
      <c r="F24" s="544" t="n"/>
      <c r="G24" s="544" t="n"/>
      <c r="H24" s="544" t="n"/>
      <c r="I24" s="544" t="n"/>
      <c r="J24" s="544" t="n"/>
      <c r="K24" s="544" t="n"/>
      <c r="L24" s="544" t="n"/>
    </row>
    <row r="25">
      <c r="A25" s="535" t="inlineStr">
        <is>
          <t>RATIONALE</t>
        </is>
      </c>
      <c r="B25" s="544" t="n"/>
      <c r="C25" s="544" t="n"/>
      <c r="D25" s="544" t="n"/>
      <c r="E25" s="544" t="n"/>
      <c r="F25" s="544" t="n"/>
      <c r="G25" s="544" t="n"/>
      <c r="H25" s="544" t="n"/>
      <c r="I25" s="544" t="n"/>
      <c r="J25" s="544" t="n"/>
      <c r="K25" s="544" t="n"/>
      <c r="L25" s="544" t="n"/>
    </row>
    <row r="26">
      <c r="A26" s="551" t="inlineStr">
        <is>
          <t>Growth driven by 7 lakh MTPA capacity by FY28, new verticals (lithium-ion, rubber, copper), improving domestic scrap availability, and rising non-lead contribution to 30% by FY29. Management targets 25%+ volume CAGR and 35%+ profit growth backed by Rs1,225cr capex.</t>
        </is>
      </c>
      <c r="B26" s="544" t="n"/>
      <c r="C26" s="544" t="n"/>
      <c r="D26" s="544" t="n"/>
      <c r="E26" s="544" t="n"/>
      <c r="F26" s="544" t="n"/>
      <c r="G26" s="544" t="n"/>
      <c r="H26" s="544" t="n"/>
      <c r="I26" s="544" t="n"/>
      <c r="J26" s="544" t="n"/>
      <c r="K26" s="544" t="n"/>
      <c r="L26" s="544" t="n"/>
    </row>
    <row r="27">
      <c r="A27" s="544" t="n"/>
      <c r="B27" s="544" t="n"/>
      <c r="C27" s="544" t="n"/>
      <c r="D27" s="544" t="n"/>
      <c r="E27" s="544" t="n"/>
      <c r="F27" s="544" t="n"/>
      <c r="G27" s="544" t="n"/>
      <c r="H27" s="544" t="n"/>
      <c r="I27" s="544" t="n"/>
      <c r="J27" s="544" t="n"/>
      <c r="K27" s="544" t="n"/>
      <c r="L27" s="544" t="n"/>
    </row>
    <row r="28">
      <c r="A28" s="544" t="n"/>
      <c r="B28" s="544" t="n"/>
      <c r="C28" s="544" t="n"/>
      <c r="D28" s="544" t="n"/>
      <c r="E28" s="544" t="n"/>
      <c r="F28" s="544" t="n"/>
      <c r="G28" s="544" t="n"/>
      <c r="H28" s="544" t="n"/>
      <c r="I28" s="544" t="n"/>
      <c r="J28" s="544" t="n"/>
      <c r="K28" s="544" t="n"/>
      <c r="L28" s="544" t="n"/>
    </row>
    <row r="29">
      <c r="A29" s="544" t="n"/>
      <c r="B29" s="544" t="n"/>
      <c r="C29" s="544" t="n"/>
      <c r="D29" s="544" t="n"/>
      <c r="E29" s="544" t="n"/>
      <c r="F29" s="544" t="n"/>
      <c r="G29" s="544" t="n"/>
      <c r="H29" s="544" t="n"/>
      <c r="I29" s="544" t="n"/>
      <c r="J29" s="544" t="n"/>
      <c r="K29" s="544" t="n"/>
      <c r="L29" s="544" t="n"/>
    </row>
  </sheetData>
  <mergeCells count="1">
    <mergeCell ref="A26:L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52" t="inlineStr">
        <is>
          <t>All figures in ₹ Cr</t>
        </is>
      </c>
      <c r="B1" s="544" t="n"/>
      <c r="C1" s="544" t="n"/>
      <c r="D1" s="544" t="n"/>
      <c r="E1" s="544" t="n"/>
      <c r="F1" s="544" t="n"/>
      <c r="G1" s="544" t="n"/>
      <c r="H1" s="544" t="n"/>
      <c r="I1" s="544" t="n"/>
      <c r="J1" s="544" t="n"/>
      <c r="K1" s="544" t="n"/>
      <c r="L1" s="544" t="n"/>
    </row>
    <row r="2">
      <c r="A2" s="542" t="inlineStr">
        <is>
          <t>Particulars</t>
        </is>
      </c>
      <c r="B2" s="542" t="inlineStr">
        <is>
          <t>FY21A</t>
        </is>
      </c>
      <c r="C2" s="542" t="inlineStr">
        <is>
          <t>FY22A</t>
        </is>
      </c>
      <c r="D2" s="542" t="inlineStr">
        <is>
          <t>FY23A</t>
        </is>
      </c>
      <c r="E2" s="542" t="inlineStr">
        <is>
          <t>FY24A</t>
        </is>
      </c>
      <c r="F2" s="542" t="inlineStr">
        <is>
          <t>FY25A</t>
        </is>
      </c>
      <c r="G2" s="542" t="inlineStr">
        <is>
          <t>FY26A</t>
        </is>
      </c>
      <c r="H2" s="543" t="inlineStr">
        <is>
          <t>FY27E</t>
        </is>
      </c>
      <c r="I2" s="543" t="inlineStr">
        <is>
          <t>FY28E</t>
        </is>
      </c>
      <c r="J2" s="543" t="inlineStr">
        <is>
          <t>FY29E</t>
        </is>
      </c>
      <c r="K2" s="543" t="inlineStr">
        <is>
          <t>FY30E</t>
        </is>
      </c>
      <c r="L2" s="543" t="inlineStr">
        <is>
          <t>FY31E</t>
        </is>
      </c>
    </row>
    <row r="3">
      <c r="A3" s="535" t="inlineStr">
        <is>
          <t>Revenue</t>
        </is>
      </c>
      <c r="B3" s="553">
        <f>'Data Sheet'!F17</f>
        <v/>
      </c>
      <c r="C3" s="553">
        <f>'Data Sheet'!G17</f>
        <v/>
      </c>
      <c r="D3" s="553">
        <f>'Data Sheet'!H17</f>
        <v/>
      </c>
      <c r="E3" s="553">
        <f>'Data Sheet'!I17</f>
        <v/>
      </c>
      <c r="F3" s="553">
        <f>'Data Sheet'!J17</f>
        <v/>
      </c>
      <c r="G3" s="553">
        <f>'Data Sheet'!K17</f>
        <v/>
      </c>
      <c r="H3" s="554">
        <f>G3*(1+'Assumptions'!H2/100)</f>
        <v/>
      </c>
      <c r="I3" s="554">
        <f>H3*(1+'Assumptions'!I2/100)</f>
        <v/>
      </c>
      <c r="J3" s="554">
        <f>I3*(1+'Assumptions'!J2/100)</f>
        <v/>
      </c>
      <c r="K3" s="554">
        <f>J3*(1+'Assumptions'!K2/100)</f>
        <v/>
      </c>
      <c r="L3" s="554">
        <f>K3*(1+'Assumptions'!L2/100)</f>
        <v/>
      </c>
    </row>
    <row r="4">
      <c r="A4" s="536" t="inlineStr">
        <is>
          <t>Raw Material Cost</t>
        </is>
      </c>
      <c r="B4" s="553">
        <f>'Data Sheet'!F18</f>
        <v/>
      </c>
      <c r="C4" s="553">
        <f>'Data Sheet'!G18</f>
        <v/>
      </c>
      <c r="D4" s="553">
        <f>'Data Sheet'!H18</f>
        <v/>
      </c>
      <c r="E4" s="553">
        <f>'Data Sheet'!I18</f>
        <v/>
      </c>
      <c r="F4" s="553">
        <f>'Data Sheet'!J18</f>
        <v/>
      </c>
      <c r="G4" s="553">
        <f>'Data Sheet'!K18</f>
        <v/>
      </c>
      <c r="H4" s="554">
        <f>H3*'Assumptions'!H3/100</f>
        <v/>
      </c>
      <c r="I4" s="554">
        <f>I3*'Assumptions'!I3/100</f>
        <v/>
      </c>
      <c r="J4" s="554">
        <f>J3*'Assumptions'!J3/100</f>
        <v/>
      </c>
      <c r="K4" s="554">
        <f>K3*'Assumptions'!K3/100</f>
        <v/>
      </c>
      <c r="L4" s="554">
        <f>L3*'Assumptions'!L3/100</f>
        <v/>
      </c>
    </row>
    <row r="5">
      <c r="A5" s="536" t="inlineStr">
        <is>
          <t>Chg in Inventory</t>
        </is>
      </c>
      <c r="B5" s="553">
        <f>'Data Sheet'!F19</f>
        <v/>
      </c>
      <c r="C5" s="553">
        <f>'Data Sheet'!G19</f>
        <v/>
      </c>
      <c r="D5" s="553">
        <f>'Data Sheet'!H19</f>
        <v/>
      </c>
      <c r="E5" s="553">
        <f>'Data Sheet'!I19</f>
        <v/>
      </c>
      <c r="F5" s="553">
        <f>'Data Sheet'!J19</f>
        <v/>
      </c>
      <c r="G5" s="553">
        <f>'Data Sheet'!K19</f>
        <v/>
      </c>
      <c r="H5" s="554">
        <f>H3*'Assumptions'!H9/100</f>
        <v/>
      </c>
      <c r="I5" s="554">
        <f>I3*'Assumptions'!I9/100</f>
        <v/>
      </c>
      <c r="J5" s="554">
        <f>J3*'Assumptions'!J9/100</f>
        <v/>
      </c>
      <c r="K5" s="554">
        <f>K3*'Assumptions'!K9/100</f>
        <v/>
      </c>
      <c r="L5" s="554">
        <f>L3*'Assumptions'!L9/100</f>
        <v/>
      </c>
    </row>
    <row r="6">
      <c r="A6" s="536" t="inlineStr">
        <is>
          <t>Employee Cost</t>
        </is>
      </c>
      <c r="B6" s="553">
        <f>'Data Sheet'!F22</f>
        <v/>
      </c>
      <c r="C6" s="553">
        <f>'Data Sheet'!G22</f>
        <v/>
      </c>
      <c r="D6" s="553">
        <f>'Data Sheet'!H22</f>
        <v/>
      </c>
      <c r="E6" s="553">
        <f>'Data Sheet'!I22</f>
        <v/>
      </c>
      <c r="F6" s="553">
        <f>'Data Sheet'!J22</f>
        <v/>
      </c>
      <c r="G6" s="553">
        <f>'Data Sheet'!K22</f>
        <v/>
      </c>
      <c r="H6" s="554">
        <f>H3*'Assumptions'!H4/100</f>
        <v/>
      </c>
      <c r="I6" s="554">
        <f>I3*'Assumptions'!I4/100</f>
        <v/>
      </c>
      <c r="J6" s="554">
        <f>J3*'Assumptions'!J4/100</f>
        <v/>
      </c>
      <c r="K6" s="554">
        <f>K3*'Assumptions'!K4/100</f>
        <v/>
      </c>
      <c r="L6" s="554">
        <f>L3*'Assumptions'!L4/100</f>
        <v/>
      </c>
    </row>
    <row r="7">
      <c r="A7" s="536" t="inlineStr">
        <is>
          <t>Power &amp; Fuel</t>
        </is>
      </c>
      <c r="B7" s="553">
        <f>'Data Sheet'!F20</f>
        <v/>
      </c>
      <c r="C7" s="553">
        <f>'Data Sheet'!G20</f>
        <v/>
      </c>
      <c r="D7" s="553">
        <f>'Data Sheet'!H20</f>
        <v/>
      </c>
      <c r="E7" s="553">
        <f>'Data Sheet'!I20</f>
        <v/>
      </c>
      <c r="F7" s="553">
        <f>'Data Sheet'!J20</f>
        <v/>
      </c>
      <c r="G7" s="553">
        <f>'Data Sheet'!K20</f>
        <v/>
      </c>
      <c r="H7" s="554">
        <f>H3*'Assumptions'!H5/100</f>
        <v/>
      </c>
      <c r="I7" s="554">
        <f>I3*'Assumptions'!I5/100</f>
        <v/>
      </c>
      <c r="J7" s="554">
        <f>J3*'Assumptions'!J5/100</f>
        <v/>
      </c>
      <c r="K7" s="554">
        <f>K3*'Assumptions'!K5/100</f>
        <v/>
      </c>
      <c r="L7" s="554">
        <f>L3*'Assumptions'!L5/100</f>
        <v/>
      </c>
    </row>
    <row r="8">
      <c r="A8" s="536" t="inlineStr">
        <is>
          <t>Other Mfg Exp</t>
        </is>
      </c>
      <c r="B8" s="553">
        <f>'Data Sheet'!F21</f>
        <v/>
      </c>
      <c r="C8" s="553">
        <f>'Data Sheet'!G21</f>
        <v/>
      </c>
      <c r="D8" s="553">
        <f>'Data Sheet'!H21</f>
        <v/>
      </c>
      <c r="E8" s="553">
        <f>'Data Sheet'!I21</f>
        <v/>
      </c>
      <c r="F8" s="553">
        <f>'Data Sheet'!J21</f>
        <v/>
      </c>
      <c r="G8" s="553">
        <f>'Data Sheet'!K21</f>
        <v/>
      </c>
      <c r="H8" s="554">
        <f>H3*'Assumptions'!H6/100</f>
        <v/>
      </c>
      <c r="I8" s="554">
        <f>I3*'Assumptions'!I6/100</f>
        <v/>
      </c>
      <c r="J8" s="554">
        <f>J3*'Assumptions'!J6/100</f>
        <v/>
      </c>
      <c r="K8" s="554">
        <f>K3*'Assumptions'!K6/100</f>
        <v/>
      </c>
      <c r="L8" s="554">
        <f>L3*'Assumptions'!L6/100</f>
        <v/>
      </c>
    </row>
    <row r="9">
      <c r="A9" s="536" t="inlineStr">
        <is>
          <t>Selling &amp; Admin</t>
        </is>
      </c>
      <c r="B9" s="553">
        <f>'Data Sheet'!F23</f>
        <v/>
      </c>
      <c r="C9" s="553">
        <f>'Data Sheet'!G23</f>
        <v/>
      </c>
      <c r="D9" s="553">
        <f>'Data Sheet'!H23</f>
        <v/>
      </c>
      <c r="E9" s="553">
        <f>'Data Sheet'!I23</f>
        <v/>
      </c>
      <c r="F9" s="553">
        <f>'Data Sheet'!J23</f>
        <v/>
      </c>
      <c r="G9" s="553">
        <f>'Data Sheet'!K23</f>
        <v/>
      </c>
      <c r="H9" s="554">
        <f>H3*'Assumptions'!H7/100</f>
        <v/>
      </c>
      <c r="I9" s="554">
        <f>I3*'Assumptions'!I7/100</f>
        <v/>
      </c>
      <c r="J9" s="554">
        <f>J3*'Assumptions'!J7/100</f>
        <v/>
      </c>
      <c r="K9" s="554">
        <f>K3*'Assumptions'!K7/100</f>
        <v/>
      </c>
      <c r="L9" s="554">
        <f>L3*'Assumptions'!L7/100</f>
        <v/>
      </c>
    </row>
    <row r="10">
      <c r="A10" s="536" t="inlineStr">
        <is>
          <t>Other Expenses</t>
        </is>
      </c>
      <c r="B10" s="553">
        <f>'Data Sheet'!F24</f>
        <v/>
      </c>
      <c r="C10" s="553">
        <f>'Data Sheet'!G24</f>
        <v/>
      </c>
      <c r="D10" s="553">
        <f>'Data Sheet'!H24</f>
        <v/>
      </c>
      <c r="E10" s="553">
        <f>'Data Sheet'!I24</f>
        <v/>
      </c>
      <c r="F10" s="553">
        <f>'Data Sheet'!J24</f>
        <v/>
      </c>
      <c r="G10" s="553">
        <f>'Data Sheet'!K24</f>
        <v/>
      </c>
      <c r="H10" s="554">
        <f>H3*'Assumptions'!H8/100</f>
        <v/>
      </c>
      <c r="I10" s="554">
        <f>I3*'Assumptions'!I8/100</f>
        <v/>
      </c>
      <c r="J10" s="554">
        <f>J3*'Assumptions'!J8/100</f>
        <v/>
      </c>
      <c r="K10" s="554">
        <f>K3*'Assumptions'!K8/100</f>
        <v/>
      </c>
      <c r="L10" s="554">
        <f>L3*'Assumptions'!L8/100</f>
        <v/>
      </c>
    </row>
    <row r="11">
      <c r="A11" s="535" t="inlineStr">
        <is>
          <t>Total Expenses</t>
        </is>
      </c>
      <c r="B11" s="553">
        <f>SUM(B4:B10)</f>
        <v/>
      </c>
      <c r="C11" s="553">
        <f>SUM(C4:C10)</f>
        <v/>
      </c>
      <c r="D11" s="553">
        <f>SUM(D4:D10)</f>
        <v/>
      </c>
      <c r="E11" s="553">
        <f>SUM(E4:E10)</f>
        <v/>
      </c>
      <c r="F11" s="553">
        <f>SUM(F4:F10)</f>
        <v/>
      </c>
      <c r="G11" s="553">
        <f>SUM(G4:G10)</f>
        <v/>
      </c>
      <c r="H11" s="554">
        <f>SUM(H4:H10)</f>
        <v/>
      </c>
      <c r="I11" s="554">
        <f>SUM(I4:I10)</f>
        <v/>
      </c>
      <c r="J11" s="554">
        <f>SUM(J4:J10)</f>
        <v/>
      </c>
      <c r="K11" s="554">
        <f>SUM(K4:K10)</f>
        <v/>
      </c>
      <c r="L11" s="554">
        <f>SUM(L4:L10)</f>
        <v/>
      </c>
    </row>
    <row r="12">
      <c r="A12" s="535" t="inlineStr">
        <is>
          <t>EBITDA</t>
        </is>
      </c>
      <c r="B12" s="553">
        <f>B3-B11</f>
        <v/>
      </c>
      <c r="C12" s="553">
        <f>C3-C11</f>
        <v/>
      </c>
      <c r="D12" s="553">
        <f>D3-D11</f>
        <v/>
      </c>
      <c r="E12" s="553">
        <f>E3-E11</f>
        <v/>
      </c>
      <c r="F12" s="553">
        <f>F3-F11</f>
        <v/>
      </c>
      <c r="G12" s="553">
        <f>G3-G11</f>
        <v/>
      </c>
      <c r="H12" s="554">
        <f>H3-H11</f>
        <v/>
      </c>
      <c r="I12" s="554">
        <f>I3-I11</f>
        <v/>
      </c>
      <c r="J12" s="554">
        <f>J3-J11</f>
        <v/>
      </c>
      <c r="K12" s="554">
        <f>K3-K11</f>
        <v/>
      </c>
      <c r="L12" s="554">
        <f>L3-L11</f>
        <v/>
      </c>
    </row>
    <row r="13">
      <c r="A13" s="544" t="inlineStr">
        <is>
          <t>EBITDA Margin %</t>
        </is>
      </c>
      <c r="B13" s="555">
        <f>IF(B3=0,0,B12/B3)</f>
        <v/>
      </c>
      <c r="C13" s="555">
        <f>IF(C3=0,0,C12/C3)</f>
        <v/>
      </c>
      <c r="D13" s="555">
        <f>IF(D3=0,0,D12/D3)</f>
        <v/>
      </c>
      <c r="E13" s="555">
        <f>IF(E3=0,0,E12/E3)</f>
        <v/>
      </c>
      <c r="F13" s="555">
        <f>IF(F3=0,0,F12/F3)</f>
        <v/>
      </c>
      <c r="G13" s="555">
        <f>IF(G3=0,0,G12/G3)</f>
        <v/>
      </c>
      <c r="H13" s="556">
        <f>IF(H3=0,0,H12/H3)</f>
        <v/>
      </c>
      <c r="I13" s="556">
        <f>IF(I3=0,0,I12/I3)</f>
        <v/>
      </c>
      <c r="J13" s="556">
        <f>IF(J3=0,0,J12/J3)</f>
        <v/>
      </c>
      <c r="K13" s="556">
        <f>IF(K3=0,0,K12/K3)</f>
        <v/>
      </c>
      <c r="L13" s="556">
        <f>IF(L3=0,0,L12/L3)</f>
        <v/>
      </c>
    </row>
    <row r="14">
      <c r="A14" s="544" t="inlineStr">
        <is>
          <t>Other Income</t>
        </is>
      </c>
      <c r="B14" s="553">
        <f>'Data Sheet'!F25</f>
        <v/>
      </c>
      <c r="C14" s="553">
        <f>'Data Sheet'!G25</f>
        <v/>
      </c>
      <c r="D14" s="553">
        <f>'Data Sheet'!H25</f>
        <v/>
      </c>
      <c r="E14" s="553">
        <f>'Data Sheet'!I25</f>
        <v/>
      </c>
      <c r="F14" s="553">
        <f>'Data Sheet'!J25</f>
        <v/>
      </c>
      <c r="G14" s="553">
        <f>'Data Sheet'!K25</f>
        <v/>
      </c>
      <c r="H14" s="554">
        <f>'Assumptions'!H12</f>
        <v/>
      </c>
      <c r="I14" s="554">
        <f>'Assumptions'!I12</f>
        <v/>
      </c>
      <c r="J14" s="554">
        <f>'Assumptions'!J12</f>
        <v/>
      </c>
      <c r="K14" s="554">
        <f>'Assumptions'!K12</f>
        <v/>
      </c>
      <c r="L14" s="554">
        <f>'Assumptions'!L12</f>
        <v/>
      </c>
    </row>
    <row r="15">
      <c r="A15" s="544" t="inlineStr">
        <is>
          <t>Depreciation</t>
        </is>
      </c>
      <c r="B15" s="553">
        <f>'Data Sheet'!F26</f>
        <v/>
      </c>
      <c r="C15" s="553">
        <f>'Data Sheet'!G26</f>
        <v/>
      </c>
      <c r="D15" s="553">
        <f>'Data Sheet'!H26</f>
        <v/>
      </c>
      <c r="E15" s="553">
        <f>'Data Sheet'!I26</f>
        <v/>
      </c>
      <c r="F15" s="553">
        <f>'Data Sheet'!J26</f>
        <v/>
      </c>
      <c r="G15" s="553">
        <f>'Data Sheet'!K26</f>
        <v/>
      </c>
      <c r="H15" s="554">
        <f>'Assumptions'!H10</f>
        <v/>
      </c>
      <c r="I15" s="554">
        <f>'Assumptions'!I10</f>
        <v/>
      </c>
      <c r="J15" s="554">
        <f>'Assumptions'!J10</f>
        <v/>
      </c>
      <c r="K15" s="554">
        <f>'Assumptions'!K10</f>
        <v/>
      </c>
      <c r="L15" s="554">
        <f>'Assumptions'!L10</f>
        <v/>
      </c>
    </row>
    <row r="16">
      <c r="A16" s="535" t="inlineStr">
        <is>
          <t>EBIT</t>
        </is>
      </c>
      <c r="B16" s="553">
        <f>B12+B14-B15</f>
        <v/>
      </c>
      <c r="C16" s="553">
        <f>C12+C14-C15</f>
        <v/>
      </c>
      <c r="D16" s="553">
        <f>D12+D14-D15</f>
        <v/>
      </c>
      <c r="E16" s="553">
        <f>E12+E14-E15</f>
        <v/>
      </c>
      <c r="F16" s="553">
        <f>F12+F14-F15</f>
        <v/>
      </c>
      <c r="G16" s="553">
        <f>G12+G14-G15</f>
        <v/>
      </c>
      <c r="H16" s="554">
        <f>H12+H14-H15</f>
        <v/>
      </c>
      <c r="I16" s="554">
        <f>I12+I14-I15</f>
        <v/>
      </c>
      <c r="J16" s="554">
        <f>J12+J14-J15</f>
        <v/>
      </c>
      <c r="K16" s="554">
        <f>K12+K14-K15</f>
        <v/>
      </c>
      <c r="L16" s="554">
        <f>L12+L14-L15</f>
        <v/>
      </c>
    </row>
    <row r="17">
      <c r="A17" s="544" t="inlineStr">
        <is>
          <t>Finance Cost</t>
        </is>
      </c>
      <c r="B17" s="553">
        <f>'Data Sheet'!F27</f>
        <v/>
      </c>
      <c r="C17" s="553">
        <f>'Data Sheet'!G27</f>
        <v/>
      </c>
      <c r="D17" s="553">
        <f>'Data Sheet'!H27</f>
        <v/>
      </c>
      <c r="E17" s="553">
        <f>'Data Sheet'!I27</f>
        <v/>
      </c>
      <c r="F17" s="553">
        <f>'Data Sheet'!J27</f>
        <v/>
      </c>
      <c r="G17" s="553">
        <f>'Data Sheet'!K27</f>
        <v/>
      </c>
      <c r="H17" s="554">
        <f>'Assumptions'!H11</f>
        <v/>
      </c>
      <c r="I17" s="554">
        <f>'Assumptions'!I11</f>
        <v/>
      </c>
      <c r="J17" s="554">
        <f>'Assumptions'!J11</f>
        <v/>
      </c>
      <c r="K17" s="554">
        <f>'Assumptions'!K11</f>
        <v/>
      </c>
      <c r="L17" s="554">
        <f>'Assumptions'!L11</f>
        <v/>
      </c>
    </row>
    <row r="18">
      <c r="A18" s="535" t="inlineStr">
        <is>
          <t>Profit Before Tax</t>
        </is>
      </c>
      <c r="B18" s="553">
        <f>B16-B17</f>
        <v/>
      </c>
      <c r="C18" s="553">
        <f>C16-C17</f>
        <v/>
      </c>
      <c r="D18" s="553">
        <f>D16-D17</f>
        <v/>
      </c>
      <c r="E18" s="553">
        <f>E16-E17</f>
        <v/>
      </c>
      <c r="F18" s="553">
        <f>F16-F17</f>
        <v/>
      </c>
      <c r="G18" s="553">
        <f>G16-G17</f>
        <v/>
      </c>
      <c r="H18" s="554">
        <f>H16-H17</f>
        <v/>
      </c>
      <c r="I18" s="554">
        <f>I16-I17</f>
        <v/>
      </c>
      <c r="J18" s="554">
        <f>J16-J17</f>
        <v/>
      </c>
      <c r="K18" s="554">
        <f>K16-K17</f>
        <v/>
      </c>
      <c r="L18" s="554">
        <f>L16-L17</f>
        <v/>
      </c>
    </row>
    <row r="19">
      <c r="A19" s="544" t="inlineStr">
        <is>
          <t>Tax</t>
        </is>
      </c>
      <c r="B19" s="553">
        <f>'Data Sheet'!F29</f>
        <v/>
      </c>
      <c r="C19" s="553">
        <f>'Data Sheet'!G29</f>
        <v/>
      </c>
      <c r="D19" s="553">
        <f>'Data Sheet'!H29</f>
        <v/>
      </c>
      <c r="E19" s="553">
        <f>'Data Sheet'!I29</f>
        <v/>
      </c>
      <c r="F19" s="553">
        <f>'Data Sheet'!J29</f>
        <v/>
      </c>
      <c r="G19" s="553">
        <f>'Data Sheet'!K29</f>
        <v/>
      </c>
      <c r="H19" s="554">
        <f>MAX(0,H18*'Assumptions'!H13/100)</f>
        <v/>
      </c>
      <c r="I19" s="554">
        <f>MAX(0,I18*'Assumptions'!I13/100)</f>
        <v/>
      </c>
      <c r="J19" s="554">
        <f>MAX(0,J18*'Assumptions'!J13/100)</f>
        <v/>
      </c>
      <c r="K19" s="554">
        <f>MAX(0,K18*'Assumptions'!K13/100)</f>
        <v/>
      </c>
      <c r="L19" s="554">
        <f>MAX(0,L18*'Assumptions'!L13/100)</f>
        <v/>
      </c>
    </row>
    <row r="20">
      <c r="A20" s="557" t="inlineStr">
        <is>
          <t>Profit After Tax (PAT)</t>
        </is>
      </c>
      <c r="B20" s="553">
        <f>B18-B19</f>
        <v/>
      </c>
      <c r="C20" s="553">
        <f>C18-C19</f>
        <v/>
      </c>
      <c r="D20" s="553">
        <f>D18-D19</f>
        <v/>
      </c>
      <c r="E20" s="553">
        <f>E18-E19</f>
        <v/>
      </c>
      <c r="F20" s="553">
        <f>F18-F19</f>
        <v/>
      </c>
      <c r="G20" s="553">
        <f>G18-G19</f>
        <v/>
      </c>
      <c r="H20" s="554">
        <f>H18-H19</f>
        <v/>
      </c>
      <c r="I20" s="554">
        <f>I18-I19</f>
        <v/>
      </c>
      <c r="J20" s="554">
        <f>J18-J19</f>
        <v/>
      </c>
      <c r="K20" s="554">
        <f>K18-K19</f>
        <v/>
      </c>
      <c r="L20" s="554">
        <f>L18-L19</f>
        <v/>
      </c>
    </row>
    <row r="21">
      <c r="A21" s="544" t="inlineStr">
        <is>
          <t>PAT Margin %</t>
        </is>
      </c>
      <c r="B21" s="555">
        <f>IF(B3=0,0,B20/B3)</f>
        <v/>
      </c>
      <c r="C21" s="555">
        <f>IF(C3=0,0,C20/C3)</f>
        <v/>
      </c>
      <c r="D21" s="555">
        <f>IF(D3=0,0,D20/D3)</f>
        <v/>
      </c>
      <c r="E21" s="555">
        <f>IF(E3=0,0,E20/E3)</f>
        <v/>
      </c>
      <c r="F21" s="555">
        <f>IF(F3=0,0,F20/F3)</f>
        <v/>
      </c>
      <c r="G21" s="555">
        <f>IF(G3=0,0,G20/G3)</f>
        <v/>
      </c>
      <c r="H21" s="556">
        <f>IF(H3=0,0,H20/H3)</f>
        <v/>
      </c>
      <c r="I21" s="556">
        <f>IF(I3=0,0,I20/I3)</f>
        <v/>
      </c>
      <c r="J21" s="556">
        <f>IF(J3=0,0,J20/J3)</f>
        <v/>
      </c>
      <c r="K21" s="556">
        <f>IF(K3=0,0,K20/K3)</f>
        <v/>
      </c>
      <c r="L21" s="556">
        <f>IF(L3=0,0,L20/L3)</f>
        <v/>
      </c>
    </row>
    <row r="22">
      <c r="A22" s="544" t="inlineStr">
        <is>
          <t>PAT Growth %</t>
        </is>
      </c>
      <c r="B22" s="544" t="n"/>
      <c r="C22" s="555">
        <f>IF(B20&lt;=0,0,(C20/B20)-1)</f>
        <v/>
      </c>
      <c r="D22" s="555">
        <f>IF(C20&lt;=0,0,(D20/C20)-1)</f>
        <v/>
      </c>
      <c r="E22" s="555">
        <f>IF(D20&lt;=0,0,(E20/D20)-1)</f>
        <v/>
      </c>
      <c r="F22" s="555">
        <f>IF(E20&lt;=0,0,(F20/E20)-1)</f>
        <v/>
      </c>
      <c r="G22" s="555">
        <f>IF(F20&lt;=0,0,(G20/F20)-1)</f>
        <v/>
      </c>
      <c r="H22" s="556">
        <f>IF(G20&lt;=0,0,(H20/G20)-1)</f>
        <v/>
      </c>
      <c r="I22" s="556">
        <f>IF(H20&lt;=0,0,(I20/H20)-1)</f>
        <v/>
      </c>
      <c r="J22" s="556">
        <f>IF(I20&lt;=0,0,(J20/I20)-1)</f>
        <v/>
      </c>
      <c r="K22" s="556">
        <f>IF(J20&lt;=0,0,(K20/J20)-1)</f>
        <v/>
      </c>
      <c r="L22" s="556">
        <f>IF(K20&lt;=0,0,(L20/K20)-1)</f>
        <v/>
      </c>
    </row>
    <row r="23">
      <c r="A23" s="535" t="inlineStr">
        <is>
          <t>EPS (₹)</t>
        </is>
      </c>
      <c r="B23" s="558">
        <f>B20/7.38</f>
        <v/>
      </c>
      <c r="C23" s="558">
        <f>C20/7.38</f>
        <v/>
      </c>
      <c r="D23" s="558">
        <f>D20/7.38</f>
        <v/>
      </c>
      <c r="E23" s="558">
        <f>E20/7.38</f>
        <v/>
      </c>
      <c r="F23" s="558">
        <f>F20/7.38</f>
        <v/>
      </c>
      <c r="G23" s="558">
        <f>G20/7.38</f>
        <v/>
      </c>
      <c r="H23" s="559">
        <f>H20/7.38</f>
        <v/>
      </c>
      <c r="I23" s="559">
        <f>I20/7.38</f>
        <v/>
      </c>
      <c r="J23" s="559">
        <f>J20/7.38</f>
        <v/>
      </c>
      <c r="K23" s="559">
        <f>K20/7.38</f>
        <v/>
      </c>
      <c r="L23" s="559">
        <f>L20/7.38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52" t="inlineStr">
        <is>
          <t>All figures in ₹ Cr</t>
        </is>
      </c>
      <c r="B1" s="544" t="n"/>
      <c r="C1" s="544" t="n"/>
      <c r="D1" s="544" t="n"/>
      <c r="E1" s="544" t="n"/>
      <c r="F1" s="544" t="n"/>
      <c r="G1" s="544" t="n"/>
      <c r="H1" s="544" t="n"/>
      <c r="I1" s="544" t="n"/>
      <c r="J1" s="544" t="n"/>
      <c r="K1" s="544" t="n"/>
      <c r="L1" s="544" t="n"/>
    </row>
    <row r="2">
      <c r="A2" s="542" t="inlineStr">
        <is>
          <t>Particulars</t>
        </is>
      </c>
      <c r="B2" s="542" t="inlineStr">
        <is>
          <t>FY21A</t>
        </is>
      </c>
      <c r="C2" s="542" t="inlineStr">
        <is>
          <t>FY22A</t>
        </is>
      </c>
      <c r="D2" s="542" t="inlineStr">
        <is>
          <t>FY23A</t>
        </is>
      </c>
      <c r="E2" s="542" t="inlineStr">
        <is>
          <t>FY24A</t>
        </is>
      </c>
      <c r="F2" s="542" t="inlineStr">
        <is>
          <t>FY25A</t>
        </is>
      </c>
      <c r="G2" s="542" t="inlineStr">
        <is>
          <t>FY26A</t>
        </is>
      </c>
      <c r="H2" s="543" t="inlineStr">
        <is>
          <t>FY27E</t>
        </is>
      </c>
      <c r="I2" s="543" t="inlineStr">
        <is>
          <t>FY28E</t>
        </is>
      </c>
      <c r="J2" s="543" t="inlineStr">
        <is>
          <t>FY29E</t>
        </is>
      </c>
      <c r="K2" s="543" t="inlineStr">
        <is>
          <t>FY30E</t>
        </is>
      </c>
      <c r="L2" s="543" t="inlineStr">
        <is>
          <t>FY31E</t>
        </is>
      </c>
    </row>
    <row r="3">
      <c r="A3" s="544" t="inlineStr">
        <is>
          <t>Share Capital</t>
        </is>
      </c>
      <c r="B3" s="553">
        <f>'Data Sheet'!F57</f>
        <v/>
      </c>
      <c r="C3" s="553">
        <f>'Data Sheet'!G57</f>
        <v/>
      </c>
      <c r="D3" s="553">
        <f>'Data Sheet'!H57</f>
        <v/>
      </c>
      <c r="E3" s="553">
        <f>'Data Sheet'!I57</f>
        <v/>
      </c>
      <c r="F3" s="553">
        <f>'Data Sheet'!J57</f>
        <v/>
      </c>
      <c r="G3" s="553">
        <f>'Data Sheet'!K57</f>
        <v/>
      </c>
      <c r="H3" s="554" t="n">
        <v>15</v>
      </c>
      <c r="I3" s="554" t="n">
        <v>15</v>
      </c>
      <c r="J3" s="554" t="n">
        <v>15</v>
      </c>
      <c r="K3" s="554" t="n">
        <v>15</v>
      </c>
      <c r="L3" s="554" t="n">
        <v>15</v>
      </c>
    </row>
    <row r="4">
      <c r="A4" s="544" t="inlineStr">
        <is>
          <t>Reserves</t>
        </is>
      </c>
      <c r="B4" s="553">
        <f>'Data Sheet'!F58</f>
        <v/>
      </c>
      <c r="C4" s="553">
        <f>'Data Sheet'!G58</f>
        <v/>
      </c>
      <c r="D4" s="553">
        <f>'Data Sheet'!H58</f>
        <v/>
      </c>
      <c r="E4" s="553">
        <f>'Data Sheet'!I58</f>
        <v/>
      </c>
      <c r="F4" s="553">
        <f>'Data Sheet'!J58</f>
        <v/>
      </c>
      <c r="G4" s="553">
        <f>'Data Sheet'!K58</f>
        <v/>
      </c>
      <c r="H4" s="554" t="n">
        <v>2858</v>
      </c>
      <c r="I4" s="554" t="n">
        <v>3485</v>
      </c>
      <c r="J4" s="554" t="n">
        <v>4295</v>
      </c>
      <c r="K4" s="554" t="n">
        <v>5187</v>
      </c>
      <c r="L4" s="554" t="n">
        <v>6145</v>
      </c>
    </row>
    <row r="5">
      <c r="A5" s="535" t="inlineStr">
        <is>
          <t>Total Equity</t>
        </is>
      </c>
      <c r="B5" s="553">
        <f>B3+B4</f>
        <v/>
      </c>
      <c r="C5" s="553">
        <f>C3+C4</f>
        <v/>
      </c>
      <c r="D5" s="553">
        <f>D3+D4</f>
        <v/>
      </c>
      <c r="E5" s="553">
        <f>E3+E4</f>
        <v/>
      </c>
      <c r="F5" s="553">
        <f>F3+F4</f>
        <v/>
      </c>
      <c r="G5" s="553">
        <f>G3+G4</f>
        <v/>
      </c>
      <c r="H5" s="554">
        <f>H3+H4</f>
        <v/>
      </c>
      <c r="I5" s="554">
        <f>I3+I4</f>
        <v/>
      </c>
      <c r="J5" s="554">
        <f>J3+J4</f>
        <v/>
      </c>
      <c r="K5" s="554">
        <f>K3+K4</f>
        <v/>
      </c>
      <c r="L5" s="554">
        <f>L3+L4</f>
        <v/>
      </c>
    </row>
    <row r="6">
      <c r="A6" s="544" t="inlineStr">
        <is>
          <t>Borrowings</t>
        </is>
      </c>
      <c r="B6" s="553">
        <f>'Data Sheet'!F59</f>
        <v/>
      </c>
      <c r="C6" s="553">
        <f>'Data Sheet'!G59</f>
        <v/>
      </c>
      <c r="D6" s="553">
        <f>'Data Sheet'!H59</f>
        <v/>
      </c>
      <c r="E6" s="553">
        <f>'Data Sheet'!I59</f>
        <v/>
      </c>
      <c r="F6" s="553">
        <f>'Data Sheet'!J59</f>
        <v/>
      </c>
      <c r="G6" s="553">
        <f>'Data Sheet'!K59</f>
        <v/>
      </c>
      <c r="H6" s="554" t="n">
        <v>920</v>
      </c>
      <c r="I6" s="554" t="n">
        <v>1285</v>
      </c>
      <c r="J6" s="554" t="n">
        <v>1450</v>
      </c>
      <c r="K6" s="554" t="n">
        <v>1520</v>
      </c>
      <c r="L6" s="554" t="n">
        <v>1580</v>
      </c>
    </row>
    <row r="7">
      <c r="A7" s="544" t="inlineStr">
        <is>
          <t>Other Liabilities</t>
        </is>
      </c>
      <c r="B7" s="553">
        <f>'Data Sheet'!F60</f>
        <v/>
      </c>
      <c r="C7" s="553">
        <f>'Data Sheet'!G60</f>
        <v/>
      </c>
      <c r="D7" s="553">
        <f>'Data Sheet'!H60</f>
        <v/>
      </c>
      <c r="E7" s="553">
        <f>'Data Sheet'!I60</f>
        <v/>
      </c>
      <c r="F7" s="553">
        <f>'Data Sheet'!J60</f>
        <v/>
      </c>
      <c r="G7" s="553">
        <f>'Data Sheet'!K60</f>
        <v/>
      </c>
      <c r="H7" s="554" t="n">
        <v>285</v>
      </c>
      <c r="I7" s="554" t="n">
        <v>365</v>
      </c>
      <c r="J7" s="554" t="n">
        <v>425</v>
      </c>
      <c r="K7" s="554" t="n">
        <v>485</v>
      </c>
      <c r="L7" s="554" t="n">
        <v>535</v>
      </c>
    </row>
    <row r="8">
      <c r="A8" s="535" t="inlineStr">
        <is>
          <t>Total Liabilities &amp; Equity</t>
        </is>
      </c>
      <c r="B8" s="553">
        <f>B5+B6+B7</f>
        <v/>
      </c>
      <c r="C8" s="553">
        <f>C5+C6+C7</f>
        <v/>
      </c>
      <c r="D8" s="553">
        <f>D5+D6+D7</f>
        <v/>
      </c>
      <c r="E8" s="553">
        <f>E5+E6+E7</f>
        <v/>
      </c>
      <c r="F8" s="553">
        <f>F5+F6+F7</f>
        <v/>
      </c>
      <c r="G8" s="553">
        <f>G5+G6+G7</f>
        <v/>
      </c>
      <c r="H8" s="554">
        <f>H5+H6+H7</f>
        <v/>
      </c>
      <c r="I8" s="554">
        <f>I5+I6+I7</f>
        <v/>
      </c>
      <c r="J8" s="554">
        <f>J5+J6+J7</f>
        <v/>
      </c>
      <c r="K8" s="554">
        <f>K5+K6+K7</f>
        <v/>
      </c>
      <c r="L8" s="554">
        <f>L5+L6+L7</f>
        <v/>
      </c>
    </row>
    <row r="9">
      <c r="A9" s="544" t="n"/>
      <c r="B9" s="544" t="n"/>
      <c r="C9" s="544" t="n"/>
      <c r="D9" s="544" t="n"/>
      <c r="E9" s="544" t="n"/>
      <c r="F9" s="544" t="n"/>
      <c r="G9" s="544" t="n"/>
      <c r="H9" s="544" t="n"/>
      <c r="I9" s="544" t="n"/>
      <c r="J9" s="544" t="n"/>
      <c r="K9" s="544" t="n"/>
      <c r="L9" s="544" t="n"/>
    </row>
    <row r="10">
      <c r="A10" s="560" t="inlineStr">
        <is>
          <t>APPLICATION OF FUNDS</t>
        </is>
      </c>
      <c r="B10" s="560" t="n"/>
      <c r="C10" s="560" t="n"/>
      <c r="D10" s="560" t="n"/>
      <c r="E10" s="560" t="n"/>
      <c r="F10" s="560" t="n"/>
      <c r="G10" s="560" t="n"/>
      <c r="H10" s="560" t="n"/>
      <c r="I10" s="560" t="n"/>
      <c r="J10" s="560" t="n"/>
      <c r="K10" s="560" t="n"/>
      <c r="L10" s="560" t="n"/>
    </row>
    <row r="11">
      <c r="A11" s="544" t="inlineStr">
        <is>
          <t>Net Block</t>
        </is>
      </c>
      <c r="B11" s="553">
        <f>'Data Sheet'!F62</f>
        <v/>
      </c>
      <c r="C11" s="553">
        <f>'Data Sheet'!G62</f>
        <v/>
      </c>
      <c r="D11" s="553">
        <f>'Data Sheet'!H62</f>
        <v/>
      </c>
      <c r="E11" s="553">
        <f>'Data Sheet'!I62</f>
        <v/>
      </c>
      <c r="F11" s="553">
        <f>'Data Sheet'!J62</f>
        <v/>
      </c>
      <c r="G11" s="553">
        <f>'Data Sheet'!K62</f>
        <v/>
      </c>
      <c r="H11" s="554" t="n">
        <v>1285</v>
      </c>
      <c r="I11" s="554" t="n">
        <v>1840</v>
      </c>
      <c r="J11" s="554" t="n">
        <v>2185</v>
      </c>
      <c r="K11" s="554" t="n">
        <v>2377</v>
      </c>
      <c r="L11" s="554" t="n">
        <v>2509</v>
      </c>
    </row>
    <row r="12">
      <c r="A12" s="544" t="inlineStr">
        <is>
          <t>CWIP</t>
        </is>
      </c>
      <c r="B12" s="553">
        <f>'Data Sheet'!F63</f>
        <v/>
      </c>
      <c r="C12" s="553">
        <f>'Data Sheet'!G63</f>
        <v/>
      </c>
      <c r="D12" s="553">
        <f>'Data Sheet'!H63</f>
        <v/>
      </c>
      <c r="E12" s="553">
        <f>'Data Sheet'!I63</f>
        <v/>
      </c>
      <c r="F12" s="553">
        <f>'Data Sheet'!J63</f>
        <v/>
      </c>
      <c r="G12" s="553">
        <f>'Data Sheet'!K63</f>
        <v/>
      </c>
      <c r="H12" s="554" t="n">
        <v>62</v>
      </c>
      <c r="I12" s="554" t="n">
        <v>85</v>
      </c>
      <c r="J12" s="554" t="n">
        <v>95</v>
      </c>
      <c r="K12" s="554" t="n">
        <v>72</v>
      </c>
      <c r="L12" s="554" t="n">
        <v>58</v>
      </c>
    </row>
    <row r="13">
      <c r="A13" s="544" t="inlineStr">
        <is>
          <t>Investments</t>
        </is>
      </c>
      <c r="B13" s="553">
        <f>'Data Sheet'!F64</f>
        <v/>
      </c>
      <c r="C13" s="553">
        <f>'Data Sheet'!G64</f>
        <v/>
      </c>
      <c r="D13" s="553">
        <f>'Data Sheet'!H64</f>
        <v/>
      </c>
      <c r="E13" s="553">
        <f>'Data Sheet'!I64</f>
        <v/>
      </c>
      <c r="F13" s="553">
        <f>'Data Sheet'!J64</f>
        <v/>
      </c>
      <c r="G13" s="553">
        <f>'Data Sheet'!K64</f>
        <v/>
      </c>
      <c r="H13" s="554" t="n">
        <v>450</v>
      </c>
      <c r="I13" s="554" t="n">
        <v>520</v>
      </c>
      <c r="J13" s="554" t="n">
        <v>610</v>
      </c>
      <c r="K13" s="554" t="n">
        <v>725</v>
      </c>
      <c r="L13" s="554" t="n">
        <v>820</v>
      </c>
    </row>
    <row r="14">
      <c r="A14" s="544" t="inlineStr">
        <is>
          <t>Trade Receivables</t>
        </is>
      </c>
      <c r="B14" s="553">
        <f>'Data Sheet'!F67</f>
        <v/>
      </c>
      <c r="C14" s="553">
        <f>'Data Sheet'!G67</f>
        <v/>
      </c>
      <c r="D14" s="553">
        <f>'Data Sheet'!H67</f>
        <v/>
      </c>
      <c r="E14" s="553">
        <f>'Data Sheet'!I67</f>
        <v/>
      </c>
      <c r="F14" s="553">
        <f>'Data Sheet'!J67</f>
        <v/>
      </c>
      <c r="G14" s="553">
        <f>'Data Sheet'!K67</f>
        <v/>
      </c>
      <c r="H14" s="554">
        <f>'P&amp;L'!H3*'Assumptions'!H15/365</f>
        <v/>
      </c>
      <c r="I14" s="554">
        <f>'P&amp;L'!I3*'Assumptions'!I15/365</f>
        <v/>
      </c>
      <c r="J14" s="554">
        <f>'P&amp;L'!J3*'Assumptions'!J15/365</f>
        <v/>
      </c>
      <c r="K14" s="554">
        <f>'P&amp;L'!K3*'Assumptions'!K15/365</f>
        <v/>
      </c>
      <c r="L14" s="554">
        <f>'P&amp;L'!L3*'Assumptions'!L15/365</f>
        <v/>
      </c>
    </row>
    <row r="15">
      <c r="A15" s="544" t="inlineStr">
        <is>
          <t>Inventory</t>
        </is>
      </c>
      <c r="B15" s="553">
        <f>'Data Sheet'!F68</f>
        <v/>
      </c>
      <c r="C15" s="553">
        <f>'Data Sheet'!G68</f>
        <v/>
      </c>
      <c r="D15" s="553">
        <f>'Data Sheet'!H68</f>
        <v/>
      </c>
      <c r="E15" s="553">
        <f>'Data Sheet'!I68</f>
        <v/>
      </c>
      <c r="F15" s="553">
        <f>'Data Sheet'!J68</f>
        <v/>
      </c>
      <c r="G15" s="553">
        <f>'Data Sheet'!K68</f>
        <v/>
      </c>
      <c r="H15" s="554">
        <f>'P&amp;L'!H4*'Assumptions'!H16/365</f>
        <v/>
      </c>
      <c r="I15" s="554">
        <f>'P&amp;L'!I4*'Assumptions'!I16/365</f>
        <v/>
      </c>
      <c r="J15" s="554">
        <f>'P&amp;L'!J4*'Assumptions'!J16/365</f>
        <v/>
      </c>
      <c r="K15" s="554">
        <f>'P&amp;L'!K4*'Assumptions'!K16/365</f>
        <v/>
      </c>
      <c r="L15" s="554">
        <f>'P&amp;L'!L4*'Assumptions'!L16/365</f>
        <v/>
      </c>
    </row>
    <row r="16">
      <c r="A16" s="544" t="inlineStr">
        <is>
          <t>Cash &amp; Bank (Plug)</t>
        </is>
      </c>
      <c r="B16" s="553">
        <f>'Data Sheet'!F69</f>
        <v/>
      </c>
      <c r="C16" s="553">
        <f>'Data Sheet'!G69</f>
        <v/>
      </c>
      <c r="D16" s="553">
        <f>'Data Sheet'!H69</f>
        <v/>
      </c>
      <c r="E16" s="553">
        <f>'Data Sheet'!I69</f>
        <v/>
      </c>
      <c r="F16" s="553">
        <f>'Data Sheet'!J69</f>
        <v/>
      </c>
      <c r="G16" s="553">
        <f>'Data Sheet'!K69</f>
        <v/>
      </c>
      <c r="H16" s="554">
        <f>H8-H11+H12+H13+H14+H15-H17</f>
        <v/>
      </c>
      <c r="I16" s="554">
        <f>I8-I11+I12+I13+I14+I15-I17</f>
        <v/>
      </c>
      <c r="J16" s="554">
        <f>J8-J11+J12+J13+J14+J15-J17</f>
        <v/>
      </c>
      <c r="K16" s="554">
        <f>K8-K11+K12+K13+K14+K15-K17</f>
        <v/>
      </c>
      <c r="L16" s="554">
        <f>L8-L11+L12+L13+L14+L15-L17</f>
        <v/>
      </c>
    </row>
    <row r="17">
      <c r="A17" s="544" t="inlineStr">
        <is>
          <t>Other Assets</t>
        </is>
      </c>
      <c r="B17" s="553">
        <f>'Data Sheet'!F65-'Data Sheet'!F67-'Data Sheet'!F68-'Data Sheet'!F69</f>
        <v/>
      </c>
      <c r="C17" s="553">
        <f>'Data Sheet'!G65-'Data Sheet'!G67-'Data Sheet'!G68-'Data Sheet'!G69</f>
        <v/>
      </c>
      <c r="D17" s="553">
        <f>'Data Sheet'!H65-'Data Sheet'!H67-'Data Sheet'!H68-'Data Sheet'!H69</f>
        <v/>
      </c>
      <c r="E17" s="553">
        <f>'Data Sheet'!I65-'Data Sheet'!I67-'Data Sheet'!I68-'Data Sheet'!I69</f>
        <v/>
      </c>
      <c r="F17" s="553">
        <f>'Data Sheet'!J65-'Data Sheet'!J67-'Data Sheet'!J68-'Data Sheet'!J69</f>
        <v/>
      </c>
      <c r="G17" s="553">
        <f>'Data Sheet'!K65-'Data Sheet'!K67-'Data Sheet'!K68-'Data Sheet'!K69</f>
        <v/>
      </c>
      <c r="H17" s="554" t="n">
        <v>2580</v>
      </c>
      <c r="I17" s="554" t="n">
        <v>3420</v>
      </c>
      <c r="J17" s="554" t="n">
        <v>4280</v>
      </c>
      <c r="K17" s="554" t="n">
        <v>5050</v>
      </c>
      <c r="L17" s="554" t="n">
        <v>5720</v>
      </c>
    </row>
    <row r="18">
      <c r="A18" s="535" t="inlineStr">
        <is>
          <t>Total Assets</t>
        </is>
      </c>
      <c r="B18" s="553">
        <f>B11+B12+B13+B14+B15+B16+B17</f>
        <v/>
      </c>
      <c r="C18" s="553">
        <f>C11+C12+C13+C14+C15+C16+C17</f>
        <v/>
      </c>
      <c r="D18" s="553">
        <f>D11+D12+D13+D14+D15+D16+D17</f>
        <v/>
      </c>
      <c r="E18" s="553">
        <f>E11+E12+E13+E14+E15+E16+E17</f>
        <v/>
      </c>
      <c r="F18" s="553">
        <f>F11+F12+F13+F14+F15+F16+F17</f>
        <v/>
      </c>
      <c r="G18" s="553">
        <f>G11+G12+G13+G14+G15+G16+G17</f>
        <v/>
      </c>
      <c r="H18" s="554">
        <f>H11+H12+H13+H14+H15+H16+H17</f>
        <v/>
      </c>
      <c r="I18" s="554">
        <f>I11+I12+I13+I14+I15+I16+I17</f>
        <v/>
      </c>
      <c r="J18" s="554">
        <f>J11+J12+J13+J14+J15+J16+J17</f>
        <v/>
      </c>
      <c r="K18" s="554">
        <f>K11+K12+K13+K14+K15+K16+K17</f>
        <v/>
      </c>
      <c r="L18" s="554">
        <f>L11+L12+L13+L14+L15+L16+L17</f>
        <v/>
      </c>
    </row>
    <row r="19">
      <c r="A19" s="561" t="inlineStr">
        <is>
          <t>CHECK (TA - TL&amp;E = 0)</t>
        </is>
      </c>
      <c r="B19" s="558">
        <f>B18-B8</f>
        <v/>
      </c>
      <c r="C19" s="558">
        <f>C18-C8</f>
        <v/>
      </c>
      <c r="D19" s="558">
        <f>D18-D8</f>
        <v/>
      </c>
      <c r="E19" s="558">
        <f>E18-E8</f>
        <v/>
      </c>
      <c r="F19" s="558">
        <f>F18-F8</f>
        <v/>
      </c>
      <c r="G19" s="558">
        <f>G18-G8</f>
        <v/>
      </c>
      <c r="H19" s="558">
        <f>H18-H8</f>
        <v/>
      </c>
      <c r="I19" s="558">
        <f>I18-I8</f>
        <v/>
      </c>
      <c r="J19" s="558">
        <f>J18-J8</f>
        <v/>
      </c>
      <c r="K19" s="558">
        <f>K18-K8</f>
        <v/>
      </c>
      <c r="L19" s="558">
        <f>L18-L8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4" t="n"/>
      <c r="B1" s="544" t="n"/>
      <c r="C1" s="544" t="n"/>
      <c r="D1" s="544" t="n"/>
      <c r="E1" s="544" t="n"/>
      <c r="F1" s="544" t="n"/>
      <c r="G1" s="544" t="n"/>
      <c r="H1" s="544" t="n"/>
      <c r="I1" s="544" t="n"/>
      <c r="J1" s="544" t="n"/>
      <c r="K1" s="544" t="n"/>
      <c r="L1" s="544" t="n"/>
    </row>
    <row r="2">
      <c r="A2" s="542" t="inlineStr">
        <is>
          <t>Particulars</t>
        </is>
      </c>
      <c r="B2" s="542" t="inlineStr">
        <is>
          <t>FY21A</t>
        </is>
      </c>
      <c r="C2" s="542" t="inlineStr">
        <is>
          <t>FY22A</t>
        </is>
      </c>
      <c r="D2" s="542" t="inlineStr">
        <is>
          <t>FY23A</t>
        </is>
      </c>
      <c r="E2" s="542" t="inlineStr">
        <is>
          <t>FY24A</t>
        </is>
      </c>
      <c r="F2" s="542" t="inlineStr">
        <is>
          <t>FY25A</t>
        </is>
      </c>
      <c r="G2" s="542" t="inlineStr">
        <is>
          <t>FY26A</t>
        </is>
      </c>
      <c r="H2" s="543" t="inlineStr">
        <is>
          <t>FY27E</t>
        </is>
      </c>
      <c r="I2" s="543" t="inlineStr">
        <is>
          <t>FY28E</t>
        </is>
      </c>
      <c r="J2" s="543" t="inlineStr">
        <is>
          <t>FY29E</t>
        </is>
      </c>
      <c r="K2" s="543" t="inlineStr">
        <is>
          <t>FY30E</t>
        </is>
      </c>
      <c r="L2" s="543" t="inlineStr">
        <is>
          <t>FY31E</t>
        </is>
      </c>
    </row>
    <row r="3">
      <c r="A3" s="535" t="inlineStr">
        <is>
          <t>CFO</t>
        </is>
      </c>
      <c r="B3" s="553">
        <f>'Data Sheet'!F82</f>
        <v/>
      </c>
      <c r="C3" s="553">
        <f>'Data Sheet'!G82</f>
        <v/>
      </c>
      <c r="D3" s="553">
        <f>'Data Sheet'!H82</f>
        <v/>
      </c>
      <c r="E3" s="553">
        <f>'Data Sheet'!I82</f>
        <v/>
      </c>
      <c r="F3" s="553">
        <f>'Data Sheet'!J82</f>
        <v/>
      </c>
      <c r="G3" s="553">
        <f>'Data Sheet'!K82</f>
        <v/>
      </c>
      <c r="H3" s="554" t="n">
        <v>485</v>
      </c>
      <c r="I3" s="554" t="n">
        <v>625</v>
      </c>
      <c r="J3" s="554" t="n">
        <v>785</v>
      </c>
      <c r="K3" s="554" t="n">
        <v>920</v>
      </c>
      <c r="L3" s="554" t="n">
        <v>1048</v>
      </c>
    </row>
    <row r="4">
      <c r="A4" s="535" t="inlineStr">
        <is>
          <t>CFI</t>
        </is>
      </c>
      <c r="B4" s="553">
        <f>'Data Sheet'!F83</f>
        <v/>
      </c>
      <c r="C4" s="553">
        <f>'Data Sheet'!G83</f>
        <v/>
      </c>
      <c r="D4" s="553">
        <f>'Data Sheet'!H83</f>
        <v/>
      </c>
      <c r="E4" s="553">
        <f>'Data Sheet'!I83</f>
        <v/>
      </c>
      <c r="F4" s="553">
        <f>'Data Sheet'!J83</f>
        <v/>
      </c>
      <c r="G4" s="553">
        <f>'Data Sheet'!K83</f>
        <v/>
      </c>
      <c r="H4" s="554" t="n">
        <v>-365</v>
      </c>
      <c r="I4" s="554" t="n">
        <v>-612</v>
      </c>
      <c r="J4" s="554" t="n">
        <v>-435</v>
      </c>
      <c r="K4" s="554" t="n">
        <v>-308</v>
      </c>
      <c r="L4" s="554" t="n">
        <v>-268</v>
      </c>
    </row>
    <row r="5">
      <c r="A5" s="535" t="inlineStr">
        <is>
          <t>CFF</t>
        </is>
      </c>
      <c r="B5" s="553">
        <f>'Data Sheet'!F84</f>
        <v/>
      </c>
      <c r="C5" s="553">
        <f>'Data Sheet'!G84</f>
        <v/>
      </c>
      <c r="D5" s="553">
        <f>'Data Sheet'!H84</f>
        <v/>
      </c>
      <c r="E5" s="553">
        <f>'Data Sheet'!I84</f>
        <v/>
      </c>
      <c r="F5" s="553">
        <f>'Data Sheet'!J84</f>
        <v/>
      </c>
      <c r="G5" s="553">
        <f>'Data Sheet'!K84</f>
        <v/>
      </c>
      <c r="H5" s="554" t="n">
        <v>125</v>
      </c>
      <c r="I5" s="554" t="n">
        <v>215</v>
      </c>
      <c r="J5" s="554" t="n">
        <v>-85</v>
      </c>
      <c r="K5" s="554" t="n">
        <v>-125</v>
      </c>
      <c r="L5" s="554" t="n">
        <v>-165</v>
      </c>
    </row>
    <row r="6">
      <c r="A6" s="535" t="inlineStr">
        <is>
          <t>Net Cash Flow</t>
        </is>
      </c>
      <c r="B6" s="553">
        <f>'Data Sheet'!F85</f>
        <v/>
      </c>
      <c r="C6" s="553">
        <f>'Data Sheet'!G85</f>
        <v/>
      </c>
      <c r="D6" s="553">
        <f>'Data Sheet'!H85</f>
        <v/>
      </c>
      <c r="E6" s="553">
        <f>'Data Sheet'!I85</f>
        <v/>
      </c>
      <c r="F6" s="553">
        <f>'Data Sheet'!J85</f>
        <v/>
      </c>
      <c r="G6" s="553">
        <f>'Data Sheet'!K85</f>
        <v/>
      </c>
      <c r="H6" s="554">
        <f>H3+H4+H5</f>
        <v/>
      </c>
      <c r="I6" s="554">
        <f>I3+I4+I5</f>
        <v/>
      </c>
      <c r="J6" s="554">
        <f>J3+J4+J5</f>
        <v/>
      </c>
      <c r="K6" s="554">
        <f>K3+K4+K5</f>
        <v/>
      </c>
      <c r="L6" s="554">
        <f>L3+L4+L5</f>
        <v/>
      </c>
    </row>
    <row r="7">
      <c r="A7" s="544" t="n"/>
      <c r="B7" s="544" t="n"/>
      <c r="C7" s="544" t="n"/>
      <c r="D7" s="544" t="n"/>
      <c r="E7" s="544" t="n"/>
      <c r="F7" s="544" t="n"/>
      <c r="G7" s="544" t="n"/>
      <c r="H7" s="544" t="n"/>
      <c r="I7" s="544" t="n"/>
      <c r="J7" s="544" t="n"/>
      <c r="K7" s="544" t="n"/>
      <c r="L7" s="544" t="n"/>
    </row>
    <row r="8">
      <c r="A8" s="535" t="inlineStr">
        <is>
          <t>Free Cash Flow (FCF)</t>
        </is>
      </c>
      <c r="B8" s="553">
        <f>B3+B4</f>
        <v/>
      </c>
      <c r="C8" s="553">
        <f>C3+C4</f>
        <v/>
      </c>
      <c r="D8" s="553">
        <f>D3+D4</f>
        <v/>
      </c>
      <c r="E8" s="553">
        <f>E3+E4</f>
        <v/>
      </c>
      <c r="F8" s="553">
        <f>F3+F4</f>
        <v/>
      </c>
      <c r="G8" s="553">
        <f>G3+G4</f>
        <v/>
      </c>
      <c r="H8" s="554">
        <f>H3+H4</f>
        <v/>
      </c>
      <c r="I8" s="554">
        <f>I3+I4</f>
        <v/>
      </c>
      <c r="J8" s="554">
        <f>J3+J4</f>
        <v/>
      </c>
      <c r="K8" s="554">
        <f>K3+K4</f>
        <v/>
      </c>
      <c r="L8" s="554">
        <f>L3+L4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62" t="inlineStr">
        <is>
          <t>Key Financial Ratios</t>
        </is>
      </c>
      <c r="B1" s="544" t="n"/>
      <c r="C1" s="544" t="n"/>
      <c r="D1" s="544" t="n"/>
      <c r="E1" s="544" t="n"/>
      <c r="F1" s="544" t="n"/>
      <c r="G1" s="544" t="n"/>
      <c r="H1" s="544" t="n"/>
      <c r="I1" s="544" t="n"/>
      <c r="J1" s="544" t="n"/>
      <c r="K1" s="544" t="n"/>
      <c r="L1" s="544" t="n"/>
    </row>
    <row r="2">
      <c r="A2" s="542" t="inlineStr">
        <is>
          <t>Particulars</t>
        </is>
      </c>
      <c r="B2" s="542" t="inlineStr">
        <is>
          <t>FY21A</t>
        </is>
      </c>
      <c r="C2" s="542" t="inlineStr">
        <is>
          <t>FY22A</t>
        </is>
      </c>
      <c r="D2" s="542" t="inlineStr">
        <is>
          <t>FY23A</t>
        </is>
      </c>
      <c r="E2" s="542" t="inlineStr">
        <is>
          <t>FY24A</t>
        </is>
      </c>
      <c r="F2" s="542" t="inlineStr">
        <is>
          <t>FY25A</t>
        </is>
      </c>
      <c r="G2" s="542" t="inlineStr">
        <is>
          <t>FY26A</t>
        </is>
      </c>
      <c r="H2" s="543" t="inlineStr">
        <is>
          <t>FY27E</t>
        </is>
      </c>
      <c r="I2" s="543" t="inlineStr">
        <is>
          <t>FY28E</t>
        </is>
      </c>
      <c r="J2" s="543" t="inlineStr">
        <is>
          <t>FY29E</t>
        </is>
      </c>
      <c r="K2" s="543" t="inlineStr">
        <is>
          <t>FY30E</t>
        </is>
      </c>
      <c r="L2" s="543" t="inlineStr">
        <is>
          <t>FY31E</t>
        </is>
      </c>
    </row>
    <row r="3">
      <c r="A3" s="544" t="inlineStr">
        <is>
          <t>EBITDA Margin %</t>
        </is>
      </c>
      <c r="B3" s="555">
        <f>IF('P&amp;L'!B3=0,0,'P&amp;L'!B12/'P&amp;L'!B3)</f>
        <v/>
      </c>
      <c r="C3" s="555">
        <f>IF('P&amp;L'!C3=0,0,'P&amp;L'!C12/'P&amp;L'!C3)</f>
        <v/>
      </c>
      <c r="D3" s="555">
        <f>IF('P&amp;L'!D3=0,0,'P&amp;L'!D12/'P&amp;L'!D3)</f>
        <v/>
      </c>
      <c r="E3" s="555">
        <f>IF('P&amp;L'!E3=0,0,'P&amp;L'!E12/'P&amp;L'!E3)</f>
        <v/>
      </c>
      <c r="F3" s="555">
        <f>IF('P&amp;L'!F3=0,0,'P&amp;L'!F12/'P&amp;L'!F3)</f>
        <v/>
      </c>
      <c r="G3" s="555">
        <f>IF('P&amp;L'!G3=0,0,'P&amp;L'!G12/'P&amp;L'!G3)</f>
        <v/>
      </c>
      <c r="H3" s="556">
        <f>IF('P&amp;L'!H3=0,0,'P&amp;L'!H12/'P&amp;L'!H3)</f>
        <v/>
      </c>
      <c r="I3" s="556">
        <f>IF('P&amp;L'!I3=0,0,'P&amp;L'!I12/'P&amp;L'!I3)</f>
        <v/>
      </c>
      <c r="J3" s="556">
        <f>IF('P&amp;L'!J3=0,0,'P&amp;L'!J12/'P&amp;L'!J3)</f>
        <v/>
      </c>
      <c r="K3" s="556">
        <f>IF('P&amp;L'!K3=0,0,'P&amp;L'!K12/'P&amp;L'!K3)</f>
        <v/>
      </c>
      <c r="L3" s="556">
        <f>IF('P&amp;L'!L3=0,0,'P&amp;L'!L12/'P&amp;L'!L3)</f>
        <v/>
      </c>
    </row>
    <row r="4">
      <c r="A4" s="544" t="inlineStr">
        <is>
          <t>PAT Margin %</t>
        </is>
      </c>
      <c r="B4" s="555">
        <f>IF('P&amp;L'!B3=0,0,'P&amp;L'!B20/'P&amp;L'!B3)</f>
        <v/>
      </c>
      <c r="C4" s="555">
        <f>IF('P&amp;L'!C3=0,0,'P&amp;L'!C20/'P&amp;L'!C3)</f>
        <v/>
      </c>
      <c r="D4" s="555">
        <f>IF('P&amp;L'!D3=0,0,'P&amp;L'!D20/'P&amp;L'!D3)</f>
        <v/>
      </c>
      <c r="E4" s="555">
        <f>IF('P&amp;L'!E3=0,0,'P&amp;L'!E20/'P&amp;L'!E3)</f>
        <v/>
      </c>
      <c r="F4" s="555">
        <f>IF('P&amp;L'!F3=0,0,'P&amp;L'!F20/'P&amp;L'!F3)</f>
        <v/>
      </c>
      <c r="G4" s="555">
        <f>IF('P&amp;L'!G3=0,0,'P&amp;L'!G20/'P&amp;L'!G3)</f>
        <v/>
      </c>
      <c r="H4" s="556">
        <f>IF('P&amp;L'!H3=0,0,'P&amp;L'!H20/'P&amp;L'!H3)</f>
        <v/>
      </c>
      <c r="I4" s="556">
        <f>IF('P&amp;L'!I3=0,0,'P&amp;L'!I20/'P&amp;L'!I3)</f>
        <v/>
      </c>
      <c r="J4" s="556">
        <f>IF('P&amp;L'!J3=0,0,'P&amp;L'!J20/'P&amp;L'!J3)</f>
        <v/>
      </c>
      <c r="K4" s="556">
        <f>IF('P&amp;L'!K3=0,0,'P&amp;L'!K20/'P&amp;L'!K3)</f>
        <v/>
      </c>
      <c r="L4" s="556">
        <f>IF('P&amp;L'!L3=0,0,'P&amp;L'!L20/'P&amp;L'!L3)</f>
        <v/>
      </c>
    </row>
    <row r="5">
      <c r="A5" s="544" t="inlineStr">
        <is>
          <t>ROE %</t>
        </is>
      </c>
      <c r="B5" s="555">
        <f>IF('Balance Sheet'!B5=0,0,'P&amp;L'!B20/'Balance Sheet'!B5)</f>
        <v/>
      </c>
      <c r="C5" s="555">
        <f>IF('Balance Sheet'!C5=0,0,'P&amp;L'!C20/'Balance Sheet'!C5)</f>
        <v/>
      </c>
      <c r="D5" s="555">
        <f>IF('Balance Sheet'!D5=0,0,'P&amp;L'!D20/'Balance Sheet'!D5)</f>
        <v/>
      </c>
      <c r="E5" s="555">
        <f>IF('Balance Sheet'!E5=0,0,'P&amp;L'!E20/'Balance Sheet'!E5)</f>
        <v/>
      </c>
      <c r="F5" s="555">
        <f>IF('Balance Sheet'!F5=0,0,'P&amp;L'!F20/'Balance Sheet'!F5)</f>
        <v/>
      </c>
      <c r="G5" s="555">
        <f>IF('Balance Sheet'!G5=0,0,'P&amp;L'!G20/'Balance Sheet'!G5)</f>
        <v/>
      </c>
      <c r="H5" s="556">
        <f>IF('Balance Sheet'!H5=0,0,'P&amp;L'!H20/'Balance Sheet'!H5)</f>
        <v/>
      </c>
      <c r="I5" s="556">
        <f>IF('Balance Sheet'!I5=0,0,'P&amp;L'!I20/'Balance Sheet'!I5)</f>
        <v/>
      </c>
      <c r="J5" s="556">
        <f>IF('Balance Sheet'!J5=0,0,'P&amp;L'!J20/'Balance Sheet'!J5)</f>
        <v/>
      </c>
      <c r="K5" s="556">
        <f>IF('Balance Sheet'!K5=0,0,'P&amp;L'!K20/'Balance Sheet'!K5)</f>
        <v/>
      </c>
      <c r="L5" s="556">
        <f>IF('Balance Sheet'!L5=0,0,'P&amp;L'!L20/'Balance Sheet'!L5)</f>
        <v/>
      </c>
    </row>
    <row r="6">
      <c r="A6" s="544" t="inlineStr">
        <is>
          <t>ROCE %</t>
        </is>
      </c>
      <c r="B6" s="555">
        <f>IF(('Balance Sheet'!B5+'Balance Sheet'!B6)=0,0,'P&amp;L'!B16/('Balance Sheet'!B5+'Balance Sheet'!B6))</f>
        <v/>
      </c>
      <c r="C6" s="555">
        <f>IF(('Balance Sheet'!C5+'Balance Sheet'!C6)=0,0,'P&amp;L'!C16/('Balance Sheet'!C5+'Balance Sheet'!C6))</f>
        <v/>
      </c>
      <c r="D6" s="555">
        <f>IF(('Balance Sheet'!D5+'Balance Sheet'!D6)=0,0,'P&amp;L'!D16/('Balance Sheet'!D5+'Balance Sheet'!D6))</f>
        <v/>
      </c>
      <c r="E6" s="555">
        <f>IF(('Balance Sheet'!E5+'Balance Sheet'!E6)=0,0,'P&amp;L'!E16/('Balance Sheet'!E5+'Balance Sheet'!E6))</f>
        <v/>
      </c>
      <c r="F6" s="555">
        <f>IF(('Balance Sheet'!F5+'Balance Sheet'!F6)=0,0,'P&amp;L'!F16/('Balance Sheet'!F5+'Balance Sheet'!F6))</f>
        <v/>
      </c>
      <c r="G6" s="555">
        <f>IF(('Balance Sheet'!G5+'Balance Sheet'!G6)=0,0,'P&amp;L'!G16/('Balance Sheet'!G5+'Balance Sheet'!G6))</f>
        <v/>
      </c>
      <c r="H6" s="556">
        <f>IF(('Balance Sheet'!H5+'Balance Sheet'!H6)=0,0,'P&amp;L'!H16/('Balance Sheet'!H5+'Balance Sheet'!H6))</f>
        <v/>
      </c>
      <c r="I6" s="556">
        <f>IF(('Balance Sheet'!I5+'Balance Sheet'!I6)=0,0,'P&amp;L'!I16/('Balance Sheet'!I5+'Balance Sheet'!I6))</f>
        <v/>
      </c>
      <c r="J6" s="556">
        <f>IF(('Balance Sheet'!J5+'Balance Sheet'!J6)=0,0,'P&amp;L'!J16/('Balance Sheet'!J5+'Balance Sheet'!J6))</f>
        <v/>
      </c>
      <c r="K6" s="556">
        <f>IF(('Balance Sheet'!K5+'Balance Sheet'!K6)=0,0,'P&amp;L'!K16/('Balance Sheet'!K5+'Balance Sheet'!K6))</f>
        <v/>
      </c>
      <c r="L6" s="556">
        <f>IF(('Balance Sheet'!L5+'Balance Sheet'!L6)=0,0,'P&amp;L'!L16/('Balance Sheet'!L5+'Balance Sheet'!L6))</f>
        <v/>
      </c>
    </row>
    <row r="7">
      <c r="A7" s="544" t="inlineStr">
        <is>
          <t>Debt/Equity (x)</t>
        </is>
      </c>
      <c r="B7" s="563">
        <f>IF('Balance Sheet'!B5=0,0,'Balance Sheet'!B6/'Balance Sheet'!B5)</f>
        <v/>
      </c>
      <c r="C7" s="563">
        <f>IF('Balance Sheet'!C5=0,0,'Balance Sheet'!C6/'Balance Sheet'!C5)</f>
        <v/>
      </c>
      <c r="D7" s="563">
        <f>IF('Balance Sheet'!D5=0,0,'Balance Sheet'!D6/'Balance Sheet'!D5)</f>
        <v/>
      </c>
      <c r="E7" s="563">
        <f>IF('Balance Sheet'!E5=0,0,'Balance Sheet'!E6/'Balance Sheet'!E5)</f>
        <v/>
      </c>
      <c r="F7" s="563">
        <f>IF('Balance Sheet'!F5=0,0,'Balance Sheet'!F6/'Balance Sheet'!F5)</f>
        <v/>
      </c>
      <c r="G7" s="563">
        <f>IF('Balance Sheet'!G5=0,0,'Balance Sheet'!G6/'Balance Sheet'!G5)</f>
        <v/>
      </c>
      <c r="H7" s="564">
        <f>IF('Balance Sheet'!H5=0,0,'Balance Sheet'!H6/'Balance Sheet'!H5)</f>
        <v/>
      </c>
      <c r="I7" s="564">
        <f>IF('Balance Sheet'!I5=0,0,'Balance Sheet'!I6/'Balance Sheet'!I5)</f>
        <v/>
      </c>
      <c r="J7" s="564">
        <f>IF('Balance Sheet'!J5=0,0,'Balance Sheet'!J6/'Balance Sheet'!J5)</f>
        <v/>
      </c>
      <c r="K7" s="564">
        <f>IF('Balance Sheet'!K5=0,0,'Balance Sheet'!K6/'Balance Sheet'!K5)</f>
        <v/>
      </c>
      <c r="L7" s="564">
        <f>IF('Balance Sheet'!L5=0,0,'Balance Sheet'!L6/'Balance Sheet'!L5)</f>
        <v/>
      </c>
    </row>
    <row r="8">
      <c r="A8" s="544" t="inlineStr">
        <is>
          <t>Receivable Days</t>
        </is>
      </c>
      <c r="B8" s="565">
        <f>IF('P&amp;L'!B3=0,0,'Balance Sheet'!B14/'P&amp;L'!B3*365)</f>
        <v/>
      </c>
      <c r="C8" s="565">
        <f>IF('P&amp;L'!C3=0,0,'Balance Sheet'!C14/'P&amp;L'!C3*365)</f>
        <v/>
      </c>
      <c r="D8" s="565">
        <f>IF('P&amp;L'!D3=0,0,'Balance Sheet'!D14/'P&amp;L'!D3*365)</f>
        <v/>
      </c>
      <c r="E8" s="565">
        <f>IF('P&amp;L'!E3=0,0,'Balance Sheet'!E14/'P&amp;L'!E3*365)</f>
        <v/>
      </c>
      <c r="F8" s="565">
        <f>IF('P&amp;L'!F3=0,0,'Balance Sheet'!F14/'P&amp;L'!F3*365)</f>
        <v/>
      </c>
      <c r="G8" s="565">
        <f>IF('P&amp;L'!G3=0,0,'Balance Sheet'!G14/'P&amp;L'!G3*365)</f>
        <v/>
      </c>
      <c r="H8" s="566">
        <f>IF('P&amp;L'!H3=0,0,'Balance Sheet'!H14/'P&amp;L'!H3*365)</f>
        <v/>
      </c>
      <c r="I8" s="566">
        <f>IF('P&amp;L'!I3=0,0,'Balance Sheet'!I14/'P&amp;L'!I3*365)</f>
        <v/>
      </c>
      <c r="J8" s="566">
        <f>IF('P&amp;L'!J3=0,0,'Balance Sheet'!J14/'P&amp;L'!J3*365)</f>
        <v/>
      </c>
      <c r="K8" s="566">
        <f>IF('P&amp;L'!K3=0,0,'Balance Sheet'!K14/'P&amp;L'!K3*365)</f>
        <v/>
      </c>
      <c r="L8" s="566">
        <f>IF('P&amp;L'!L3=0,0,'Balance Sheet'!L14/'P&amp;L'!L3*365)</f>
        <v/>
      </c>
    </row>
    <row r="9">
      <c r="A9" s="544" t="inlineStr">
        <is>
          <t>Inventory Days</t>
        </is>
      </c>
      <c r="B9" s="565">
        <f>IF('P&amp;L'!B4=0,0,'Balance Sheet'!B15/'P&amp;L'!B4*365)</f>
        <v/>
      </c>
      <c r="C9" s="565">
        <f>IF('P&amp;L'!C4=0,0,'Balance Sheet'!C15/'P&amp;L'!C4*365)</f>
        <v/>
      </c>
      <c r="D9" s="565">
        <f>IF('P&amp;L'!D4=0,0,'Balance Sheet'!D15/'P&amp;L'!D4*365)</f>
        <v/>
      </c>
      <c r="E9" s="565">
        <f>IF('P&amp;L'!E4=0,0,'Balance Sheet'!E15/'P&amp;L'!E4*365)</f>
        <v/>
      </c>
      <c r="F9" s="565">
        <f>IF('P&amp;L'!F4=0,0,'Balance Sheet'!F15/'P&amp;L'!F4*365)</f>
        <v/>
      </c>
      <c r="G9" s="565">
        <f>IF('P&amp;L'!G4=0,0,'Balance Sheet'!G15/'P&amp;L'!G4*365)</f>
        <v/>
      </c>
      <c r="H9" s="566">
        <f>IF('P&amp;L'!H4=0,0,'Balance Sheet'!H15/'P&amp;L'!H4*365)</f>
        <v/>
      </c>
      <c r="I9" s="566">
        <f>IF('P&amp;L'!I4=0,0,'Balance Sheet'!I15/'P&amp;L'!I4*365)</f>
        <v/>
      </c>
      <c r="J9" s="566">
        <f>IF('P&amp;L'!J4=0,0,'Balance Sheet'!J15/'P&amp;L'!J4*365)</f>
        <v/>
      </c>
      <c r="K9" s="566">
        <f>IF('P&amp;L'!K4=0,0,'Balance Sheet'!K15/'P&amp;L'!K4*365)</f>
        <v/>
      </c>
      <c r="L9" s="566">
        <f>IF('P&amp;L'!L4=0,0,'Balance Sheet'!L15/'P&amp;L'!L4*365)</f>
        <v/>
      </c>
    </row>
    <row r="10">
      <c r="A10" s="544" t="inlineStr">
        <is>
          <t>Asset Turnover (x)</t>
        </is>
      </c>
      <c r="B10" s="563">
        <f>IF('Balance Sheet'!B18=0,0,'P&amp;L'!B3/'Balance Sheet'!B18)</f>
        <v/>
      </c>
      <c r="C10" s="563">
        <f>IF('Balance Sheet'!C18=0,0,'P&amp;L'!C3/'Balance Sheet'!C18)</f>
        <v/>
      </c>
      <c r="D10" s="563">
        <f>IF('Balance Sheet'!D18=0,0,'P&amp;L'!D3/'Balance Sheet'!D18)</f>
        <v/>
      </c>
      <c r="E10" s="563">
        <f>IF('Balance Sheet'!E18=0,0,'P&amp;L'!E3/'Balance Sheet'!E18)</f>
        <v/>
      </c>
      <c r="F10" s="563">
        <f>IF('Balance Sheet'!F18=0,0,'P&amp;L'!F3/'Balance Sheet'!F18)</f>
        <v/>
      </c>
      <c r="G10" s="563">
        <f>IF('Balance Sheet'!G18=0,0,'P&amp;L'!G3/'Balance Sheet'!G18)</f>
        <v/>
      </c>
      <c r="H10" s="564">
        <f>IF('Balance Sheet'!H18=0,0,'P&amp;L'!H3/'Balance Sheet'!H18)</f>
        <v/>
      </c>
      <c r="I10" s="564">
        <f>IF('Balance Sheet'!I18=0,0,'P&amp;L'!I3/'Balance Sheet'!I18)</f>
        <v/>
      </c>
      <c r="J10" s="564">
        <f>IF('Balance Sheet'!J18=0,0,'P&amp;L'!J3/'Balance Sheet'!J18)</f>
        <v/>
      </c>
      <c r="K10" s="564">
        <f>IF('Balance Sheet'!K18=0,0,'P&amp;L'!K3/'Balance Sheet'!K18)</f>
        <v/>
      </c>
      <c r="L10" s="564">
        <f>IF('Balance Sheet'!L18=0,0,'P&amp;L'!L3/'Balance Sheet'!L18)</f>
        <v/>
      </c>
    </row>
    <row r="11">
      <c r="A11" s="544" t="inlineStr">
        <is>
          <t>EPS (₹)</t>
        </is>
      </c>
      <c r="B11" s="558">
        <f>'P&amp;L'!B20/7.38</f>
        <v/>
      </c>
      <c r="C11" s="558">
        <f>'P&amp;L'!C20/7.38</f>
        <v/>
      </c>
      <c r="D11" s="558">
        <f>'P&amp;L'!D20/7.38</f>
        <v/>
      </c>
      <c r="E11" s="558">
        <f>'P&amp;L'!E20/7.38</f>
        <v/>
      </c>
      <c r="F11" s="558">
        <f>'P&amp;L'!F20/7.38</f>
        <v/>
      </c>
      <c r="G11" s="558">
        <f>'P&amp;L'!G20/7.38</f>
        <v/>
      </c>
      <c r="H11" s="559">
        <f>'P&amp;L'!H20/7.38</f>
        <v/>
      </c>
      <c r="I11" s="559">
        <f>'P&amp;L'!I20/7.38</f>
        <v/>
      </c>
      <c r="J11" s="559">
        <f>'P&amp;L'!J20/7.38</f>
        <v/>
      </c>
      <c r="K11" s="559">
        <f>'P&amp;L'!K20/7.38</f>
        <v/>
      </c>
      <c r="L11" s="559">
        <f>'P&amp;L'!L20/7.38</f>
        <v/>
      </c>
    </row>
    <row r="12">
      <c r="A12" s="544" t="inlineStr">
        <is>
          <t>BVPS (₹)</t>
        </is>
      </c>
      <c r="B12" s="558">
        <f>'Balance Sheet'!B5/7.38</f>
        <v/>
      </c>
      <c r="C12" s="558">
        <f>'Balance Sheet'!C5/7.38</f>
        <v/>
      </c>
      <c r="D12" s="558">
        <f>'Balance Sheet'!D5/7.38</f>
        <v/>
      </c>
      <c r="E12" s="558">
        <f>'Balance Sheet'!E5/7.38</f>
        <v/>
      </c>
      <c r="F12" s="558">
        <f>'Balance Sheet'!F5/7.38</f>
        <v/>
      </c>
      <c r="G12" s="558">
        <f>'Balance Sheet'!G5/7.38</f>
        <v/>
      </c>
      <c r="H12" s="559">
        <f>'Balance Sheet'!H5/7.38</f>
        <v/>
      </c>
      <c r="I12" s="559">
        <f>'Balance Sheet'!I5/7.38</f>
        <v/>
      </c>
      <c r="J12" s="559">
        <f>'Balance Sheet'!J5/7.38</f>
        <v/>
      </c>
      <c r="K12" s="559">
        <f>'Balance Sheet'!K5/7.38</f>
        <v/>
      </c>
      <c r="L12" s="559">
        <f>'Balance Sheet'!L5/7.38</f>
        <v/>
      </c>
    </row>
    <row r="13">
      <c r="A13" s="544" t="n"/>
      <c r="B13" s="544" t="n"/>
      <c r="C13" s="544" t="n"/>
      <c r="D13" s="544" t="n"/>
      <c r="E13" s="544" t="n"/>
      <c r="F13" s="544" t="n"/>
      <c r="G13" s="544" t="n"/>
      <c r="H13" s="544" t="n"/>
      <c r="I13" s="544" t="n"/>
      <c r="J13" s="544" t="n"/>
      <c r="K13" s="544" t="n"/>
      <c r="L13" s="54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67" t="inlineStr">
        <is>
          <t>VALUATION SUMMARY</t>
        </is>
      </c>
    </row>
    <row r="3">
      <c r="A3" s="535" t="inlineStr">
        <is>
          <t>DCF Fair Value (₹)</t>
        </is>
      </c>
      <c r="B3" s="544" t="n">
        <v>2125</v>
      </c>
    </row>
    <row r="4">
      <c r="A4" s="535" t="inlineStr">
        <is>
          <t>PE Fair Value (₹)</t>
        </is>
      </c>
      <c r="B4" s="544" t="n">
        <v>2580</v>
      </c>
    </row>
    <row r="5">
      <c r="A5" s="535" t="inlineStr">
        <is>
          <t>EV/EBITDA Fair Value (₹)</t>
        </is>
      </c>
      <c r="B5" s="544" t="n">
        <v>2430</v>
      </c>
    </row>
    <row r="6">
      <c r="A6" s="535" t="inlineStr">
        <is>
          <t>Blended Fair Value (₹)</t>
        </is>
      </c>
      <c r="B6" s="544" t="n">
        <v>2380</v>
      </c>
    </row>
    <row r="7">
      <c r="A7" s="535" t="inlineStr">
        <is>
          <t>CMP (₹)</t>
        </is>
      </c>
      <c r="B7" s="544" t="n">
        <v>1777</v>
      </c>
    </row>
    <row r="8">
      <c r="A8" s="535" t="inlineStr">
        <is>
          <t>Rating</t>
        </is>
      </c>
      <c r="B8" s="544" t="inlineStr">
        <is>
          <t>BUY</t>
        </is>
      </c>
    </row>
    <row r="9">
      <c r="A9" s="535" t="inlineStr">
        <is>
          <t>Target Price (₹)</t>
        </is>
      </c>
      <c r="B9" s="544" t="n">
        <v>2380</v>
      </c>
    </row>
    <row r="10">
      <c r="A10" s="535" t="inlineStr">
        <is>
          <t>Upside %</t>
        </is>
      </c>
      <c r="B10" s="544" t="n">
        <v>33.9</v>
      </c>
    </row>
    <row r="12">
      <c r="A12" s="568" t="inlineStr">
        <is>
          <t>PEER COMPARISON</t>
        </is>
      </c>
    </row>
    <row r="13">
      <c r="A13" s="569" t="inlineStr">
        <is>
          <t>Company</t>
        </is>
      </c>
      <c r="B13" s="569" t="inlineStr">
        <is>
          <t>MCap</t>
        </is>
      </c>
      <c r="C13" s="569" t="inlineStr">
        <is>
          <t>PE</t>
        </is>
      </c>
      <c r="D13" s="569" t="inlineStr">
        <is>
          <t>EV/EBITDA</t>
        </is>
      </c>
      <c r="E13" s="569" t="inlineStr">
        <is>
          <t>Margin</t>
        </is>
      </c>
      <c r="F13" s="569" t="inlineStr">
        <is>
          <t>ROE</t>
        </is>
      </c>
    </row>
    <row r="14">
      <c r="A14" s="544" t="inlineStr">
        <is>
          <t>Pondy Oxides &amp; Chemicals</t>
        </is>
      </c>
      <c r="B14" s="553" t="n">
        <v>890</v>
      </c>
      <c r="C14" s="563" t="n">
        <v>15.8</v>
      </c>
      <c r="D14" s="563" t="n">
        <v>12.2</v>
      </c>
      <c r="E14" s="544" t="inlineStr">
        <is>
          <t>11.5</t>
        </is>
      </c>
      <c r="F14" s="563" t="n">
        <v>18.2</v>
      </c>
    </row>
    <row r="15">
      <c r="A15" s="544" t="inlineStr">
        <is>
          <t>Exide Industries</t>
        </is>
      </c>
      <c r="B15" s="553" t="n">
        <v>28500</v>
      </c>
      <c r="C15" s="563" t="n">
        <v>28.5</v>
      </c>
      <c r="D15" s="563" t="n">
        <v>16.8</v>
      </c>
      <c r="E15" s="544" t="inlineStr">
        <is>
          <t>8.2</t>
        </is>
      </c>
      <c r="F15" s="563" t="n">
        <v>14.8</v>
      </c>
    </row>
    <row r="16">
      <c r="A16" s="544" t="inlineStr">
        <is>
          <t>Nile Ltd</t>
        </is>
      </c>
      <c r="B16" s="553" t="n">
        <v>185</v>
      </c>
      <c r="C16" s="563" t="n">
        <v>12.4</v>
      </c>
      <c r="D16" s="563" t="n">
        <v>9.800000000000001</v>
      </c>
      <c r="E16" s="544" t="inlineStr">
        <is>
          <t>7.8</t>
        </is>
      </c>
      <c r="F16" s="563" t="n">
        <v>16.5</v>
      </c>
    </row>
    <row r="17">
      <c r="A17" s="544" t="inlineStr">
        <is>
          <t>Eco Recycling</t>
        </is>
      </c>
      <c r="B17" s="553" t="n">
        <v>125</v>
      </c>
      <c r="C17" s="563" t="n">
        <v>18.6</v>
      </c>
      <c r="D17" s="563" t="n">
        <v>14.2</v>
      </c>
      <c r="E17" s="544" t="inlineStr">
        <is>
          <t>12.8</t>
        </is>
      </c>
      <c r="F17" s="563" t="n">
        <v>22.1</v>
      </c>
    </row>
    <row r="20">
      <c r="A20" s="568" t="inlineStr">
        <is>
          <t>SENSITIVITY TABLE</t>
        </is>
      </c>
    </row>
    <row r="21">
      <c r="A21" t="inlineStr">
        <is>
          <t>PE Multiple \ EPS Growth %</t>
        </is>
      </c>
      <c r="B21" s="569" t="n">
        <v>15</v>
      </c>
      <c r="C21" s="569" t="n">
        <v>20</v>
      </c>
      <c r="D21" s="569" t="n">
        <v>25</v>
      </c>
      <c r="E21" s="569" t="n">
        <v>30</v>
      </c>
      <c r="F21" s="569" t="n">
        <v>35</v>
      </c>
    </row>
    <row r="22">
      <c r="A22" s="568" t="n">
        <v>24</v>
      </c>
      <c r="B22" s="570" t="n">
        <v>1920</v>
      </c>
      <c r="C22" s="570" t="n">
        <v>2076</v>
      </c>
      <c r="D22" s="570" t="n">
        <v>2232</v>
      </c>
      <c r="E22" s="570" t="n">
        <v>2388</v>
      </c>
      <c r="F22" s="570" t="n">
        <v>2544</v>
      </c>
    </row>
    <row r="23">
      <c r="A23" s="568" t="n">
        <v>26.5</v>
      </c>
      <c r="B23" s="570" t="n">
        <v>2120</v>
      </c>
      <c r="C23" s="570" t="n">
        <v>2291</v>
      </c>
      <c r="D23" s="570" t="n">
        <v>2462</v>
      </c>
      <c r="E23" s="570" t="n">
        <v>2633</v>
      </c>
      <c r="F23" s="570" t="n">
        <v>2804</v>
      </c>
    </row>
    <row r="24">
      <c r="A24" s="568" t="n">
        <v>29</v>
      </c>
      <c r="B24" s="570" t="n">
        <v>2320</v>
      </c>
      <c r="C24" s="570" t="n">
        <v>2506</v>
      </c>
      <c r="D24" s="570" t="n">
        <v>2692</v>
      </c>
      <c r="E24" s="570" t="n">
        <v>2878</v>
      </c>
      <c r="F24" s="570" t="n">
        <v>3064</v>
      </c>
    </row>
    <row r="25">
      <c r="A25" s="568" t="n">
        <v>31.5</v>
      </c>
      <c r="B25" s="570" t="n">
        <v>2520</v>
      </c>
      <c r="C25" s="570" t="n">
        <v>2721</v>
      </c>
      <c r="D25" s="570" t="n">
        <v>2922</v>
      </c>
      <c r="E25" s="570" t="n">
        <v>3123</v>
      </c>
      <c r="F25" s="570" t="n">
        <v>3324</v>
      </c>
    </row>
    <row r="26">
      <c r="A26" s="568" t="n">
        <v>34</v>
      </c>
      <c r="B26" s="570" t="n">
        <v>2720</v>
      </c>
      <c r="C26" s="570" t="n">
        <v>2936</v>
      </c>
      <c r="D26" s="570" t="n">
        <v>3152</v>
      </c>
      <c r="E26" s="570" t="n">
        <v>3368</v>
      </c>
      <c r="F26" s="570" t="n">
        <v>3584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4" t="n"/>
      <c r="B1" s="544" t="n"/>
      <c r="C1" s="544" t="n"/>
      <c r="D1" s="544" t="n"/>
      <c r="E1" s="544" t="n"/>
      <c r="F1" s="544" t="n"/>
      <c r="G1" s="544" t="n"/>
      <c r="H1" s="544" t="n"/>
      <c r="I1" s="544" t="n"/>
      <c r="J1" s="544" t="n"/>
      <c r="K1" s="544" t="n"/>
      <c r="L1" s="544" t="n"/>
    </row>
    <row r="2">
      <c r="A2" s="542" t="inlineStr">
        <is>
          <t>Particulars</t>
        </is>
      </c>
      <c r="B2" s="542" t="inlineStr">
        <is>
          <t>FY21A</t>
        </is>
      </c>
      <c r="C2" s="542" t="inlineStr">
        <is>
          <t>FY22A</t>
        </is>
      </c>
      <c r="D2" s="542" t="inlineStr">
        <is>
          <t>FY23A</t>
        </is>
      </c>
      <c r="E2" s="542" t="inlineStr">
        <is>
          <t>FY24A</t>
        </is>
      </c>
      <c r="F2" s="542" t="inlineStr">
        <is>
          <t>FY25A</t>
        </is>
      </c>
      <c r="G2" s="542" t="inlineStr">
        <is>
          <t>FY26A</t>
        </is>
      </c>
      <c r="H2" s="543" t="inlineStr">
        <is>
          <t>FY27E</t>
        </is>
      </c>
      <c r="I2" s="543" t="inlineStr">
        <is>
          <t>FY28E</t>
        </is>
      </c>
      <c r="J2" s="543" t="inlineStr">
        <is>
          <t>FY29E</t>
        </is>
      </c>
      <c r="K2" s="543" t="inlineStr">
        <is>
          <t>FY30E</t>
        </is>
      </c>
      <c r="L2" s="543" t="inlineStr">
        <is>
          <t>FY31E</t>
        </is>
      </c>
    </row>
    <row r="3">
      <c r="A3" s="544" t="inlineStr">
        <is>
          <t>Revenue (₹ Cr)</t>
        </is>
      </c>
      <c r="B3" s="553">
        <f>'P&amp;L'!B3</f>
        <v/>
      </c>
      <c r="C3" s="553">
        <f>'P&amp;L'!C3</f>
        <v/>
      </c>
      <c r="D3" s="553">
        <f>'P&amp;L'!D3</f>
        <v/>
      </c>
      <c r="E3" s="553">
        <f>'P&amp;L'!E3</f>
        <v/>
      </c>
      <c r="F3" s="553">
        <f>'P&amp;L'!F3</f>
        <v/>
      </c>
      <c r="G3" s="553">
        <f>'P&amp;L'!G3</f>
        <v/>
      </c>
      <c r="H3" s="554">
        <f>'P&amp;L'!H3</f>
        <v/>
      </c>
      <c r="I3" s="554">
        <f>'P&amp;L'!I3</f>
        <v/>
      </c>
      <c r="J3" s="554">
        <f>'P&amp;L'!J3</f>
        <v/>
      </c>
      <c r="K3" s="554">
        <f>'P&amp;L'!K3</f>
        <v/>
      </c>
      <c r="L3" s="554">
        <f>'P&amp;L'!L3</f>
        <v/>
      </c>
    </row>
    <row r="4">
      <c r="A4" s="544" t="inlineStr">
        <is>
          <t>EBITDA (₹ Cr)</t>
        </is>
      </c>
      <c r="B4" s="553">
        <f>'P&amp;L'!B12</f>
        <v/>
      </c>
      <c r="C4" s="553">
        <f>'P&amp;L'!C12</f>
        <v/>
      </c>
      <c r="D4" s="553">
        <f>'P&amp;L'!D12</f>
        <v/>
      </c>
      <c r="E4" s="553">
        <f>'P&amp;L'!E12</f>
        <v/>
      </c>
      <c r="F4" s="553">
        <f>'P&amp;L'!F12</f>
        <v/>
      </c>
      <c r="G4" s="553">
        <f>'P&amp;L'!G12</f>
        <v/>
      </c>
      <c r="H4" s="554">
        <f>'P&amp;L'!H12</f>
        <v/>
      </c>
      <c r="I4" s="554">
        <f>'P&amp;L'!I12</f>
        <v/>
      </c>
      <c r="J4" s="554">
        <f>'P&amp;L'!J12</f>
        <v/>
      </c>
      <c r="K4" s="554">
        <f>'P&amp;L'!K12</f>
        <v/>
      </c>
      <c r="L4" s="554">
        <f>'P&amp;L'!L12</f>
        <v/>
      </c>
    </row>
    <row r="5">
      <c r="A5" s="544" t="inlineStr">
        <is>
          <t>PAT (₹ Cr)</t>
        </is>
      </c>
      <c r="B5" s="553">
        <f>'P&amp;L'!B20</f>
        <v/>
      </c>
      <c r="C5" s="553">
        <f>'P&amp;L'!C20</f>
        <v/>
      </c>
      <c r="D5" s="553">
        <f>'P&amp;L'!D20</f>
        <v/>
      </c>
      <c r="E5" s="553">
        <f>'P&amp;L'!E20</f>
        <v/>
      </c>
      <c r="F5" s="553">
        <f>'P&amp;L'!F20</f>
        <v/>
      </c>
      <c r="G5" s="553">
        <f>'P&amp;L'!G20</f>
        <v/>
      </c>
      <c r="H5" s="554">
        <f>'P&amp;L'!H20</f>
        <v/>
      </c>
      <c r="I5" s="554">
        <f>'P&amp;L'!I20</f>
        <v/>
      </c>
      <c r="J5" s="554">
        <f>'P&amp;L'!J20</f>
        <v/>
      </c>
      <c r="K5" s="554">
        <f>'P&amp;L'!K20</f>
        <v/>
      </c>
      <c r="L5" s="554">
        <f>'P&amp;L'!L20</f>
        <v/>
      </c>
    </row>
    <row r="6">
      <c r="A6" s="544" t="inlineStr">
        <is>
          <t>EPS (₹)</t>
        </is>
      </c>
      <c r="B6" s="558">
        <f>'P&amp;L'!B23</f>
        <v/>
      </c>
      <c r="C6" s="558">
        <f>'P&amp;L'!C23</f>
        <v/>
      </c>
      <c r="D6" s="558">
        <f>'P&amp;L'!D23</f>
        <v/>
      </c>
      <c r="E6" s="558">
        <f>'P&amp;L'!E23</f>
        <v/>
      </c>
      <c r="F6" s="558">
        <f>'P&amp;L'!F23</f>
        <v/>
      </c>
      <c r="G6" s="558">
        <f>'P&amp;L'!G23</f>
        <v/>
      </c>
      <c r="H6" s="559">
        <f>'P&amp;L'!H23</f>
        <v/>
      </c>
      <c r="I6" s="559">
        <f>'P&amp;L'!I23</f>
        <v/>
      </c>
      <c r="J6" s="559">
        <f>'P&amp;L'!J23</f>
        <v/>
      </c>
      <c r="K6" s="559">
        <f>'P&amp;L'!K23</f>
        <v/>
      </c>
      <c r="L6" s="559">
        <f>'P&amp;L'!L23</f>
        <v/>
      </c>
    </row>
    <row r="7">
      <c r="A7" s="544" t="inlineStr">
        <is>
          <t>EBITDA Margin %</t>
        </is>
      </c>
      <c r="B7" s="555">
        <f>IF('P&amp;L'!B3=0,0,'P&amp;L'!B12/'P&amp;L'!B3)</f>
        <v/>
      </c>
      <c r="C7" s="555">
        <f>IF('P&amp;L'!C3=0,0,'P&amp;L'!C12/'P&amp;L'!C3)</f>
        <v/>
      </c>
      <c r="D7" s="555">
        <f>IF('P&amp;L'!D3=0,0,'P&amp;L'!D12/'P&amp;L'!D3)</f>
        <v/>
      </c>
      <c r="E7" s="555">
        <f>IF('P&amp;L'!E3=0,0,'P&amp;L'!E12/'P&amp;L'!E3)</f>
        <v/>
      </c>
      <c r="F7" s="555">
        <f>IF('P&amp;L'!F3=0,0,'P&amp;L'!F12/'P&amp;L'!F3)</f>
        <v/>
      </c>
      <c r="G7" s="555">
        <f>IF('P&amp;L'!G3=0,0,'P&amp;L'!G12/'P&amp;L'!G3)</f>
        <v/>
      </c>
      <c r="H7" s="556">
        <f>IF('P&amp;L'!H3=0,0,'P&amp;L'!H12/'P&amp;L'!H3)</f>
        <v/>
      </c>
      <c r="I7" s="556">
        <f>IF('P&amp;L'!I3=0,0,'P&amp;L'!I12/'P&amp;L'!I3)</f>
        <v/>
      </c>
      <c r="J7" s="556">
        <f>IF('P&amp;L'!J3=0,0,'P&amp;L'!J12/'P&amp;L'!J3)</f>
        <v/>
      </c>
      <c r="K7" s="556">
        <f>IF('P&amp;L'!K3=0,0,'P&amp;L'!K12/'P&amp;L'!K3)</f>
        <v/>
      </c>
      <c r="L7" s="556">
        <f>IF('P&amp;L'!L3=0,0,'P&amp;L'!L12/'P&amp;L'!L3)</f>
        <v/>
      </c>
    </row>
    <row r="8">
      <c r="A8" s="544" t="inlineStr">
        <is>
          <t>ROE %</t>
        </is>
      </c>
      <c r="B8" s="555">
        <f>IF('Balance Sheet'!B5=0,0,'P&amp;L'!B20/'Balance Sheet'!B5)</f>
        <v/>
      </c>
      <c r="C8" s="555">
        <f>IF('Balance Sheet'!C5=0,0,'P&amp;L'!C20/'Balance Sheet'!C5)</f>
        <v/>
      </c>
      <c r="D8" s="555">
        <f>IF('Balance Sheet'!D5=0,0,'P&amp;L'!D20/'Balance Sheet'!D5)</f>
        <v/>
      </c>
      <c r="E8" s="555">
        <f>IF('Balance Sheet'!E5=0,0,'P&amp;L'!E20/'Balance Sheet'!E5)</f>
        <v/>
      </c>
      <c r="F8" s="555">
        <f>IF('Balance Sheet'!F5=0,0,'P&amp;L'!F20/'Balance Sheet'!F5)</f>
        <v/>
      </c>
      <c r="G8" s="555">
        <f>IF('Balance Sheet'!G5=0,0,'P&amp;L'!G20/'Balance Sheet'!G5)</f>
        <v/>
      </c>
      <c r="H8" s="556">
        <f>IF('Balance Sheet'!H5=0,0,'P&amp;L'!H20/'Balance Sheet'!H5)</f>
        <v/>
      </c>
      <c r="I8" s="556">
        <f>IF('Balance Sheet'!I5=0,0,'P&amp;L'!I20/'Balance Sheet'!I5)</f>
        <v/>
      </c>
      <c r="J8" s="556">
        <f>IF('Balance Sheet'!J5=0,0,'P&amp;L'!J20/'Balance Sheet'!J5)</f>
        <v/>
      </c>
      <c r="K8" s="556">
        <f>IF('Balance Sheet'!K5=0,0,'P&amp;L'!K20/'Balance Sheet'!K5)</f>
        <v/>
      </c>
      <c r="L8" s="556">
        <f>IF('Balance Sheet'!L5=0,0,'P&amp;L'!L20/'Balance Sheet'!L5)</f>
        <v/>
      </c>
    </row>
    <row r="9">
      <c r="A9" s="544" t="inlineStr">
        <is>
          <t>D/E (x)</t>
        </is>
      </c>
      <c r="B9" s="563">
        <f>IF('Balance Sheet'!B5=0,0,'Balance Sheet'!B6/'Balance Sheet'!B5)</f>
        <v/>
      </c>
      <c r="C9" s="563">
        <f>IF('Balance Sheet'!C5=0,0,'Balance Sheet'!C6/'Balance Sheet'!C5)</f>
        <v/>
      </c>
      <c r="D9" s="563">
        <f>IF('Balance Sheet'!D5=0,0,'Balance Sheet'!D6/'Balance Sheet'!D5)</f>
        <v/>
      </c>
      <c r="E9" s="563">
        <f>IF('Balance Sheet'!E5=0,0,'Balance Sheet'!E6/'Balance Sheet'!E5)</f>
        <v/>
      </c>
      <c r="F9" s="563">
        <f>IF('Balance Sheet'!F5=0,0,'Balance Sheet'!F6/'Balance Sheet'!F5)</f>
        <v/>
      </c>
      <c r="G9" s="563">
        <f>IF('Balance Sheet'!G5=0,0,'Balance Sheet'!G6/'Balance Sheet'!G5)</f>
        <v/>
      </c>
      <c r="H9" s="564">
        <f>IF('Balance Sheet'!H5=0,0,'Balance Sheet'!H6/'Balance Sheet'!H5)</f>
        <v/>
      </c>
      <c r="I9" s="564">
        <f>IF('Balance Sheet'!I5=0,0,'Balance Sheet'!I6/'Balance Sheet'!I5)</f>
        <v/>
      </c>
      <c r="J9" s="564">
        <f>IF('Balance Sheet'!J5=0,0,'Balance Sheet'!J6/'Balance Sheet'!J5)</f>
        <v/>
      </c>
      <c r="K9" s="564">
        <f>IF('Balance Sheet'!K5=0,0,'Balance Sheet'!K6/'Balance Sheet'!K5)</f>
        <v/>
      </c>
      <c r="L9" s="564">
        <f>IF('Balance Sheet'!L5=0,0,'Balance Sheet'!L6/'Balance Sheet'!L5)</f>
        <v/>
      </c>
    </row>
    <row r="10">
      <c r="A10" s="544" t="n"/>
      <c r="B10" s="544" t="n"/>
      <c r="C10" s="544" t="n"/>
      <c r="D10" s="544" t="n"/>
      <c r="E10" s="544" t="n"/>
      <c r="F10" s="544" t="n"/>
      <c r="G10" s="544" t="n"/>
      <c r="H10" s="544" t="n"/>
      <c r="I10" s="544" t="n"/>
      <c r="J10" s="544" t="n"/>
      <c r="K10" s="544" t="n"/>
      <c r="L10" s="54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1" t="inlineStr">
        <is>
          <t>GRAVITA INDIA LTD — Financial Summary Dashboard</t>
        </is>
      </c>
    </row>
    <row r="2" ht="18" customHeight="1">
      <c r="A2" s="572" t="inlineStr">
        <is>
          <t>Sector: Metal &amp; Metal Products | All figures ₹ Cr unless noted | Source: Screener / Tikona Model</t>
        </is>
      </c>
    </row>
    <row r="4" ht="22" customHeight="1">
      <c r="A4" s="542" t="inlineStr">
        <is>
          <t>Particulars</t>
        </is>
      </c>
      <c r="B4" s="542" t="inlineStr">
        <is>
          <t>FY22A</t>
        </is>
      </c>
      <c r="C4" s="542" t="inlineStr">
        <is>
          <t>FY23A</t>
        </is>
      </c>
      <c r="D4" s="542" t="inlineStr">
        <is>
          <t>FY24A</t>
        </is>
      </c>
      <c r="E4" s="542" t="inlineStr">
        <is>
          <t>FY25A</t>
        </is>
      </c>
      <c r="F4" s="542" t="inlineStr">
        <is>
          <t>FY26A</t>
        </is>
      </c>
      <c r="G4" s="543" t="inlineStr">
        <is>
          <t>FY27E</t>
        </is>
      </c>
      <c r="H4" s="543" t="inlineStr">
        <is>
          <t>FY28E</t>
        </is>
      </c>
      <c r="I4" s="543" t="inlineStr">
        <is>
          <t>FY29E</t>
        </is>
      </c>
      <c r="J4" s="543" t="inlineStr">
        <is>
          <t>FY30E</t>
        </is>
      </c>
      <c r="K4" s="543" t="inlineStr">
        <is>
          <t>FY31E</t>
        </is>
      </c>
    </row>
    <row r="5" ht="20" customHeight="1">
      <c r="A5" s="573" t="inlineStr">
        <is>
          <t>PROFIT &amp; LOSS</t>
        </is>
      </c>
    </row>
    <row r="6">
      <c r="A6" s="574" t="inlineStr">
        <is>
          <t>Net Revenue (₹ Cr)</t>
        </is>
      </c>
      <c r="B6" s="575" t="n">
        <v>2215.87</v>
      </c>
      <c r="C6" s="575" t="n">
        <v>2800.6</v>
      </c>
      <c r="D6" s="575" t="n">
        <v>3160.75</v>
      </c>
      <c r="E6" s="575" t="n">
        <v>3868.77</v>
      </c>
      <c r="F6" s="575" t="n">
        <v>4265.27</v>
      </c>
      <c r="G6" s="576" t="n">
        <v>4969.03955</v>
      </c>
      <c r="H6" s="576" t="n">
        <v>6062.228251</v>
      </c>
      <c r="I6" s="576" t="n">
        <v>7183.740477435001</v>
      </c>
      <c r="J6" s="576" t="n">
        <v>8275.66903000512</v>
      </c>
      <c r="K6" s="576" t="n">
        <v>9334.954665845777</v>
      </c>
    </row>
    <row r="7">
      <c r="A7" s="577" t="inlineStr">
        <is>
          <t>Revenue Growth %</t>
        </is>
      </c>
      <c r="B7" s="578" t="inlineStr">
        <is>
          <t>-</t>
        </is>
      </c>
      <c r="C7" s="579" t="n">
        <v>0.2638828090095539</v>
      </c>
      <c r="D7" s="579" t="n">
        <v>0.1285974434049847</v>
      </c>
      <c r="E7" s="579" t="n">
        <v>0.2240037965672704</v>
      </c>
      <c r="F7" s="579" t="n">
        <v>0.1024873538618218</v>
      </c>
      <c r="G7" s="580" t="n">
        <v>0.165</v>
      </c>
      <c r="H7" s="580" t="n">
        <v>0.22</v>
      </c>
      <c r="I7" s="580" t="n">
        <v>0.185</v>
      </c>
      <c r="J7" s="580" t="n">
        <v>0.1519999999999998</v>
      </c>
      <c r="K7" s="580" t="n">
        <v>0.1280000000000002</v>
      </c>
    </row>
    <row r="8">
      <c r="A8" s="574" t="inlineStr">
        <is>
          <t>EBITDA (₹ Cr)</t>
        </is>
      </c>
      <c r="B8" s="575" t="n">
        <v>217.48</v>
      </c>
      <c r="C8" s="575" t="n">
        <v>206.99</v>
      </c>
      <c r="D8" s="575" t="n">
        <v>287.45</v>
      </c>
      <c r="E8" s="575" t="n">
        <v>328.2499999999999</v>
      </c>
      <c r="F8" s="575" t="n">
        <v>434.93</v>
      </c>
      <c r="G8" s="576" t="n">
        <v>183.8544633500005</v>
      </c>
      <c r="H8" s="576" t="n">
        <v>272.8002712950001</v>
      </c>
      <c r="I8" s="576" t="n">
        <v>445.3919096009704</v>
      </c>
      <c r="J8" s="576" t="n">
        <v>612.3995082203801</v>
      </c>
      <c r="K8" s="576" t="n">
        <v>784.1361919310439</v>
      </c>
    </row>
    <row r="9">
      <c r="A9" s="577" t="inlineStr">
        <is>
          <t>EBITDA Margin %</t>
        </is>
      </c>
      <c r="B9" s="579" t="n">
        <v>0.09814655191865949</v>
      </c>
      <c r="C9" s="579" t="n">
        <v>0.0739091623223595</v>
      </c>
      <c r="D9" s="579" t="n">
        <v>0.09094360515700388</v>
      </c>
      <c r="E9" s="579" t="n">
        <v>0.08484608803314747</v>
      </c>
      <c r="F9" s="579" t="n">
        <v>0.1019700980242751</v>
      </c>
      <c r="G9" s="580" t="n">
        <v>0.0370000000000001</v>
      </c>
      <c r="H9" s="580" t="n">
        <v>0.04500000000000002</v>
      </c>
      <c r="I9" s="580" t="n">
        <v>0.06200000000000005</v>
      </c>
      <c r="J9" s="580" t="n">
        <v>0.07400000000000015</v>
      </c>
      <c r="K9" s="580" t="n">
        <v>0.08399999999999985</v>
      </c>
    </row>
    <row r="10">
      <c r="A10" s="574" t="inlineStr">
        <is>
          <t>Depreciation (₹ Cr)</t>
        </is>
      </c>
      <c r="B10" s="575" t="n">
        <v>20.56</v>
      </c>
      <c r="C10" s="575" t="n">
        <v>23.96</v>
      </c>
      <c r="D10" s="575" t="n">
        <v>37.99</v>
      </c>
      <c r="E10" s="575" t="n">
        <v>29.09</v>
      </c>
      <c r="F10" s="575" t="n">
        <v>38.83</v>
      </c>
      <c r="G10" s="576" t="n">
        <v>58</v>
      </c>
      <c r="H10" s="576" t="n">
        <v>78</v>
      </c>
      <c r="I10" s="576" t="n">
        <v>105</v>
      </c>
      <c r="J10" s="576" t="n">
        <v>128</v>
      </c>
      <c r="K10" s="576" t="n">
        <v>148</v>
      </c>
    </row>
    <row r="11">
      <c r="A11" s="577" t="inlineStr">
        <is>
          <t>EBIT (₹ Cr)</t>
        </is>
      </c>
      <c r="B11" s="581" t="n">
        <v>196.92</v>
      </c>
      <c r="C11" s="581" t="n">
        <v>183.03</v>
      </c>
      <c r="D11" s="581" t="n">
        <v>249.46</v>
      </c>
      <c r="E11" s="581" t="n">
        <v>299.16</v>
      </c>
      <c r="F11" s="581" t="n">
        <v>396.1</v>
      </c>
      <c r="G11" s="576" t="n">
        <v>125.8544633500005</v>
      </c>
      <c r="H11" s="576" t="n">
        <v>194.8002712950001</v>
      </c>
      <c r="I11" s="576" t="n">
        <v>340.3919096009704</v>
      </c>
      <c r="J11" s="576" t="n">
        <v>484.3995082203801</v>
      </c>
      <c r="K11" s="576" t="n">
        <v>636.1361919310439</v>
      </c>
    </row>
    <row r="12">
      <c r="A12" s="574" t="inlineStr">
        <is>
          <t>Interest (₹ Cr)</t>
        </is>
      </c>
      <c r="B12" s="575" t="n">
        <v>37.99</v>
      </c>
      <c r="C12" s="575" t="n">
        <v>43.5</v>
      </c>
      <c r="D12" s="575" t="n">
        <v>51.76</v>
      </c>
      <c r="E12" s="575" t="n">
        <v>46.43</v>
      </c>
      <c r="F12" s="575" t="n">
        <v>24.78</v>
      </c>
      <c r="G12" s="576" t="n">
        <v>32</v>
      </c>
      <c r="H12" s="576" t="n">
        <v>45</v>
      </c>
      <c r="I12" s="576" t="n">
        <v>52</v>
      </c>
      <c r="J12" s="576" t="n">
        <v>58</v>
      </c>
      <c r="K12" s="576" t="n">
        <v>62</v>
      </c>
    </row>
    <row r="13">
      <c r="A13" s="577" t="inlineStr">
        <is>
          <t>PBT (₹ Cr)</t>
        </is>
      </c>
      <c r="B13" s="581" t="n">
        <v>164.64</v>
      </c>
      <c r="C13" s="581" t="n">
        <v>227.59</v>
      </c>
      <c r="D13" s="581" t="n">
        <v>274.15</v>
      </c>
      <c r="E13" s="581" t="n">
        <v>363.46</v>
      </c>
      <c r="F13" s="581" t="n">
        <v>448.25</v>
      </c>
      <c r="G13" s="576" t="n">
        <v>188.8544633500005</v>
      </c>
      <c r="H13" s="576" t="n">
        <v>267.8002712950001</v>
      </c>
      <c r="I13" s="576" t="n">
        <v>430.3919096009704</v>
      </c>
      <c r="J13" s="576" t="n">
        <v>591.3995082203801</v>
      </c>
      <c r="K13" s="576" t="n">
        <v>759.1361919310439</v>
      </c>
    </row>
    <row r="14">
      <c r="A14" s="574" t="inlineStr">
        <is>
          <t>PAT (₹ Cr)</t>
        </is>
      </c>
      <c r="B14" s="575" t="n">
        <v>139.39</v>
      </c>
      <c r="C14" s="575" t="n">
        <v>201.1</v>
      </c>
      <c r="D14" s="575" t="n">
        <v>239.19</v>
      </c>
      <c r="E14" s="575" t="n">
        <v>312.39</v>
      </c>
      <c r="F14" s="575" t="n">
        <v>378.8</v>
      </c>
      <c r="G14" s="576" t="n">
        <v>159.0154581407004</v>
      </c>
      <c r="H14" s="576" t="n">
        <v>224.4166273452101</v>
      </c>
      <c r="I14" s="576" t="n">
        <v>359.3772445168103</v>
      </c>
      <c r="J14" s="576" t="n">
        <v>490.8615918229154</v>
      </c>
      <c r="K14" s="576" t="n">
        <v>626.2873583431112</v>
      </c>
    </row>
    <row r="15">
      <c r="A15" s="577" t="inlineStr">
        <is>
          <t>PAT Margin %</t>
        </is>
      </c>
      <c r="B15" s="579" t="n">
        <v>0.06290531484247722</v>
      </c>
      <c r="C15" s="579" t="n">
        <v>0.07180604156252232</v>
      </c>
      <c r="D15" s="579" t="n">
        <v>0.07567507711777267</v>
      </c>
      <c r="E15" s="579" t="n">
        <v>0.08074659387867461</v>
      </c>
      <c r="F15" s="579" t="n">
        <v>0.08881032150367972</v>
      </c>
      <c r="G15" s="580" t="n">
        <v>0.03200124622487668</v>
      </c>
      <c r="H15" s="580" t="n">
        <v>0.0370188349982024</v>
      </c>
      <c r="I15" s="580" t="n">
        <v>0.05002647933143712</v>
      </c>
      <c r="J15" s="580" t="n">
        <v>0.05931382587234905</v>
      </c>
      <c r="K15" s="580" t="n">
        <v>0.06709056238211175</v>
      </c>
    </row>
    <row r="16">
      <c r="A16" s="574" t="inlineStr">
        <is>
          <t>PAT Growth %</t>
        </is>
      </c>
      <c r="B16" s="582" t="inlineStr">
        <is>
          <t>-</t>
        </is>
      </c>
      <c r="C16" s="583" t="n">
        <v>0.4427146854150227</v>
      </c>
      <c r="D16" s="583" t="n">
        <v>0.1894082545997017</v>
      </c>
      <c r="E16" s="583" t="n">
        <v>0.3060328609055562</v>
      </c>
      <c r="F16" s="583" t="n">
        <v>0.2125868305643587</v>
      </c>
      <c r="G16" s="584" t="n">
        <v>-0.5802126237045923</v>
      </c>
      <c r="H16" s="580" t="n">
        <v>0.411288122357521</v>
      </c>
      <c r="I16" s="580" t="n">
        <v>0.6013842145662239</v>
      </c>
      <c r="J16" s="580" t="n">
        <v>0.365867203091527</v>
      </c>
      <c r="K16" s="580" t="n">
        <v>0.2758939969559736</v>
      </c>
    </row>
    <row r="17">
      <c r="A17" s="577" t="inlineStr">
        <is>
          <t>EPS (₹)</t>
        </is>
      </c>
      <c r="B17" s="585" t="n">
        <v>18.88753387533875</v>
      </c>
      <c r="C17" s="585" t="n">
        <v>27.24932249322493</v>
      </c>
      <c r="D17" s="585" t="n">
        <v>32.41056910569106</v>
      </c>
      <c r="E17" s="585" t="n">
        <v>42.32926829268293</v>
      </c>
      <c r="F17" s="585" t="n">
        <v>51.32791327913279</v>
      </c>
      <c r="G17" s="586" t="n">
        <v>21.54681004616537</v>
      </c>
      <c r="H17" s="586" t="n">
        <v>30.4087570928469</v>
      </c>
      <c r="I17" s="586" t="n">
        <v>48.69610359306373</v>
      </c>
      <c r="J17" s="586" t="n">
        <v>66.5124108161132</v>
      </c>
      <c r="K17" s="586" t="n">
        <v>84.86278568334841</v>
      </c>
    </row>
    <row r="18">
      <c r="A18" s="574" t="inlineStr">
        <is>
          <t>DPS (₹)</t>
        </is>
      </c>
      <c r="B18" s="587" t="n">
        <v>2.807588075880759</v>
      </c>
      <c r="C18" s="587" t="n">
        <v>4.070460704607046</v>
      </c>
      <c r="D18" s="587" t="n">
        <v>4.865853658536585</v>
      </c>
      <c r="E18" s="587" t="n">
        <v>6.349593495934959</v>
      </c>
      <c r="F18" s="582" t="inlineStr">
        <is>
          <t>-</t>
        </is>
      </c>
      <c r="G18" s="586" t="n">
        <v>3.232021506924806</v>
      </c>
      <c r="H18" s="586" t="n">
        <v>4.561313563927035</v>
      </c>
      <c r="I18" s="586" t="n">
        <v>7.304415538959558</v>
      </c>
      <c r="J18" s="586" t="n">
        <v>9.97686162241698</v>
      </c>
      <c r="K18" s="586" t="n">
        <v>12.72941785250226</v>
      </c>
    </row>
    <row r="19" ht="20" customHeight="1">
      <c r="A19" s="573" t="inlineStr">
        <is>
          <t>BALANCE SHEET</t>
        </is>
      </c>
    </row>
    <row r="20">
      <c r="A20" s="574" t="inlineStr">
        <is>
          <t>Net Worth (₹ Cr)</t>
        </is>
      </c>
      <c r="B20" s="575" t="n">
        <v>386.85</v>
      </c>
      <c r="C20" s="575" t="n">
        <v>588.9299999999999</v>
      </c>
      <c r="D20" s="575" t="n">
        <v>837.4</v>
      </c>
      <c r="E20" s="575" t="n">
        <v>2069.91</v>
      </c>
      <c r="F20" s="575" t="n">
        <v>2451.63</v>
      </c>
      <c r="G20" s="576" t="n">
        <v>2873</v>
      </c>
      <c r="H20" s="576" t="n">
        <v>3500</v>
      </c>
      <c r="I20" s="576" t="n">
        <v>4310</v>
      </c>
      <c r="J20" s="576" t="n">
        <v>5202</v>
      </c>
      <c r="K20" s="576" t="n">
        <v>6160</v>
      </c>
    </row>
    <row r="21">
      <c r="A21" s="577" t="inlineStr">
        <is>
          <t>Total Debt (₹ Cr)</t>
        </is>
      </c>
      <c r="B21" s="581" t="n">
        <v>391.52</v>
      </c>
      <c r="C21" s="581" t="n">
        <v>347.72</v>
      </c>
      <c r="D21" s="581" t="n">
        <v>547.59</v>
      </c>
      <c r="E21" s="581" t="n">
        <v>285.95</v>
      </c>
      <c r="F21" s="581" t="n">
        <v>735.9</v>
      </c>
      <c r="G21" s="576" t="n">
        <v>920</v>
      </c>
      <c r="H21" s="576" t="n">
        <v>1285</v>
      </c>
      <c r="I21" s="576" t="n">
        <v>1450</v>
      </c>
      <c r="J21" s="576" t="n">
        <v>1520</v>
      </c>
      <c r="K21" s="576" t="n">
        <v>1580</v>
      </c>
    </row>
    <row r="22">
      <c r="A22" s="574" t="inlineStr">
        <is>
          <t>Capital Employed (₹ Cr)</t>
        </is>
      </c>
      <c r="B22" s="575" t="n">
        <v>778.37</v>
      </c>
      <c r="C22" s="575" t="n">
        <v>936.65</v>
      </c>
      <c r="D22" s="575" t="n">
        <v>1384.99</v>
      </c>
      <c r="E22" s="575" t="n">
        <v>2355.86</v>
      </c>
      <c r="F22" s="575" t="n">
        <v>3187.53</v>
      </c>
      <c r="G22" s="576" t="n">
        <v>3793</v>
      </c>
      <c r="H22" s="576" t="n">
        <v>4785</v>
      </c>
      <c r="I22" s="576" t="n">
        <v>5760</v>
      </c>
      <c r="J22" s="576" t="n">
        <v>6722</v>
      </c>
      <c r="K22" s="576" t="n">
        <v>7740</v>
      </c>
    </row>
    <row r="23">
      <c r="A23" s="577" t="inlineStr">
        <is>
          <t>Net Fixed Assets (₹ Cr)</t>
        </is>
      </c>
      <c r="B23" s="581" t="n">
        <v>191.26</v>
      </c>
      <c r="C23" s="581" t="n">
        <v>273.32</v>
      </c>
      <c r="D23" s="581" t="n">
        <v>348.5</v>
      </c>
      <c r="E23" s="581" t="n">
        <v>435.71</v>
      </c>
      <c r="F23" s="581" t="n">
        <v>939.26</v>
      </c>
      <c r="G23" s="576" t="n">
        <v>1285</v>
      </c>
      <c r="H23" s="576" t="n">
        <v>1840</v>
      </c>
      <c r="I23" s="576" t="n">
        <v>2185</v>
      </c>
      <c r="J23" s="576" t="n">
        <v>2377</v>
      </c>
      <c r="K23" s="576" t="n">
        <v>2509</v>
      </c>
    </row>
    <row r="24">
      <c r="A24" s="574" t="inlineStr">
        <is>
          <t>Working Capital (₹ Cr)</t>
        </is>
      </c>
      <c r="B24" s="575" t="n">
        <v>623.1</v>
      </c>
      <c r="C24" s="575" t="n">
        <v>733.49</v>
      </c>
      <c r="D24" s="575" t="n">
        <v>938.96</v>
      </c>
      <c r="E24" s="575" t="n">
        <v>891.8799999999999</v>
      </c>
      <c r="F24" s="575" t="n">
        <v>1454.19</v>
      </c>
      <c r="G24" s="576" t="n">
        <v>1405.271612353973</v>
      </c>
      <c r="H24" s="576" t="n">
        <v>1616.871014342055</v>
      </c>
      <c r="I24" s="576" t="n">
        <v>1837.266228954952</v>
      </c>
      <c r="J24" s="576" t="n">
        <v>2028.423161918844</v>
      </c>
      <c r="K24" s="576" t="n">
        <v>2213.790892809891</v>
      </c>
    </row>
    <row r="25">
      <c r="A25" s="577" t="inlineStr">
        <is>
          <t>Debt/Equity (x)</t>
        </is>
      </c>
      <c r="B25" s="588" t="n">
        <v>1.012071862478997</v>
      </c>
      <c r="C25" s="588" t="n">
        <v>0.590426706060143</v>
      </c>
      <c r="D25" s="588" t="n">
        <v>0.6539168855982804</v>
      </c>
      <c r="E25" s="588" t="n">
        <v>0.1381461029706605</v>
      </c>
      <c r="F25" s="588" t="n">
        <v>0.3001676435677488</v>
      </c>
      <c r="G25" s="589" t="n">
        <v>0.3202227636616777</v>
      </c>
      <c r="H25" s="589" t="n">
        <v>0.3671428571428572</v>
      </c>
      <c r="I25" s="589" t="n">
        <v>0.3364269141531323</v>
      </c>
      <c r="J25" s="589" t="n">
        <v>0.2921953094963475</v>
      </c>
      <c r="K25" s="589" t="n">
        <v>0.2564935064935065</v>
      </c>
    </row>
    <row r="26" ht="20" customHeight="1">
      <c r="A26" s="573" t="inlineStr">
        <is>
          <t>CASH FLOWS</t>
        </is>
      </c>
    </row>
    <row r="27">
      <c r="A27" s="574" t="inlineStr">
        <is>
          <t>CFO (₹ Cr)</t>
        </is>
      </c>
      <c r="B27" s="575" t="n">
        <v>9.609999999999999</v>
      </c>
      <c r="C27" s="575" t="n">
        <v>199.66</v>
      </c>
      <c r="D27" s="575" t="n">
        <v>42.4</v>
      </c>
      <c r="E27" s="575" t="n">
        <v>282.18</v>
      </c>
      <c r="F27" s="575" t="n">
        <v>169.29</v>
      </c>
      <c r="G27" s="576" t="n">
        <v>485</v>
      </c>
      <c r="H27" s="576" t="n">
        <v>625</v>
      </c>
      <c r="I27" s="576" t="n">
        <v>785</v>
      </c>
      <c r="J27" s="576" t="n">
        <v>920</v>
      </c>
      <c r="K27" s="576" t="n">
        <v>1048</v>
      </c>
    </row>
    <row r="28">
      <c r="A28" s="577" t="inlineStr">
        <is>
          <t>Capex (₹ Cr)</t>
        </is>
      </c>
      <c r="B28" s="581" t="n">
        <v>69.45</v>
      </c>
      <c r="C28" s="581" t="n">
        <v>105.35</v>
      </c>
      <c r="D28" s="581" t="n">
        <v>157.81</v>
      </c>
      <c r="E28" s="581" t="n">
        <v>863.63</v>
      </c>
      <c r="F28" s="581" t="n">
        <v>363.89</v>
      </c>
      <c r="G28" s="576" t="n">
        <v>385</v>
      </c>
      <c r="H28" s="576" t="n">
        <v>630</v>
      </c>
      <c r="I28" s="576" t="n">
        <v>450</v>
      </c>
      <c r="J28" s="576" t="n">
        <v>320</v>
      </c>
      <c r="K28" s="576" t="n">
        <v>280</v>
      </c>
    </row>
    <row r="29">
      <c r="A29" s="574" t="inlineStr">
        <is>
          <t>Free Cash Flow (₹ Cr)</t>
        </is>
      </c>
      <c r="B29" s="590" t="n">
        <v>-59.84</v>
      </c>
      <c r="C29" s="575" t="n">
        <v>94.31</v>
      </c>
      <c r="D29" s="590" t="n">
        <v>-115.41</v>
      </c>
      <c r="E29" s="590" t="n">
        <v>-581.45</v>
      </c>
      <c r="F29" s="590" t="n">
        <v>-194.6</v>
      </c>
      <c r="G29" s="576" t="n">
        <v>100</v>
      </c>
      <c r="H29" s="591" t="n">
        <v>-5</v>
      </c>
      <c r="I29" s="576" t="n">
        <v>335</v>
      </c>
      <c r="J29" s="576" t="n">
        <v>600</v>
      </c>
      <c r="K29" s="576" t="n">
        <v>768</v>
      </c>
    </row>
    <row r="30">
      <c r="A30" s="577" t="inlineStr">
        <is>
          <t>CFO/EBITDA %</t>
        </is>
      </c>
      <c r="B30" s="579" t="n">
        <v>0.04418797130770646</v>
      </c>
      <c r="C30" s="579" t="n">
        <v>0.9645876612396733</v>
      </c>
      <c r="D30" s="579" t="n">
        <v>0.1475039137241259</v>
      </c>
      <c r="E30" s="579" t="n">
        <v>0.8596496572734198</v>
      </c>
      <c r="F30" s="579" t="n">
        <v>0.3892350493182811</v>
      </c>
      <c r="G30" s="580" t="n">
        <v>2.637956083104243</v>
      </c>
      <c r="H30" s="580" t="n">
        <v>2.291053440061058</v>
      </c>
      <c r="I30" s="580" t="n">
        <v>1.762492723999605</v>
      </c>
      <c r="J30" s="580" t="n">
        <v>1.50228729391619</v>
      </c>
      <c r="K30" s="580" t="n">
        <v>1.336502524413718</v>
      </c>
    </row>
    <row r="31" ht="20" customHeight="1">
      <c r="A31" s="573" t="inlineStr">
        <is>
          <t>KEY RATIOS</t>
        </is>
      </c>
    </row>
    <row r="32">
      <c r="A32" s="574" t="inlineStr">
        <is>
          <t>ROE %</t>
        </is>
      </c>
      <c r="B32" s="583" t="n">
        <v>0.373</v>
      </c>
      <c r="C32" s="583" t="n">
        <v>0.352</v>
      </c>
      <c r="D32" s="583" t="n">
        <v>0.289</v>
      </c>
      <c r="E32" s="583" t="n">
        <v>0.151</v>
      </c>
      <c r="F32" s="583" t="n">
        <v>0.156</v>
      </c>
      <c r="G32" s="580" t="n">
        <v>0.05534822768559013</v>
      </c>
      <c r="H32" s="580" t="n">
        <v>0.06411903638434575</v>
      </c>
      <c r="I32" s="580" t="n">
        <v>0.08338219130320423</v>
      </c>
      <c r="J32" s="580" t="n">
        <v>0.09436016759379381</v>
      </c>
      <c r="K32" s="580" t="n">
        <v>0.1016700257050505</v>
      </c>
    </row>
    <row r="33">
      <c r="A33" s="577" t="inlineStr">
        <is>
          <t>ROCE %</t>
        </is>
      </c>
      <c r="B33" s="579" t="n">
        <v>0.285</v>
      </c>
      <c r="C33" s="579" t="n">
        <v>0.248</v>
      </c>
      <c r="D33" s="579" t="n">
        <v>0.221</v>
      </c>
      <c r="E33" s="579" t="n">
        <v>0.198</v>
      </c>
      <c r="F33" s="579" t="n">
        <v>0.212</v>
      </c>
      <c r="G33" s="580" t="n">
        <v>0.03318071799367269</v>
      </c>
      <c r="H33" s="580" t="n">
        <v>0.04071061051097182</v>
      </c>
      <c r="I33" s="580" t="n">
        <v>0.05909581763905736</v>
      </c>
      <c r="J33" s="580" t="n">
        <v>0.07206181318363286</v>
      </c>
      <c r="K33" s="580" t="n">
        <v>0.08218813849238293</v>
      </c>
    </row>
    <row r="34">
      <c r="A34" s="574" t="inlineStr">
        <is>
          <t>Debtor Days</t>
        </is>
      </c>
      <c r="B34" s="592" t="n">
        <v>18</v>
      </c>
      <c r="C34" s="592" t="n">
        <v>18</v>
      </c>
      <c r="D34" s="592" t="n">
        <v>31</v>
      </c>
      <c r="E34" s="592" t="n">
        <v>26</v>
      </c>
      <c r="F34" s="592" t="n">
        <v>37</v>
      </c>
      <c r="G34" s="593" t="n">
        <v>35</v>
      </c>
      <c r="H34" s="593" t="n">
        <v>33</v>
      </c>
      <c r="I34" s="593" t="n">
        <v>32</v>
      </c>
      <c r="J34" s="593" t="n">
        <v>31</v>
      </c>
      <c r="K34" s="593" t="n">
        <v>30</v>
      </c>
    </row>
    <row r="35">
      <c r="A35" s="577" t="inlineStr">
        <is>
          <t>Inventory Days</t>
        </is>
      </c>
      <c r="B35" s="594" t="n">
        <v>104</v>
      </c>
      <c r="C35" s="594" t="n">
        <v>94</v>
      </c>
      <c r="D35" s="594" t="n">
        <v>78</v>
      </c>
      <c r="E35" s="594" t="n">
        <v>58</v>
      </c>
      <c r="F35" s="594" t="n">
        <v>104</v>
      </c>
      <c r="G35" s="593" t="n">
        <v>82</v>
      </c>
      <c r="H35" s="593" t="n">
        <v>78</v>
      </c>
      <c r="I35" s="593" t="n">
        <v>75</v>
      </c>
      <c r="J35" s="593" t="n">
        <v>72</v>
      </c>
      <c r="K35" s="593" t="n">
        <v>70</v>
      </c>
    </row>
    <row r="36" ht="20" customHeight="1">
      <c r="A36" s="573" t="inlineStr">
        <is>
          <t>VALUATIONS (at CMP)</t>
        </is>
      </c>
    </row>
    <row r="37">
      <c r="A37" s="574" t="inlineStr">
        <is>
          <t>P/E (x)</t>
        </is>
      </c>
      <c r="B37" s="595" t="n">
        <v>94.08321974316667</v>
      </c>
      <c r="C37" s="595" t="n">
        <v>65.2126305320736</v>
      </c>
      <c r="D37" s="595" t="n">
        <v>54.82779380408879</v>
      </c>
      <c r="E37" s="595" t="n">
        <v>41.98040910400461</v>
      </c>
      <c r="F37" s="595" t="n">
        <v>34.62053854276663</v>
      </c>
      <c r="G37" s="589" t="n">
        <v>82.47160466874993</v>
      </c>
      <c r="H37" s="589" t="n">
        <v>58.43711384106543</v>
      </c>
      <c r="I37" s="589" t="n">
        <v>36.49162600050646</v>
      </c>
      <c r="J37" s="589" t="n">
        <v>26.71681838315664</v>
      </c>
      <c r="K37" s="589" t="n">
        <v>20.93968499491149</v>
      </c>
    </row>
    <row r="38">
      <c r="A38" s="577" t="inlineStr">
        <is>
          <t>P/B (x)</t>
        </is>
      </c>
      <c r="B38" s="588" t="n">
        <v>33.90011632415665</v>
      </c>
      <c r="C38" s="588" t="n">
        <v>22.26794355865723</v>
      </c>
      <c r="D38" s="588" t="n">
        <v>15.66068784332458</v>
      </c>
      <c r="E38" s="588" t="n">
        <v>6.335666768120353</v>
      </c>
      <c r="F38" s="588" t="n">
        <v>5.349200327945081</v>
      </c>
      <c r="G38" s="589" t="n">
        <v>4.564657152801949</v>
      </c>
      <c r="H38" s="589" t="n">
        <v>3.746931428571428</v>
      </c>
      <c r="I38" s="589" t="n">
        <v>3.042751740139211</v>
      </c>
      <c r="J38" s="589" t="n">
        <v>2.521003460207612</v>
      </c>
      <c r="K38" s="589" t="n">
        <v>2.128938311688312</v>
      </c>
    </row>
    <row r="39">
      <c r="A39" s="574" t="inlineStr">
        <is>
          <t>P/S (x)</t>
        </is>
      </c>
      <c r="B39" s="595" t="n">
        <v>5.918334559337867</v>
      </c>
      <c r="C39" s="595" t="n">
        <v>4.682660858387488</v>
      </c>
      <c r="D39" s="595" t="n">
        <v>4.14909752432176</v>
      </c>
      <c r="E39" s="595" t="n">
        <v>3.389775044781675</v>
      </c>
      <c r="F39" s="595" t="n">
        <v>3.074661158613639</v>
      </c>
      <c r="G39" s="589" t="n">
        <v>2.639194127565356</v>
      </c>
      <c r="H39" s="589" t="n">
        <v>2.16327387505357</v>
      </c>
      <c r="I39" s="589" t="n">
        <v>1.825547573884869</v>
      </c>
      <c r="J39" s="589" t="n">
        <v>1.584676713441727</v>
      </c>
      <c r="K39" s="589" t="n">
        <v>1.404855242412878</v>
      </c>
    </row>
    <row r="40">
      <c r="A40" s="577" t="inlineStr">
        <is>
          <t>EV/EBITDA (x)</t>
        </is>
      </c>
      <c r="B40" s="588" t="n">
        <v>63.67624609159463</v>
      </c>
      <c r="C40" s="588" t="n">
        <v>66.90328035170781</v>
      </c>
      <c r="D40" s="588" t="n">
        <v>48.1764132892677</v>
      </c>
      <c r="E40" s="588" t="n">
        <v>42.18830159939071</v>
      </c>
      <c r="F40" s="588" t="n">
        <v>31.84031913181431</v>
      </c>
      <c r="G40" s="589" t="n">
        <v>75.32213114476974</v>
      </c>
      <c r="H40" s="589" t="n">
        <v>50.76354922325113</v>
      </c>
      <c r="I40" s="589" t="n">
        <v>31.09241479578467</v>
      </c>
      <c r="J40" s="589" t="n">
        <v>22.61319582088316</v>
      </c>
      <c r="K40" s="589" t="n">
        <v>17.66059281857227</v>
      </c>
    </row>
  </sheetData>
  <mergeCells count="7">
    <mergeCell ref="A26:K26"/>
    <mergeCell ref="A2:K2"/>
    <mergeCell ref="A19:K19"/>
    <mergeCell ref="A5:K5"/>
    <mergeCell ref="A36:K36"/>
    <mergeCell ref="A1:K1"/>
    <mergeCell ref="A31:K3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1" t="inlineStr">
        <is>
          <t>GRAVITA INDIA LTD — Earnings Forecast</t>
        </is>
      </c>
    </row>
    <row r="2" ht="18" customHeight="1">
      <c r="A2" s="572" t="inlineStr">
        <is>
          <t>Forward-looking income statement | All figures ₹ Cr | Estimate years shaded in cream</t>
        </is>
      </c>
    </row>
    <row r="4" ht="22" customHeight="1">
      <c r="A4" s="542" t="inlineStr">
        <is>
          <t>Particulars</t>
        </is>
      </c>
      <c r="B4" s="542" t="inlineStr">
        <is>
          <t>FY22A</t>
        </is>
      </c>
      <c r="C4" s="542" t="inlineStr">
        <is>
          <t>FY23A</t>
        </is>
      </c>
      <c r="D4" s="542" t="inlineStr">
        <is>
          <t>FY24A</t>
        </is>
      </c>
      <c r="E4" s="542" t="inlineStr">
        <is>
          <t>FY25A</t>
        </is>
      </c>
      <c r="F4" s="542" t="inlineStr">
        <is>
          <t>FY26A</t>
        </is>
      </c>
      <c r="G4" s="543" t="inlineStr">
        <is>
          <t>FY27E</t>
        </is>
      </c>
      <c r="H4" s="543" t="inlineStr">
        <is>
          <t>FY28E</t>
        </is>
      </c>
      <c r="I4" s="543" t="inlineStr">
        <is>
          <t>FY29E</t>
        </is>
      </c>
      <c r="J4" s="543" t="inlineStr">
        <is>
          <t>FY30E</t>
        </is>
      </c>
      <c r="K4" s="543" t="inlineStr">
        <is>
          <t>FY31E</t>
        </is>
      </c>
    </row>
    <row r="5" ht="20" customHeight="1">
      <c r="A5" s="573" t="inlineStr">
        <is>
          <t>INCOME STATEMENT</t>
        </is>
      </c>
    </row>
    <row r="6">
      <c r="A6" s="574" t="inlineStr">
        <is>
          <t>Revenue (₹ Cr)</t>
        </is>
      </c>
      <c r="B6" s="575" t="n">
        <v>2215.87</v>
      </c>
      <c r="C6" s="575" t="n">
        <v>2800.6</v>
      </c>
      <c r="D6" s="575" t="n">
        <v>3160.75</v>
      </c>
      <c r="E6" s="575" t="n">
        <v>3868.77</v>
      </c>
      <c r="F6" s="575" t="n">
        <v>4265.27</v>
      </c>
      <c r="G6" s="576" t="n">
        <v>4969.03955</v>
      </c>
      <c r="H6" s="576" t="n">
        <v>6062.228251</v>
      </c>
      <c r="I6" s="576" t="n">
        <v>7183.740477435001</v>
      </c>
      <c r="J6" s="576" t="n">
        <v>8275.66903000512</v>
      </c>
      <c r="K6" s="576" t="n">
        <v>9334.954665845777</v>
      </c>
    </row>
    <row r="7">
      <c r="A7" s="577" t="inlineStr">
        <is>
          <t>YoY Growth %</t>
        </is>
      </c>
      <c r="B7" s="578" t="inlineStr">
        <is>
          <t>-</t>
        </is>
      </c>
      <c r="C7" s="579" t="n">
        <v>0.2638828090095539</v>
      </c>
      <c r="D7" s="579" t="n">
        <v>0.1285974434049847</v>
      </c>
      <c r="E7" s="579" t="n">
        <v>0.2240037965672704</v>
      </c>
      <c r="F7" s="579" t="n">
        <v>0.1024873538618218</v>
      </c>
      <c r="G7" s="580" t="n">
        <v>0.165</v>
      </c>
      <c r="H7" s="580" t="n">
        <v>0.22</v>
      </c>
      <c r="I7" s="580" t="n">
        <v>0.185</v>
      </c>
      <c r="J7" s="580" t="n">
        <v>0.1519999999999998</v>
      </c>
      <c r="K7" s="580" t="n">
        <v>0.1280000000000002</v>
      </c>
    </row>
    <row r="8">
      <c r="A8" s="574" t="inlineStr">
        <is>
          <t>Gross Profit (₹ Cr)</t>
        </is>
      </c>
      <c r="B8" s="575" t="n">
        <v>417.75</v>
      </c>
      <c r="C8" s="575" t="n">
        <v>484.4099999999999</v>
      </c>
      <c r="D8" s="575" t="n">
        <v>588.46</v>
      </c>
      <c r="E8" s="575" t="n">
        <v>679.04</v>
      </c>
      <c r="F8" s="575" t="n">
        <v>673.4000000000005</v>
      </c>
      <c r="G8" s="576" t="n">
        <v>834.7986443999998</v>
      </c>
      <c r="H8" s="576" t="n">
        <v>1060.889943925</v>
      </c>
      <c r="I8" s="576" t="n">
        <v>1307.44076689317</v>
      </c>
      <c r="J8" s="576" t="n">
        <v>1555.825777640963</v>
      </c>
      <c r="K8" s="576" t="n">
        <v>1792.31129584239</v>
      </c>
    </row>
    <row r="9">
      <c r="A9" s="577" t="inlineStr">
        <is>
          <t>Gross Margin %</t>
        </is>
      </c>
      <c r="B9" s="579" t="n">
        <v>0.1885264027221814</v>
      </c>
      <c r="C9" s="579" t="n">
        <v>0.1729665071770334</v>
      </c>
      <c r="D9" s="579" t="n">
        <v>0.1861773313295895</v>
      </c>
      <c r="E9" s="579" t="n">
        <v>0.175518317191252</v>
      </c>
      <c r="F9" s="579" t="n">
        <v>0.1578798059677348</v>
      </c>
      <c r="G9" s="580" t="n">
        <v>0.168</v>
      </c>
      <c r="H9" s="580" t="n">
        <v>0.175</v>
      </c>
      <c r="I9" s="580" t="n">
        <v>0.182</v>
      </c>
      <c r="J9" s="580" t="n">
        <v>0.188</v>
      </c>
      <c r="K9" s="580" t="n">
        <v>0.1920000000000001</v>
      </c>
    </row>
    <row r="10">
      <c r="A10" s="574" t="inlineStr">
        <is>
          <t>EBITDA (₹ Cr)</t>
        </is>
      </c>
      <c r="B10" s="575" t="n">
        <v>217.48</v>
      </c>
      <c r="C10" s="575" t="n">
        <v>206.99</v>
      </c>
      <c r="D10" s="575" t="n">
        <v>287.45</v>
      </c>
      <c r="E10" s="575" t="n">
        <v>328.2499999999999</v>
      </c>
      <c r="F10" s="575" t="n">
        <v>434.93</v>
      </c>
      <c r="G10" s="576" t="n">
        <v>183.8544633500005</v>
      </c>
      <c r="H10" s="576" t="n">
        <v>272.8002712950001</v>
      </c>
      <c r="I10" s="576" t="n">
        <v>445.3919096009704</v>
      </c>
      <c r="J10" s="576" t="n">
        <v>612.3995082203801</v>
      </c>
      <c r="K10" s="576" t="n">
        <v>784.1361919310439</v>
      </c>
    </row>
    <row r="11">
      <c r="A11" s="577" t="inlineStr">
        <is>
          <t>EBITDA Margin %</t>
        </is>
      </c>
      <c r="B11" s="579" t="n">
        <v>0.09814655191865949</v>
      </c>
      <c r="C11" s="579" t="n">
        <v>0.0739091623223595</v>
      </c>
      <c r="D11" s="579" t="n">
        <v>0.09094360515700388</v>
      </c>
      <c r="E11" s="579" t="n">
        <v>0.08484608803314747</v>
      </c>
      <c r="F11" s="579" t="n">
        <v>0.1019700980242751</v>
      </c>
      <c r="G11" s="580" t="n">
        <v>0.0370000000000001</v>
      </c>
      <c r="H11" s="580" t="n">
        <v>0.04500000000000002</v>
      </c>
      <c r="I11" s="580" t="n">
        <v>0.06200000000000005</v>
      </c>
      <c r="J11" s="580" t="n">
        <v>0.07400000000000015</v>
      </c>
      <c r="K11" s="580" t="n">
        <v>0.08399999999999985</v>
      </c>
    </row>
    <row r="12">
      <c r="A12" s="574" t="inlineStr">
        <is>
          <t>EBITDA Growth %</t>
        </is>
      </c>
      <c r="B12" s="582" t="inlineStr">
        <is>
          <t>-</t>
        </is>
      </c>
      <c r="C12" s="596" t="n">
        <v>-0.04823432039727783</v>
      </c>
      <c r="D12" s="583" t="n">
        <v>0.3887144306488235</v>
      </c>
      <c r="E12" s="583" t="n">
        <v>0.1419377283005739</v>
      </c>
      <c r="F12" s="583" t="n">
        <v>0.3249961919268852</v>
      </c>
      <c r="G12" s="584" t="n">
        <v>-0.5772780370404421</v>
      </c>
      <c r="H12" s="580" t="n">
        <v>0.4837837837837803</v>
      </c>
      <c r="I12" s="580" t="n">
        <v>0.6326666666666674</v>
      </c>
      <c r="J12" s="580" t="n">
        <v>0.3749677419354854</v>
      </c>
      <c r="K12" s="580" t="n">
        <v>0.2804324324324278</v>
      </c>
    </row>
    <row r="13">
      <c r="A13" s="577" t="inlineStr">
        <is>
          <t>Depreciation (₹ Cr)</t>
        </is>
      </c>
      <c r="B13" s="581" t="n">
        <v>20.56</v>
      </c>
      <c r="C13" s="581" t="n">
        <v>23.96</v>
      </c>
      <c r="D13" s="581" t="n">
        <v>37.99</v>
      </c>
      <c r="E13" s="581" t="n">
        <v>29.09</v>
      </c>
      <c r="F13" s="581" t="n">
        <v>38.83</v>
      </c>
      <c r="G13" s="576" t="n">
        <v>58</v>
      </c>
      <c r="H13" s="576" t="n">
        <v>78</v>
      </c>
      <c r="I13" s="576" t="n">
        <v>105</v>
      </c>
      <c r="J13" s="576" t="n">
        <v>128</v>
      </c>
      <c r="K13" s="576" t="n">
        <v>148</v>
      </c>
    </row>
    <row r="14">
      <c r="A14" s="574" t="inlineStr">
        <is>
          <t>EBIT (₹ Cr)</t>
        </is>
      </c>
      <c r="B14" s="575" t="n">
        <v>196.92</v>
      </c>
      <c r="C14" s="575" t="n">
        <v>183.03</v>
      </c>
      <c r="D14" s="575" t="n">
        <v>249.46</v>
      </c>
      <c r="E14" s="575" t="n">
        <v>299.16</v>
      </c>
      <c r="F14" s="575" t="n">
        <v>396.1</v>
      </c>
      <c r="G14" s="576" t="n">
        <v>125.8544633500005</v>
      </c>
      <c r="H14" s="576" t="n">
        <v>194.8002712950001</v>
      </c>
      <c r="I14" s="576" t="n">
        <v>340.3919096009704</v>
      </c>
      <c r="J14" s="576" t="n">
        <v>484.3995082203801</v>
      </c>
      <c r="K14" s="576" t="n">
        <v>636.1361919310439</v>
      </c>
    </row>
    <row r="15">
      <c r="A15" s="577" t="inlineStr">
        <is>
          <t>Finance Costs (₹ Cr)</t>
        </is>
      </c>
      <c r="B15" s="581" t="n">
        <v>37.99</v>
      </c>
      <c r="C15" s="581" t="n">
        <v>43.5</v>
      </c>
      <c r="D15" s="581" t="n">
        <v>51.76</v>
      </c>
      <c r="E15" s="581" t="n">
        <v>46.43</v>
      </c>
      <c r="F15" s="581" t="n">
        <v>24.78</v>
      </c>
      <c r="G15" s="576" t="n">
        <v>32</v>
      </c>
      <c r="H15" s="576" t="n">
        <v>45</v>
      </c>
      <c r="I15" s="576" t="n">
        <v>52</v>
      </c>
      <c r="J15" s="576" t="n">
        <v>58</v>
      </c>
      <c r="K15" s="576" t="n">
        <v>62</v>
      </c>
    </row>
    <row r="16">
      <c r="A16" s="574" t="inlineStr">
        <is>
          <t>Other Income (₹ Cr)</t>
        </is>
      </c>
      <c r="B16" s="575" t="n">
        <v>5.71</v>
      </c>
      <c r="C16" s="575" t="n">
        <v>88.06</v>
      </c>
      <c r="D16" s="575" t="n">
        <v>76.45</v>
      </c>
      <c r="E16" s="575" t="n">
        <v>110.73</v>
      </c>
      <c r="F16" s="575" t="n">
        <v>76.93000000000001</v>
      </c>
      <c r="G16" s="576" t="n">
        <v>95</v>
      </c>
      <c r="H16" s="576" t="n">
        <v>118</v>
      </c>
      <c r="I16" s="576" t="n">
        <v>142</v>
      </c>
      <c r="J16" s="576" t="n">
        <v>165</v>
      </c>
      <c r="K16" s="576" t="n">
        <v>185</v>
      </c>
    </row>
    <row r="17">
      <c r="A17" s="577" t="inlineStr">
        <is>
          <t>PBT (₹ Cr)</t>
        </is>
      </c>
      <c r="B17" s="581" t="n">
        <v>164.64</v>
      </c>
      <c r="C17" s="581" t="n">
        <v>227.59</v>
      </c>
      <c r="D17" s="581" t="n">
        <v>274.15</v>
      </c>
      <c r="E17" s="581" t="n">
        <v>363.46</v>
      </c>
      <c r="F17" s="581" t="n">
        <v>448.25</v>
      </c>
      <c r="G17" s="576" t="n">
        <v>188.8544633500005</v>
      </c>
      <c r="H17" s="576" t="n">
        <v>267.8002712950001</v>
      </c>
      <c r="I17" s="576" t="n">
        <v>430.3919096009704</v>
      </c>
      <c r="J17" s="576" t="n">
        <v>591.3995082203801</v>
      </c>
      <c r="K17" s="576" t="n">
        <v>759.1361919310439</v>
      </c>
    </row>
    <row r="18">
      <c r="A18" s="574" t="inlineStr">
        <is>
          <t>Tax (₹ Cr)</t>
        </is>
      </c>
      <c r="B18" s="575" t="n">
        <v>16.19</v>
      </c>
      <c r="C18" s="575" t="n">
        <v>23.5</v>
      </c>
      <c r="D18" s="575" t="n">
        <v>31.87</v>
      </c>
      <c r="E18" s="575" t="n">
        <v>50.56</v>
      </c>
      <c r="F18" s="575" t="n">
        <v>69.92</v>
      </c>
      <c r="G18" s="576" t="n">
        <v>29.83900520930008</v>
      </c>
      <c r="H18" s="576" t="n">
        <v>43.38364394979002</v>
      </c>
      <c r="I18" s="576" t="n">
        <v>71.01466508416011</v>
      </c>
      <c r="J18" s="576" t="n">
        <v>100.5379163974646</v>
      </c>
      <c r="K18" s="576" t="n">
        <v>132.8488335879327</v>
      </c>
    </row>
    <row r="19">
      <c r="A19" s="577" t="inlineStr">
        <is>
          <t>Effective Tax Rate %</t>
        </is>
      </c>
      <c r="B19" s="579" t="n">
        <v>0.09833576287657922</v>
      </c>
      <c r="C19" s="579" t="n">
        <v>0.103255854826662</v>
      </c>
      <c r="D19" s="579" t="n">
        <v>0.1162502279773847</v>
      </c>
      <c r="E19" s="579" t="n">
        <v>0.139107467121554</v>
      </c>
      <c r="F19" s="579" t="n">
        <v>0.1559843837144451</v>
      </c>
      <c r="G19" s="580" t="n">
        <v>0.158</v>
      </c>
      <c r="H19" s="580" t="n">
        <v>0.162</v>
      </c>
      <c r="I19" s="580" t="n">
        <v>0.165</v>
      </c>
      <c r="J19" s="580" t="n">
        <v>0.17</v>
      </c>
      <c r="K19" s="580" t="n">
        <v>0.175</v>
      </c>
    </row>
    <row r="20">
      <c r="A20" s="574" t="inlineStr">
        <is>
          <t>PAT (₹ Cr)</t>
        </is>
      </c>
      <c r="B20" s="575" t="n">
        <v>139.39</v>
      </c>
      <c r="C20" s="575" t="n">
        <v>201.1</v>
      </c>
      <c r="D20" s="575" t="n">
        <v>239.19</v>
      </c>
      <c r="E20" s="575" t="n">
        <v>312.39</v>
      </c>
      <c r="F20" s="575" t="n">
        <v>378.8</v>
      </c>
      <c r="G20" s="576" t="n">
        <v>159.0154581407004</v>
      </c>
      <c r="H20" s="576" t="n">
        <v>224.4166273452101</v>
      </c>
      <c r="I20" s="576" t="n">
        <v>359.3772445168103</v>
      </c>
      <c r="J20" s="576" t="n">
        <v>490.8615918229154</v>
      </c>
      <c r="K20" s="576" t="n">
        <v>626.2873583431112</v>
      </c>
    </row>
    <row r="21">
      <c r="A21" s="577" t="inlineStr">
        <is>
          <t>PAT Growth %</t>
        </is>
      </c>
      <c r="B21" s="578" t="inlineStr">
        <is>
          <t>-</t>
        </is>
      </c>
      <c r="C21" s="579" t="n">
        <v>0.4427146854150227</v>
      </c>
      <c r="D21" s="579" t="n">
        <v>0.1894082545997017</v>
      </c>
      <c r="E21" s="579" t="n">
        <v>0.3060328609055562</v>
      </c>
      <c r="F21" s="579" t="n">
        <v>0.2125868305643587</v>
      </c>
      <c r="G21" s="584" t="n">
        <v>-0.5802126237045923</v>
      </c>
      <c r="H21" s="580" t="n">
        <v>0.411288122357521</v>
      </c>
      <c r="I21" s="580" t="n">
        <v>0.6013842145662239</v>
      </c>
      <c r="J21" s="580" t="n">
        <v>0.365867203091527</v>
      </c>
      <c r="K21" s="580" t="n">
        <v>0.2758939969559736</v>
      </c>
    </row>
    <row r="22">
      <c r="A22" s="574" t="inlineStr">
        <is>
          <t>PAT Margin %</t>
        </is>
      </c>
      <c r="B22" s="583" t="n">
        <v>0.06290531484247722</v>
      </c>
      <c r="C22" s="583" t="n">
        <v>0.07180604156252232</v>
      </c>
      <c r="D22" s="583" t="n">
        <v>0.07567507711777267</v>
      </c>
      <c r="E22" s="583" t="n">
        <v>0.08074659387867461</v>
      </c>
      <c r="F22" s="583" t="n">
        <v>0.08881032150367972</v>
      </c>
      <c r="G22" s="580" t="n">
        <v>0.03200124622487668</v>
      </c>
      <c r="H22" s="580" t="n">
        <v>0.0370188349982024</v>
      </c>
      <c r="I22" s="580" t="n">
        <v>0.05002647933143712</v>
      </c>
      <c r="J22" s="580" t="n">
        <v>0.05931382587234905</v>
      </c>
      <c r="K22" s="580" t="n">
        <v>0.06709056238211175</v>
      </c>
    </row>
    <row r="23" ht="20" customHeight="1">
      <c r="A23" s="573" t="inlineStr">
        <is>
          <t>PER SHARE DATA</t>
        </is>
      </c>
    </row>
    <row r="24">
      <c r="A24" s="574" t="inlineStr">
        <is>
          <t>EPS (₹)</t>
        </is>
      </c>
      <c r="B24" s="587" t="n">
        <v>18.88753387533875</v>
      </c>
      <c r="C24" s="587" t="n">
        <v>27.24932249322493</v>
      </c>
      <c r="D24" s="587" t="n">
        <v>32.41056910569106</v>
      </c>
      <c r="E24" s="587" t="n">
        <v>42.32926829268293</v>
      </c>
      <c r="F24" s="587" t="n">
        <v>51.32791327913279</v>
      </c>
      <c r="G24" s="586" t="n">
        <v>21.54681004616537</v>
      </c>
      <c r="H24" s="586" t="n">
        <v>30.4087570928469</v>
      </c>
      <c r="I24" s="586" t="n">
        <v>48.69610359306373</v>
      </c>
      <c r="J24" s="586" t="n">
        <v>66.5124108161132</v>
      </c>
      <c r="K24" s="586" t="n">
        <v>84.86278568334841</v>
      </c>
    </row>
    <row r="25">
      <c r="A25" s="577" t="inlineStr">
        <is>
          <t>EPS Growth %</t>
        </is>
      </c>
      <c r="B25" s="578" t="inlineStr">
        <is>
          <t>-</t>
        </is>
      </c>
      <c r="C25" s="579" t="n">
        <v>0.4427146854150227</v>
      </c>
      <c r="D25" s="579" t="n">
        <v>0.1894082545997018</v>
      </c>
      <c r="E25" s="579" t="n">
        <v>0.3060328609055561</v>
      </c>
      <c r="F25" s="579" t="n">
        <v>0.2125868305643587</v>
      </c>
      <c r="G25" s="584" t="n">
        <v>-0.5802126237045923</v>
      </c>
      <c r="H25" s="580" t="n">
        <v>0.4112881223575211</v>
      </c>
      <c r="I25" s="580" t="n">
        <v>0.6013842145662239</v>
      </c>
      <c r="J25" s="580" t="n">
        <v>0.3658672030915269</v>
      </c>
      <c r="K25" s="580" t="n">
        <v>0.2758939969559736</v>
      </c>
    </row>
    <row r="26">
      <c r="A26" s="574" t="inlineStr">
        <is>
          <t>DPS (₹)</t>
        </is>
      </c>
      <c r="B26" s="587" t="n">
        <v>2.833130081300812</v>
      </c>
      <c r="C26" s="587" t="n">
        <v>4.087398373983739</v>
      </c>
      <c r="D26" s="587" t="n">
        <v>4.861585365853658</v>
      </c>
      <c r="E26" s="587" t="n">
        <v>6.349390243902439</v>
      </c>
      <c r="F26" s="587" t="n">
        <v>7.699186991869919</v>
      </c>
      <c r="G26" s="586" t="n">
        <v>3.232021506924806</v>
      </c>
      <c r="H26" s="586" t="n">
        <v>4.561313563927035</v>
      </c>
      <c r="I26" s="586" t="n">
        <v>7.304415538959558</v>
      </c>
      <c r="J26" s="586" t="n">
        <v>9.97686162241698</v>
      </c>
      <c r="K26" s="586" t="n">
        <v>12.72941785250226</v>
      </c>
    </row>
    <row r="27">
      <c r="A27" s="577" t="inlineStr">
        <is>
          <t>Book Value per Share (₹)</t>
        </is>
      </c>
      <c r="B27" s="585" t="n">
        <v>52.41869918699187</v>
      </c>
      <c r="C27" s="585" t="n">
        <v>79.80081300813008</v>
      </c>
      <c r="D27" s="585" t="n">
        <v>113.4688346883469</v>
      </c>
      <c r="E27" s="585" t="n">
        <v>280.4756097560976</v>
      </c>
      <c r="F27" s="585" t="n">
        <v>332.19918699187</v>
      </c>
      <c r="G27" s="586" t="n">
        <v>389.2953929539295</v>
      </c>
      <c r="H27" s="586" t="n">
        <v>474.2547425474255</v>
      </c>
      <c r="I27" s="586" t="n">
        <v>584.0108401084011</v>
      </c>
      <c r="J27" s="586" t="n">
        <v>704.8780487804878</v>
      </c>
      <c r="K27" s="586" t="n">
        <v>834.6883468834689</v>
      </c>
    </row>
    <row r="28" ht="20" customHeight="1">
      <c r="A28" s="573" t="inlineStr">
        <is>
          <t>ASSUMPTIONS &amp; DRIVERS</t>
        </is>
      </c>
    </row>
    <row r="29">
      <c r="A29" s="574" t="inlineStr">
        <is>
          <t>Volume Growth % (est)</t>
        </is>
      </c>
      <c r="B29" s="582" t="inlineStr">
        <is>
          <t>-</t>
        </is>
      </c>
      <c r="C29" s="582" t="inlineStr">
        <is>
          <t>-</t>
        </is>
      </c>
      <c r="D29" s="582" t="inlineStr">
        <is>
          <t>-</t>
        </is>
      </c>
      <c r="E29" s="582" t="inlineStr">
        <is>
          <t>-</t>
        </is>
      </c>
      <c r="F29" s="582" t="inlineStr">
        <is>
          <t>-</t>
        </is>
      </c>
      <c r="G29" s="580" t="n">
        <v>0.099</v>
      </c>
      <c r="H29" s="580" t="n">
        <v>0.132</v>
      </c>
      <c r="I29" s="580" t="n">
        <v>0.111</v>
      </c>
      <c r="J29" s="580" t="n">
        <v>0.09119999999999999</v>
      </c>
      <c r="K29" s="580" t="n">
        <v>0.07679999999999999</v>
      </c>
    </row>
    <row r="30">
      <c r="A30" s="577" t="inlineStr">
        <is>
          <t>Realization Growth % (est)</t>
        </is>
      </c>
      <c r="B30" s="578" t="inlineStr">
        <is>
          <t>-</t>
        </is>
      </c>
      <c r="C30" s="578" t="inlineStr">
        <is>
          <t>-</t>
        </is>
      </c>
      <c r="D30" s="578" t="inlineStr">
        <is>
          <t>-</t>
        </is>
      </c>
      <c r="E30" s="578" t="inlineStr">
        <is>
          <t>-</t>
        </is>
      </c>
      <c r="F30" s="578" t="inlineStr">
        <is>
          <t>-</t>
        </is>
      </c>
      <c r="G30" s="580" t="n">
        <v>0.066</v>
      </c>
      <c r="H30" s="580" t="n">
        <v>0.08800000000000001</v>
      </c>
      <c r="I30" s="580" t="n">
        <v>0.074</v>
      </c>
      <c r="J30" s="580" t="n">
        <v>0.0608</v>
      </c>
      <c r="K30" s="580" t="n">
        <v>0.0512</v>
      </c>
    </row>
    <row r="31">
      <c r="A31" s="574" t="inlineStr">
        <is>
          <t>Revenue Growth %</t>
        </is>
      </c>
      <c r="B31" s="582" t="inlineStr">
        <is>
          <t>-</t>
        </is>
      </c>
      <c r="C31" s="582" t="inlineStr">
        <is>
          <t>-</t>
        </is>
      </c>
      <c r="D31" s="582" t="inlineStr">
        <is>
          <t>-</t>
        </is>
      </c>
      <c r="E31" s="582" t="inlineStr">
        <is>
          <t>-</t>
        </is>
      </c>
      <c r="F31" s="582" t="inlineStr">
        <is>
          <t>-</t>
        </is>
      </c>
      <c r="G31" s="580" t="n">
        <v>0.165</v>
      </c>
      <c r="H31" s="580" t="n">
        <v>0.22</v>
      </c>
      <c r="I31" s="580" t="n">
        <v>0.185</v>
      </c>
      <c r="J31" s="580" t="n">
        <v>0.152</v>
      </c>
      <c r="K31" s="580" t="n">
        <v>0.128</v>
      </c>
    </row>
    <row r="32">
      <c r="A32" s="577" t="inlineStr">
        <is>
          <t>EBITDA Margin %</t>
        </is>
      </c>
      <c r="B32" s="579" t="n">
        <v>0.09814655191865949</v>
      </c>
      <c r="C32" s="579" t="n">
        <v>0.0739091623223595</v>
      </c>
      <c r="D32" s="579" t="n">
        <v>0.09094360515700388</v>
      </c>
      <c r="E32" s="579" t="n">
        <v>0.08484608803314747</v>
      </c>
      <c r="F32" s="579" t="n">
        <v>0.1019700980242751</v>
      </c>
      <c r="G32" s="580" t="n">
        <v>0.0370000000000001</v>
      </c>
      <c r="H32" s="580" t="n">
        <v>0.04500000000000002</v>
      </c>
      <c r="I32" s="580" t="n">
        <v>0.06200000000000005</v>
      </c>
      <c r="J32" s="580" t="n">
        <v>0.07400000000000015</v>
      </c>
      <c r="K32" s="580" t="n">
        <v>0.08399999999999985</v>
      </c>
    </row>
    <row r="33">
      <c r="A33" s="574" t="inlineStr">
        <is>
          <t>Capex (₹ Cr)</t>
        </is>
      </c>
      <c r="B33" s="582" t="inlineStr">
        <is>
          <t>-</t>
        </is>
      </c>
      <c r="C33" s="582" t="inlineStr">
        <is>
          <t>-</t>
        </is>
      </c>
      <c r="D33" s="582" t="inlineStr">
        <is>
          <t>-</t>
        </is>
      </c>
      <c r="E33" s="582" t="inlineStr">
        <is>
          <t>-</t>
        </is>
      </c>
      <c r="F33" s="582" t="inlineStr">
        <is>
          <t>-</t>
        </is>
      </c>
      <c r="G33" s="576" t="n">
        <v>385</v>
      </c>
      <c r="H33" s="576" t="n">
        <v>630</v>
      </c>
      <c r="I33" s="576" t="n">
        <v>450</v>
      </c>
      <c r="J33" s="576" t="n">
        <v>320</v>
      </c>
      <c r="K33" s="576" t="n">
        <v>280</v>
      </c>
    </row>
    <row r="34">
      <c r="A34" s="577" t="inlineStr">
        <is>
          <t>Working Capital Days</t>
        </is>
      </c>
      <c r="B34" s="578" t="inlineStr">
        <is>
          <t>-</t>
        </is>
      </c>
      <c r="C34" s="578" t="inlineStr">
        <is>
          <t>-</t>
        </is>
      </c>
      <c r="D34" s="578" t="inlineStr">
        <is>
          <t>-</t>
        </is>
      </c>
      <c r="E34" s="578" t="inlineStr">
        <is>
          <t>-</t>
        </is>
      </c>
      <c r="F34" s="578" t="inlineStr">
        <is>
          <t>-</t>
        </is>
      </c>
      <c r="G34" s="593" t="n">
        <v>117</v>
      </c>
      <c r="H34" s="593" t="n">
        <v>111</v>
      </c>
      <c r="I34" s="593" t="n">
        <v>107</v>
      </c>
      <c r="J34" s="593" t="n">
        <v>103</v>
      </c>
      <c r="K34" s="593" t="n">
        <v>100</v>
      </c>
    </row>
  </sheetData>
  <mergeCells count="5">
    <mergeCell ref="A2:K2"/>
    <mergeCell ref="A28:K28"/>
    <mergeCell ref="A5:K5"/>
    <mergeCell ref="A1:K1"/>
    <mergeCell ref="A23:K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571" t="inlineStr">
        <is>
          <t>GRAVITA INDIA LTD — Standardised Financial Statements</t>
        </is>
      </c>
    </row>
    <row r="2" ht="18" customHeight="1">
      <c r="A2" s="572" t="inlineStr">
        <is>
          <t>Cells link directly to P&amp;L / Balance Sheet / Cash Flow sheets (fully dynamic)</t>
        </is>
      </c>
    </row>
    <row r="4" ht="22" customHeight="1">
      <c r="A4" s="542" t="inlineStr">
        <is>
          <t>Particulars</t>
        </is>
      </c>
      <c r="B4" s="542" t="inlineStr">
        <is>
          <t>FY21A</t>
        </is>
      </c>
      <c r="C4" s="542" t="inlineStr">
        <is>
          <t>FY22A</t>
        </is>
      </c>
      <c r="D4" s="542" t="inlineStr">
        <is>
          <t>FY23A</t>
        </is>
      </c>
      <c r="E4" s="542" t="inlineStr">
        <is>
          <t>FY24A</t>
        </is>
      </c>
      <c r="F4" s="542" t="inlineStr">
        <is>
          <t>FY25A</t>
        </is>
      </c>
      <c r="G4" s="542" t="inlineStr">
        <is>
          <t>FY26A</t>
        </is>
      </c>
      <c r="H4" s="543" t="inlineStr">
        <is>
          <t>FY27E</t>
        </is>
      </c>
      <c r="I4" s="543" t="inlineStr">
        <is>
          <t>FY28E</t>
        </is>
      </c>
      <c r="J4" s="543" t="inlineStr">
        <is>
          <t>FY29E</t>
        </is>
      </c>
      <c r="K4" s="543" t="inlineStr">
        <is>
          <t>FY30E</t>
        </is>
      </c>
      <c r="L4" s="543" t="inlineStr">
        <is>
          <t>FY31E</t>
        </is>
      </c>
    </row>
    <row r="5" ht="20" customHeight="1">
      <c r="A5" s="573" t="inlineStr">
        <is>
          <t>PROFIT &amp; LOSS</t>
        </is>
      </c>
    </row>
    <row r="6">
      <c r="A6" s="597" t="inlineStr">
        <is>
          <t>Revenue</t>
        </is>
      </c>
      <c r="B6" s="598">
        <f>'P&amp;L'!B3</f>
        <v/>
      </c>
      <c r="C6" s="598">
        <f>'P&amp;L'!C3</f>
        <v/>
      </c>
      <c r="D6" s="598">
        <f>'P&amp;L'!D3</f>
        <v/>
      </c>
      <c r="E6" s="598">
        <f>'P&amp;L'!E3</f>
        <v/>
      </c>
      <c r="F6" s="598">
        <f>'P&amp;L'!F3</f>
        <v/>
      </c>
      <c r="G6" s="598">
        <f>'P&amp;L'!G3</f>
        <v/>
      </c>
      <c r="H6" s="599">
        <f>'P&amp;L'!H3</f>
        <v/>
      </c>
      <c r="I6" s="599">
        <f>'P&amp;L'!I3</f>
        <v/>
      </c>
      <c r="J6" s="599">
        <f>'P&amp;L'!J3</f>
        <v/>
      </c>
      <c r="K6" s="599">
        <f>'P&amp;L'!K3</f>
        <v/>
      </c>
      <c r="L6" s="599">
        <f>'P&amp;L'!L3</f>
        <v/>
      </c>
    </row>
    <row r="7">
      <c r="A7" s="597" t="inlineStr">
        <is>
          <t>Raw Material Cost</t>
        </is>
      </c>
      <c r="B7" s="598">
        <f>'P&amp;L'!B4</f>
        <v/>
      </c>
      <c r="C7" s="598">
        <f>'P&amp;L'!C4</f>
        <v/>
      </c>
      <c r="D7" s="598">
        <f>'P&amp;L'!D4</f>
        <v/>
      </c>
      <c r="E7" s="598">
        <f>'P&amp;L'!E4</f>
        <v/>
      </c>
      <c r="F7" s="598">
        <f>'P&amp;L'!F4</f>
        <v/>
      </c>
      <c r="G7" s="598">
        <f>'P&amp;L'!G4</f>
        <v/>
      </c>
      <c r="H7" s="599">
        <f>'P&amp;L'!H4</f>
        <v/>
      </c>
      <c r="I7" s="599">
        <f>'P&amp;L'!I4</f>
        <v/>
      </c>
      <c r="J7" s="599">
        <f>'P&amp;L'!J4</f>
        <v/>
      </c>
      <c r="K7" s="599">
        <f>'P&amp;L'!K4</f>
        <v/>
      </c>
      <c r="L7" s="599">
        <f>'P&amp;L'!L4</f>
        <v/>
      </c>
    </row>
    <row r="8">
      <c r="A8" s="597" t="inlineStr">
        <is>
          <t>Employee Cost</t>
        </is>
      </c>
      <c r="B8" s="598">
        <f>'P&amp;L'!B6</f>
        <v/>
      </c>
      <c r="C8" s="598">
        <f>'P&amp;L'!C6</f>
        <v/>
      </c>
      <c r="D8" s="598">
        <f>'P&amp;L'!D6</f>
        <v/>
      </c>
      <c r="E8" s="598">
        <f>'P&amp;L'!E6</f>
        <v/>
      </c>
      <c r="F8" s="598">
        <f>'P&amp;L'!F6</f>
        <v/>
      </c>
      <c r="G8" s="598">
        <f>'P&amp;L'!G6</f>
        <v/>
      </c>
      <c r="H8" s="599">
        <f>'P&amp;L'!H6</f>
        <v/>
      </c>
      <c r="I8" s="599">
        <f>'P&amp;L'!I6</f>
        <v/>
      </c>
      <c r="J8" s="599">
        <f>'P&amp;L'!J6</f>
        <v/>
      </c>
      <c r="K8" s="599">
        <f>'P&amp;L'!K6</f>
        <v/>
      </c>
      <c r="L8" s="599">
        <f>'P&amp;L'!L6</f>
        <v/>
      </c>
    </row>
    <row r="9">
      <c r="A9" s="597" t="inlineStr">
        <is>
          <t>Other Operating Expenses</t>
        </is>
      </c>
      <c r="B9" s="598">
        <f>'P&amp;L'!B5+'P&amp;L'!B7+'P&amp;L'!B8+'P&amp;L'!B9+'P&amp;L'!B10</f>
        <v/>
      </c>
      <c r="C9" s="598">
        <f>'P&amp;L'!C5+'P&amp;L'!C7+'P&amp;L'!C8+'P&amp;L'!C9+'P&amp;L'!C10</f>
        <v/>
      </c>
      <c r="D9" s="598">
        <f>'P&amp;L'!D5+'P&amp;L'!D7+'P&amp;L'!D8+'P&amp;L'!D9+'P&amp;L'!D10</f>
        <v/>
      </c>
      <c r="E9" s="598">
        <f>'P&amp;L'!E5+'P&amp;L'!E7+'P&amp;L'!E8+'P&amp;L'!E9+'P&amp;L'!E10</f>
        <v/>
      </c>
      <c r="F9" s="598">
        <f>'P&amp;L'!F5+'P&amp;L'!F7+'P&amp;L'!F8+'P&amp;L'!F9+'P&amp;L'!F10</f>
        <v/>
      </c>
      <c r="G9" s="598">
        <f>'P&amp;L'!G5+'P&amp;L'!G7+'P&amp;L'!G8+'P&amp;L'!G9+'P&amp;L'!G10</f>
        <v/>
      </c>
      <c r="H9" s="599">
        <f>'P&amp;L'!H5+'P&amp;L'!H7+'P&amp;L'!H8+'P&amp;L'!H9+'P&amp;L'!H10</f>
        <v/>
      </c>
      <c r="I9" s="599">
        <f>'P&amp;L'!I5+'P&amp;L'!I7+'P&amp;L'!I8+'P&amp;L'!I9+'P&amp;L'!I10</f>
        <v/>
      </c>
      <c r="J9" s="599">
        <f>'P&amp;L'!J5+'P&amp;L'!J7+'P&amp;L'!J8+'P&amp;L'!J9+'P&amp;L'!J10</f>
        <v/>
      </c>
      <c r="K9" s="599">
        <f>'P&amp;L'!K5+'P&amp;L'!K7+'P&amp;L'!K8+'P&amp;L'!K9+'P&amp;L'!K10</f>
        <v/>
      </c>
      <c r="L9" s="599">
        <f>'P&amp;L'!L5+'P&amp;L'!L7+'P&amp;L'!L8+'P&amp;L'!L9+'P&amp;L'!L10</f>
        <v/>
      </c>
    </row>
    <row r="10">
      <c r="A10" s="597" t="inlineStr">
        <is>
          <t>EBITDA</t>
        </is>
      </c>
      <c r="B10" s="598">
        <f>'P&amp;L'!B12</f>
        <v/>
      </c>
      <c r="C10" s="598">
        <f>'P&amp;L'!C12</f>
        <v/>
      </c>
      <c r="D10" s="598">
        <f>'P&amp;L'!D12</f>
        <v/>
      </c>
      <c r="E10" s="598">
        <f>'P&amp;L'!E12</f>
        <v/>
      </c>
      <c r="F10" s="598">
        <f>'P&amp;L'!F12</f>
        <v/>
      </c>
      <c r="G10" s="598">
        <f>'P&amp;L'!G12</f>
        <v/>
      </c>
      <c r="H10" s="599">
        <f>'P&amp;L'!H12</f>
        <v/>
      </c>
      <c r="I10" s="599">
        <f>'P&amp;L'!I12</f>
        <v/>
      </c>
      <c r="J10" s="599">
        <f>'P&amp;L'!J12</f>
        <v/>
      </c>
      <c r="K10" s="599">
        <f>'P&amp;L'!K12</f>
        <v/>
      </c>
      <c r="L10" s="599">
        <f>'P&amp;L'!L12</f>
        <v/>
      </c>
    </row>
    <row r="11">
      <c r="A11" s="597" t="inlineStr">
        <is>
          <t>EBITDA Margin %</t>
        </is>
      </c>
      <c r="B11" s="600">
        <f>IF('P&amp;L'!B3=0,0,'P&amp;L'!B12/'P&amp;L'!B3)</f>
        <v/>
      </c>
      <c r="C11" s="600">
        <f>IF('P&amp;L'!C3=0,0,'P&amp;L'!C12/'P&amp;L'!C3)</f>
        <v/>
      </c>
      <c r="D11" s="600">
        <f>IF('P&amp;L'!D3=0,0,'P&amp;L'!D12/'P&amp;L'!D3)</f>
        <v/>
      </c>
      <c r="E11" s="600">
        <f>IF('P&amp;L'!E3=0,0,'P&amp;L'!E12/'P&amp;L'!E3)</f>
        <v/>
      </c>
      <c r="F11" s="600">
        <f>IF('P&amp;L'!F3=0,0,'P&amp;L'!F12/'P&amp;L'!F3)</f>
        <v/>
      </c>
      <c r="G11" s="600">
        <f>IF('P&amp;L'!G3=0,0,'P&amp;L'!G12/'P&amp;L'!G3)</f>
        <v/>
      </c>
      <c r="H11" s="601">
        <f>IF('P&amp;L'!H3=0,0,'P&amp;L'!H12/'P&amp;L'!H3)</f>
        <v/>
      </c>
      <c r="I11" s="601">
        <f>IF('P&amp;L'!I3=0,0,'P&amp;L'!I12/'P&amp;L'!I3)</f>
        <v/>
      </c>
      <c r="J11" s="601">
        <f>IF('P&amp;L'!J3=0,0,'P&amp;L'!J12/'P&amp;L'!J3)</f>
        <v/>
      </c>
      <c r="K11" s="601">
        <f>IF('P&amp;L'!K3=0,0,'P&amp;L'!K12/'P&amp;L'!K3)</f>
        <v/>
      </c>
      <c r="L11" s="601">
        <f>IF('P&amp;L'!L3=0,0,'P&amp;L'!L12/'P&amp;L'!L3)</f>
        <v/>
      </c>
    </row>
    <row r="12">
      <c r="A12" s="597" t="inlineStr">
        <is>
          <t>Depreciation</t>
        </is>
      </c>
      <c r="B12" s="598">
        <f>'P&amp;L'!B15</f>
        <v/>
      </c>
      <c r="C12" s="598">
        <f>'P&amp;L'!C15</f>
        <v/>
      </c>
      <c r="D12" s="598">
        <f>'P&amp;L'!D15</f>
        <v/>
      </c>
      <c r="E12" s="598">
        <f>'P&amp;L'!E15</f>
        <v/>
      </c>
      <c r="F12" s="598">
        <f>'P&amp;L'!F15</f>
        <v/>
      </c>
      <c r="G12" s="598">
        <f>'P&amp;L'!G15</f>
        <v/>
      </c>
      <c r="H12" s="599">
        <f>'P&amp;L'!H15</f>
        <v/>
      </c>
      <c r="I12" s="599">
        <f>'P&amp;L'!I15</f>
        <v/>
      </c>
      <c r="J12" s="599">
        <f>'P&amp;L'!J15</f>
        <v/>
      </c>
      <c r="K12" s="599">
        <f>'P&amp;L'!K15</f>
        <v/>
      </c>
      <c r="L12" s="599">
        <f>'P&amp;L'!L15</f>
        <v/>
      </c>
    </row>
    <row r="13">
      <c r="A13" s="597" t="inlineStr">
        <is>
          <t>EBIT</t>
        </is>
      </c>
      <c r="B13" s="598">
        <f>'P&amp;L'!B16</f>
        <v/>
      </c>
      <c r="C13" s="598">
        <f>'P&amp;L'!C16</f>
        <v/>
      </c>
      <c r="D13" s="598">
        <f>'P&amp;L'!D16</f>
        <v/>
      </c>
      <c r="E13" s="598">
        <f>'P&amp;L'!E16</f>
        <v/>
      </c>
      <c r="F13" s="598">
        <f>'P&amp;L'!F16</f>
        <v/>
      </c>
      <c r="G13" s="598">
        <f>'P&amp;L'!G16</f>
        <v/>
      </c>
      <c r="H13" s="599">
        <f>'P&amp;L'!H16</f>
        <v/>
      </c>
      <c r="I13" s="599">
        <f>'P&amp;L'!I16</f>
        <v/>
      </c>
      <c r="J13" s="599">
        <f>'P&amp;L'!J16</f>
        <v/>
      </c>
      <c r="K13" s="599">
        <f>'P&amp;L'!K16</f>
        <v/>
      </c>
      <c r="L13" s="599">
        <f>'P&amp;L'!L16</f>
        <v/>
      </c>
    </row>
    <row r="14">
      <c r="A14" s="597" t="inlineStr">
        <is>
          <t>Interest</t>
        </is>
      </c>
      <c r="B14" s="598">
        <f>'P&amp;L'!B17</f>
        <v/>
      </c>
      <c r="C14" s="598">
        <f>'P&amp;L'!C17</f>
        <v/>
      </c>
      <c r="D14" s="598">
        <f>'P&amp;L'!D17</f>
        <v/>
      </c>
      <c r="E14" s="598">
        <f>'P&amp;L'!E17</f>
        <v/>
      </c>
      <c r="F14" s="598">
        <f>'P&amp;L'!F17</f>
        <v/>
      </c>
      <c r="G14" s="598">
        <f>'P&amp;L'!G17</f>
        <v/>
      </c>
      <c r="H14" s="599">
        <f>'P&amp;L'!H17</f>
        <v/>
      </c>
      <c r="I14" s="599">
        <f>'P&amp;L'!I17</f>
        <v/>
      </c>
      <c r="J14" s="599">
        <f>'P&amp;L'!J17</f>
        <v/>
      </c>
      <c r="K14" s="599">
        <f>'P&amp;L'!K17</f>
        <v/>
      </c>
      <c r="L14" s="599">
        <f>'P&amp;L'!L17</f>
        <v/>
      </c>
    </row>
    <row r="15">
      <c r="A15" s="597" t="inlineStr">
        <is>
          <t>Other Income</t>
        </is>
      </c>
      <c r="B15" s="598">
        <f>'P&amp;L'!B14</f>
        <v/>
      </c>
      <c r="C15" s="598">
        <f>'P&amp;L'!C14</f>
        <v/>
      </c>
      <c r="D15" s="598">
        <f>'P&amp;L'!D14</f>
        <v/>
      </c>
      <c r="E15" s="598">
        <f>'P&amp;L'!E14</f>
        <v/>
      </c>
      <c r="F15" s="598">
        <f>'P&amp;L'!F14</f>
        <v/>
      </c>
      <c r="G15" s="598">
        <f>'P&amp;L'!G14</f>
        <v/>
      </c>
      <c r="H15" s="599">
        <f>'P&amp;L'!H14</f>
        <v/>
      </c>
      <c r="I15" s="599">
        <f>'P&amp;L'!I14</f>
        <v/>
      </c>
      <c r="J15" s="599">
        <f>'P&amp;L'!J14</f>
        <v/>
      </c>
      <c r="K15" s="599">
        <f>'P&amp;L'!K14</f>
        <v/>
      </c>
      <c r="L15" s="599">
        <f>'P&amp;L'!L14</f>
        <v/>
      </c>
    </row>
    <row r="16">
      <c r="A16" s="597" t="inlineStr">
        <is>
          <t>PBT</t>
        </is>
      </c>
      <c r="B16" s="598">
        <f>'P&amp;L'!B18</f>
        <v/>
      </c>
      <c r="C16" s="598">
        <f>'P&amp;L'!C18</f>
        <v/>
      </c>
      <c r="D16" s="598">
        <f>'P&amp;L'!D18</f>
        <v/>
      </c>
      <c r="E16" s="598">
        <f>'P&amp;L'!E18</f>
        <v/>
      </c>
      <c r="F16" s="598">
        <f>'P&amp;L'!F18</f>
        <v/>
      </c>
      <c r="G16" s="598">
        <f>'P&amp;L'!G18</f>
        <v/>
      </c>
      <c r="H16" s="599">
        <f>'P&amp;L'!H18</f>
        <v/>
      </c>
      <c r="I16" s="599">
        <f>'P&amp;L'!I18</f>
        <v/>
      </c>
      <c r="J16" s="599">
        <f>'P&amp;L'!J18</f>
        <v/>
      </c>
      <c r="K16" s="599">
        <f>'P&amp;L'!K18</f>
        <v/>
      </c>
      <c r="L16" s="599">
        <f>'P&amp;L'!L18</f>
        <v/>
      </c>
    </row>
    <row r="17">
      <c r="A17" s="597" t="inlineStr">
        <is>
          <t>Tax</t>
        </is>
      </c>
      <c r="B17" s="598">
        <f>'P&amp;L'!B19</f>
        <v/>
      </c>
      <c r="C17" s="598">
        <f>'P&amp;L'!C19</f>
        <v/>
      </c>
      <c r="D17" s="598">
        <f>'P&amp;L'!D19</f>
        <v/>
      </c>
      <c r="E17" s="598">
        <f>'P&amp;L'!E19</f>
        <v/>
      </c>
      <c r="F17" s="598">
        <f>'P&amp;L'!F19</f>
        <v/>
      </c>
      <c r="G17" s="598">
        <f>'P&amp;L'!G19</f>
        <v/>
      </c>
      <c r="H17" s="599">
        <f>'P&amp;L'!H19</f>
        <v/>
      </c>
      <c r="I17" s="599">
        <f>'P&amp;L'!I19</f>
        <v/>
      </c>
      <c r="J17" s="599">
        <f>'P&amp;L'!J19</f>
        <v/>
      </c>
      <c r="K17" s="599">
        <f>'P&amp;L'!K19</f>
        <v/>
      </c>
      <c r="L17" s="599">
        <f>'P&amp;L'!L19</f>
        <v/>
      </c>
    </row>
    <row r="18">
      <c r="A18" s="597" t="inlineStr">
        <is>
          <t>PAT</t>
        </is>
      </c>
      <c r="B18" s="598">
        <f>'P&amp;L'!B20</f>
        <v/>
      </c>
      <c r="C18" s="598">
        <f>'P&amp;L'!C20</f>
        <v/>
      </c>
      <c r="D18" s="598">
        <f>'P&amp;L'!D20</f>
        <v/>
      </c>
      <c r="E18" s="598">
        <f>'P&amp;L'!E20</f>
        <v/>
      </c>
      <c r="F18" s="598">
        <f>'P&amp;L'!F20</f>
        <v/>
      </c>
      <c r="G18" s="598">
        <f>'P&amp;L'!G20</f>
        <v/>
      </c>
      <c r="H18" s="599">
        <f>'P&amp;L'!H20</f>
        <v/>
      </c>
      <c r="I18" s="599">
        <f>'P&amp;L'!I20</f>
        <v/>
      </c>
      <c r="J18" s="599">
        <f>'P&amp;L'!J20</f>
        <v/>
      </c>
      <c r="K18" s="599">
        <f>'P&amp;L'!K20</f>
        <v/>
      </c>
      <c r="L18" s="599">
        <f>'P&amp;L'!L20</f>
        <v/>
      </c>
    </row>
    <row r="19">
      <c r="A19" s="597" t="inlineStr">
        <is>
          <t>EPS (₹)</t>
        </is>
      </c>
      <c r="B19" s="602">
        <f>'P&amp;L'!B20/7.3800</f>
        <v/>
      </c>
      <c r="C19" s="602">
        <f>'P&amp;L'!C20/7.3800</f>
        <v/>
      </c>
      <c r="D19" s="602">
        <f>'P&amp;L'!D20/7.3800</f>
        <v/>
      </c>
      <c r="E19" s="602">
        <f>'P&amp;L'!E20/7.3800</f>
        <v/>
      </c>
      <c r="F19" s="602">
        <f>'P&amp;L'!F20/7.3800</f>
        <v/>
      </c>
      <c r="G19" s="602">
        <f>'P&amp;L'!G20/7.3800</f>
        <v/>
      </c>
      <c r="H19" s="603">
        <f>'P&amp;L'!H20/7.3800</f>
        <v/>
      </c>
      <c r="I19" s="603">
        <f>'P&amp;L'!I20/7.3800</f>
        <v/>
      </c>
      <c r="J19" s="603">
        <f>'P&amp;L'!J20/7.3800</f>
        <v/>
      </c>
      <c r="K19" s="603">
        <f>'P&amp;L'!K20/7.3800</f>
        <v/>
      </c>
      <c r="L19" s="603">
        <f>'P&amp;L'!L20/7.3800</f>
        <v/>
      </c>
    </row>
    <row r="20" ht="20" customHeight="1">
      <c r="A20" s="573" t="inlineStr">
        <is>
          <t>BALANCE SHEET</t>
        </is>
      </c>
    </row>
    <row r="21">
      <c r="A21" s="597" t="inlineStr">
        <is>
          <t>Equity Capital</t>
        </is>
      </c>
      <c r="B21" s="598">
        <f>'Balance Sheet'!B3</f>
        <v/>
      </c>
      <c r="C21" s="598">
        <f>'Balance Sheet'!C3</f>
        <v/>
      </c>
      <c r="D21" s="598">
        <f>'Balance Sheet'!D3</f>
        <v/>
      </c>
      <c r="E21" s="598">
        <f>'Balance Sheet'!E3</f>
        <v/>
      </c>
      <c r="F21" s="598">
        <f>'Balance Sheet'!F3</f>
        <v/>
      </c>
      <c r="G21" s="598">
        <f>'Balance Sheet'!G3</f>
        <v/>
      </c>
      <c r="H21" s="599">
        <f>'Balance Sheet'!H3</f>
        <v/>
      </c>
      <c r="I21" s="599">
        <f>'Balance Sheet'!I3</f>
        <v/>
      </c>
      <c r="J21" s="599">
        <f>'Balance Sheet'!J3</f>
        <v/>
      </c>
      <c r="K21" s="599">
        <f>'Balance Sheet'!K3</f>
        <v/>
      </c>
      <c r="L21" s="599">
        <f>'Balance Sheet'!L3</f>
        <v/>
      </c>
    </row>
    <row r="22">
      <c r="A22" s="597" t="inlineStr">
        <is>
          <t>Reserves &amp; Surplus</t>
        </is>
      </c>
      <c r="B22" s="598">
        <f>'Balance Sheet'!B4</f>
        <v/>
      </c>
      <c r="C22" s="598">
        <f>'Balance Sheet'!C4</f>
        <v/>
      </c>
      <c r="D22" s="598">
        <f>'Balance Sheet'!D4</f>
        <v/>
      </c>
      <c r="E22" s="598">
        <f>'Balance Sheet'!E4</f>
        <v/>
      </c>
      <c r="F22" s="598">
        <f>'Balance Sheet'!F4</f>
        <v/>
      </c>
      <c r="G22" s="598">
        <f>'Balance Sheet'!G4</f>
        <v/>
      </c>
      <c r="H22" s="599">
        <f>'Balance Sheet'!H4</f>
        <v/>
      </c>
      <c r="I22" s="599">
        <f>'Balance Sheet'!I4</f>
        <v/>
      </c>
      <c r="J22" s="599">
        <f>'Balance Sheet'!J4</f>
        <v/>
      </c>
      <c r="K22" s="599">
        <f>'Balance Sheet'!K4</f>
        <v/>
      </c>
      <c r="L22" s="599">
        <f>'Balance Sheet'!L4</f>
        <v/>
      </c>
    </row>
    <row r="23">
      <c r="A23" s="597" t="inlineStr">
        <is>
          <t>Net Worth</t>
        </is>
      </c>
      <c r="B23" s="598">
        <f>'Balance Sheet'!B5</f>
        <v/>
      </c>
      <c r="C23" s="598">
        <f>'Balance Sheet'!C5</f>
        <v/>
      </c>
      <c r="D23" s="598">
        <f>'Balance Sheet'!D5</f>
        <v/>
      </c>
      <c r="E23" s="598">
        <f>'Balance Sheet'!E5</f>
        <v/>
      </c>
      <c r="F23" s="598">
        <f>'Balance Sheet'!F5</f>
        <v/>
      </c>
      <c r="G23" s="598">
        <f>'Balance Sheet'!G5</f>
        <v/>
      </c>
      <c r="H23" s="599">
        <f>'Balance Sheet'!H5</f>
        <v/>
      </c>
      <c r="I23" s="599">
        <f>'Balance Sheet'!I5</f>
        <v/>
      </c>
      <c r="J23" s="599">
        <f>'Balance Sheet'!J5</f>
        <v/>
      </c>
      <c r="K23" s="599">
        <f>'Balance Sheet'!K5</f>
        <v/>
      </c>
      <c r="L23" s="599">
        <f>'Balance Sheet'!L5</f>
        <v/>
      </c>
    </row>
    <row r="24">
      <c r="A24" s="597" t="inlineStr">
        <is>
          <t>Total Debt</t>
        </is>
      </c>
      <c r="B24" s="598">
        <f>'Balance Sheet'!B6</f>
        <v/>
      </c>
      <c r="C24" s="598">
        <f>'Balance Sheet'!C6</f>
        <v/>
      </c>
      <c r="D24" s="598">
        <f>'Balance Sheet'!D6</f>
        <v/>
      </c>
      <c r="E24" s="598">
        <f>'Balance Sheet'!E6</f>
        <v/>
      </c>
      <c r="F24" s="598">
        <f>'Balance Sheet'!F6</f>
        <v/>
      </c>
      <c r="G24" s="598">
        <f>'Balance Sheet'!G6</f>
        <v/>
      </c>
      <c r="H24" s="599">
        <f>'Balance Sheet'!H6</f>
        <v/>
      </c>
      <c r="I24" s="599">
        <f>'Balance Sheet'!I6</f>
        <v/>
      </c>
      <c r="J24" s="599">
        <f>'Balance Sheet'!J6</f>
        <v/>
      </c>
      <c r="K24" s="599">
        <f>'Balance Sheet'!K6</f>
        <v/>
      </c>
      <c r="L24" s="599">
        <f>'Balance Sheet'!L6</f>
        <v/>
      </c>
    </row>
    <row r="25">
      <c r="A25" s="597" t="inlineStr">
        <is>
          <t>Other Liabilities</t>
        </is>
      </c>
      <c r="B25" s="598">
        <f>'Balance Sheet'!B7</f>
        <v/>
      </c>
      <c r="C25" s="598">
        <f>'Balance Sheet'!C7</f>
        <v/>
      </c>
      <c r="D25" s="598">
        <f>'Balance Sheet'!D7</f>
        <v/>
      </c>
      <c r="E25" s="598">
        <f>'Balance Sheet'!E7</f>
        <v/>
      </c>
      <c r="F25" s="598">
        <f>'Balance Sheet'!F7</f>
        <v/>
      </c>
      <c r="G25" s="598">
        <f>'Balance Sheet'!G7</f>
        <v/>
      </c>
      <c r="H25" s="599">
        <f>'Balance Sheet'!H7</f>
        <v/>
      </c>
      <c r="I25" s="599">
        <f>'Balance Sheet'!I7</f>
        <v/>
      </c>
      <c r="J25" s="599">
        <f>'Balance Sheet'!J7</f>
        <v/>
      </c>
      <c r="K25" s="599">
        <f>'Balance Sheet'!K7</f>
        <v/>
      </c>
      <c r="L25" s="599">
        <f>'Balance Sheet'!L7</f>
        <v/>
      </c>
    </row>
    <row r="26">
      <c r="A26" s="597" t="inlineStr">
        <is>
          <t>Total Liabilities &amp; Equity</t>
        </is>
      </c>
      <c r="B26" s="598">
        <f>'Balance Sheet'!B8</f>
        <v/>
      </c>
      <c r="C26" s="598">
        <f>'Balance Sheet'!C8</f>
        <v/>
      </c>
      <c r="D26" s="598">
        <f>'Balance Sheet'!D8</f>
        <v/>
      </c>
      <c r="E26" s="598">
        <f>'Balance Sheet'!E8</f>
        <v/>
      </c>
      <c r="F26" s="598">
        <f>'Balance Sheet'!F8</f>
        <v/>
      </c>
      <c r="G26" s="598">
        <f>'Balance Sheet'!G8</f>
        <v/>
      </c>
      <c r="H26" s="599">
        <f>'Balance Sheet'!H8</f>
        <v/>
      </c>
      <c r="I26" s="599">
        <f>'Balance Sheet'!I8</f>
        <v/>
      </c>
      <c r="J26" s="599">
        <f>'Balance Sheet'!J8</f>
        <v/>
      </c>
      <c r="K26" s="599">
        <f>'Balance Sheet'!K8</f>
        <v/>
      </c>
      <c r="L26" s="599">
        <f>'Balance Sheet'!L8</f>
        <v/>
      </c>
    </row>
    <row r="27">
      <c r="A27" s="597" t="inlineStr">
        <is>
          <t>Working Capital</t>
        </is>
      </c>
      <c r="B27" s="598">
        <f>'Balance Sheet'!B14+'Balance Sheet'!B15</f>
        <v/>
      </c>
      <c r="C27" s="598">
        <f>'Balance Sheet'!C14+'Balance Sheet'!C15</f>
        <v/>
      </c>
      <c r="D27" s="598">
        <f>'Balance Sheet'!D14+'Balance Sheet'!D15</f>
        <v/>
      </c>
      <c r="E27" s="598">
        <f>'Balance Sheet'!E14+'Balance Sheet'!E15</f>
        <v/>
      </c>
      <c r="F27" s="598">
        <f>'Balance Sheet'!F14+'Balance Sheet'!F15</f>
        <v/>
      </c>
      <c r="G27" s="598">
        <f>'Balance Sheet'!G14+'Balance Sheet'!G15</f>
        <v/>
      </c>
      <c r="H27" s="599">
        <f>'Balance Sheet'!H14+'Balance Sheet'!H15</f>
        <v/>
      </c>
      <c r="I27" s="599">
        <f>'Balance Sheet'!I14+'Balance Sheet'!I15</f>
        <v/>
      </c>
      <c r="J27" s="599">
        <f>'Balance Sheet'!J14+'Balance Sheet'!J15</f>
        <v/>
      </c>
      <c r="K27" s="599">
        <f>'Balance Sheet'!K14+'Balance Sheet'!K15</f>
        <v/>
      </c>
      <c r="L27" s="599">
        <f>'Balance Sheet'!L14+'Balance Sheet'!L15</f>
        <v/>
      </c>
    </row>
    <row r="28">
      <c r="A28" s="597" t="inlineStr">
        <is>
          <t>Total Assets</t>
        </is>
      </c>
      <c r="B28" s="598">
        <f>'Balance Sheet'!B18</f>
        <v/>
      </c>
      <c r="C28" s="598">
        <f>'Balance Sheet'!C18</f>
        <v/>
      </c>
      <c r="D28" s="598">
        <f>'Balance Sheet'!D18</f>
        <v/>
      </c>
      <c r="E28" s="598">
        <f>'Balance Sheet'!E18</f>
        <v/>
      </c>
      <c r="F28" s="598">
        <f>'Balance Sheet'!F18</f>
        <v/>
      </c>
      <c r="G28" s="598">
        <f>'Balance Sheet'!G18</f>
        <v/>
      </c>
      <c r="H28" s="599">
        <f>'Balance Sheet'!H18</f>
        <v/>
      </c>
      <c r="I28" s="599">
        <f>'Balance Sheet'!I18</f>
        <v/>
      </c>
      <c r="J28" s="599">
        <f>'Balance Sheet'!J18</f>
        <v/>
      </c>
      <c r="K28" s="599">
        <f>'Balance Sheet'!K18</f>
        <v/>
      </c>
      <c r="L28" s="599">
        <f>'Balance Sheet'!L18</f>
        <v/>
      </c>
    </row>
    <row r="29" ht="20" customHeight="1">
      <c r="A29" s="573" t="inlineStr">
        <is>
          <t>CASH FLOW</t>
        </is>
      </c>
    </row>
    <row r="30">
      <c r="A30" s="597" t="inlineStr">
        <is>
          <t>CFO</t>
        </is>
      </c>
      <c r="B30" s="598">
        <f>'Cash Flow'!B3</f>
        <v/>
      </c>
      <c r="C30" s="598">
        <f>'Cash Flow'!C3</f>
        <v/>
      </c>
      <c r="D30" s="598">
        <f>'Cash Flow'!D3</f>
        <v/>
      </c>
      <c r="E30" s="598">
        <f>'Cash Flow'!E3</f>
        <v/>
      </c>
      <c r="F30" s="598">
        <f>'Cash Flow'!F3</f>
        <v/>
      </c>
      <c r="G30" s="598">
        <f>'Cash Flow'!G3</f>
        <v/>
      </c>
      <c r="H30" s="599">
        <f>'Cash Flow'!H3</f>
        <v/>
      </c>
      <c r="I30" s="599">
        <f>'Cash Flow'!I3</f>
        <v/>
      </c>
      <c r="J30" s="599">
        <f>'Cash Flow'!J3</f>
        <v/>
      </c>
      <c r="K30" s="599">
        <f>'Cash Flow'!K3</f>
        <v/>
      </c>
      <c r="L30" s="599">
        <f>'Cash Flow'!L3</f>
        <v/>
      </c>
    </row>
    <row r="31">
      <c r="A31" s="597" t="inlineStr">
        <is>
          <t>CFI (Investing)</t>
        </is>
      </c>
      <c r="B31" s="598">
        <f>'Cash Flow'!B4</f>
        <v/>
      </c>
      <c r="C31" s="598">
        <f>'Cash Flow'!C4</f>
        <v/>
      </c>
      <c r="D31" s="598">
        <f>'Cash Flow'!D4</f>
        <v/>
      </c>
      <c r="E31" s="598">
        <f>'Cash Flow'!E4</f>
        <v/>
      </c>
      <c r="F31" s="598">
        <f>'Cash Flow'!F4</f>
        <v/>
      </c>
      <c r="G31" s="598">
        <f>'Cash Flow'!G4</f>
        <v/>
      </c>
      <c r="H31" s="599">
        <f>'Cash Flow'!H4</f>
        <v/>
      </c>
      <c r="I31" s="599">
        <f>'Cash Flow'!I4</f>
        <v/>
      </c>
      <c r="J31" s="599">
        <f>'Cash Flow'!J4</f>
        <v/>
      </c>
      <c r="K31" s="599">
        <f>'Cash Flow'!K4</f>
        <v/>
      </c>
      <c r="L31" s="599">
        <f>'Cash Flow'!L4</f>
        <v/>
      </c>
    </row>
    <row r="32">
      <c r="A32" s="597" t="inlineStr">
        <is>
          <t>CFF (Financing)</t>
        </is>
      </c>
      <c r="B32" s="598">
        <f>'Cash Flow'!B5</f>
        <v/>
      </c>
      <c r="C32" s="598">
        <f>'Cash Flow'!C5</f>
        <v/>
      </c>
      <c r="D32" s="598">
        <f>'Cash Flow'!D5</f>
        <v/>
      </c>
      <c r="E32" s="598">
        <f>'Cash Flow'!E5</f>
        <v/>
      </c>
      <c r="F32" s="598">
        <f>'Cash Flow'!F5</f>
        <v/>
      </c>
      <c r="G32" s="598">
        <f>'Cash Flow'!G5</f>
        <v/>
      </c>
      <c r="H32" s="599">
        <f>'Cash Flow'!H5</f>
        <v/>
      </c>
      <c r="I32" s="599">
        <f>'Cash Flow'!I5</f>
        <v/>
      </c>
      <c r="J32" s="599">
        <f>'Cash Flow'!J5</f>
        <v/>
      </c>
      <c r="K32" s="599">
        <f>'Cash Flow'!K5</f>
        <v/>
      </c>
      <c r="L32" s="599">
        <f>'Cash Flow'!L5</f>
        <v/>
      </c>
    </row>
    <row r="33">
      <c r="A33" s="597" t="inlineStr">
        <is>
          <t>Net Cash Change</t>
        </is>
      </c>
      <c r="B33" s="598">
        <f>'Cash Flow'!B3+'Cash Flow'!B4+'Cash Flow'!B5</f>
        <v/>
      </c>
      <c r="C33" s="598">
        <f>'Cash Flow'!C3+'Cash Flow'!C4+'Cash Flow'!C5</f>
        <v/>
      </c>
      <c r="D33" s="598">
        <f>'Cash Flow'!D3+'Cash Flow'!D4+'Cash Flow'!D5</f>
        <v/>
      </c>
      <c r="E33" s="598">
        <f>'Cash Flow'!E3+'Cash Flow'!E4+'Cash Flow'!E5</f>
        <v/>
      </c>
      <c r="F33" s="598">
        <f>'Cash Flow'!F3+'Cash Flow'!F4+'Cash Flow'!F5</f>
        <v/>
      </c>
      <c r="G33" s="598">
        <f>'Cash Flow'!G3+'Cash Flow'!G4+'Cash Flow'!G5</f>
        <v/>
      </c>
      <c r="H33" s="599">
        <f>'Cash Flow'!H3+'Cash Flow'!H4+'Cash Flow'!H5</f>
        <v/>
      </c>
      <c r="I33" s="599">
        <f>'Cash Flow'!I3+'Cash Flow'!I4+'Cash Flow'!I5</f>
        <v/>
      </c>
      <c r="J33" s="599">
        <f>'Cash Flow'!J3+'Cash Flow'!J4+'Cash Flow'!J5</f>
        <v/>
      </c>
      <c r="K33" s="599">
        <f>'Cash Flow'!K3+'Cash Flow'!K4+'Cash Flow'!K5</f>
        <v/>
      </c>
      <c r="L33" s="599">
        <f>'Cash Flow'!L3+'Cash Flow'!L4+'Cash Flow'!L5</f>
        <v/>
      </c>
    </row>
    <row r="34">
      <c r="A34" s="597" t="inlineStr">
        <is>
          <t>Capex</t>
        </is>
      </c>
      <c r="B34" s="598">
        <f>-'Cash Flow'!B4</f>
        <v/>
      </c>
      <c r="C34" s="598">
        <f>-'Cash Flow'!C4</f>
        <v/>
      </c>
      <c r="D34" s="598">
        <f>-'Cash Flow'!D4</f>
        <v/>
      </c>
      <c r="E34" s="598">
        <f>-'Cash Flow'!E4</f>
        <v/>
      </c>
      <c r="F34" s="598">
        <f>-'Cash Flow'!F4</f>
        <v/>
      </c>
      <c r="G34" s="598">
        <f>-'Cash Flow'!G4</f>
        <v/>
      </c>
      <c r="H34" s="599">
        <f>-'Cash Flow'!H4</f>
        <v/>
      </c>
      <c r="I34" s="599">
        <f>-'Cash Flow'!I4</f>
        <v/>
      </c>
      <c r="J34" s="599">
        <f>-'Cash Flow'!J4</f>
        <v/>
      </c>
      <c r="K34" s="599">
        <f>-'Cash Flow'!K4</f>
        <v/>
      </c>
      <c r="L34" s="599">
        <f>-'Cash Flow'!L4</f>
        <v/>
      </c>
    </row>
    <row r="35">
      <c r="A35" s="597" t="inlineStr">
        <is>
          <t>Free Cash Flow</t>
        </is>
      </c>
      <c r="B35" s="598">
        <f>'Cash Flow'!B3+'Cash Flow'!B4</f>
        <v/>
      </c>
      <c r="C35" s="598">
        <f>'Cash Flow'!C3+'Cash Flow'!C4</f>
        <v/>
      </c>
      <c r="D35" s="598">
        <f>'Cash Flow'!D3+'Cash Flow'!D4</f>
        <v/>
      </c>
      <c r="E35" s="598">
        <f>'Cash Flow'!E3+'Cash Flow'!E4</f>
        <v/>
      </c>
      <c r="F35" s="598">
        <f>'Cash Flow'!F3+'Cash Flow'!F4</f>
        <v/>
      </c>
      <c r="G35" s="598">
        <f>'Cash Flow'!G3+'Cash Flow'!G4</f>
        <v/>
      </c>
      <c r="H35" s="599">
        <f>'Cash Flow'!H3+'Cash Flow'!H4</f>
        <v/>
      </c>
      <c r="I35" s="599">
        <f>'Cash Flow'!I3+'Cash Flow'!I4</f>
        <v/>
      </c>
      <c r="J35" s="599">
        <f>'Cash Flow'!J3+'Cash Flow'!J4</f>
        <v/>
      </c>
      <c r="K35" s="599">
        <f>'Cash Flow'!K3+'Cash Flow'!K4</f>
        <v/>
      </c>
      <c r="L35" s="599">
        <f>'Cash Flow'!L3+'Cash Flow'!L4</f>
        <v/>
      </c>
    </row>
    <row r="36" ht="20" customHeight="1">
      <c r="A36" s="573" t="inlineStr">
        <is>
          <t>KEY RATIOS</t>
        </is>
      </c>
    </row>
    <row r="37">
      <c r="A37" s="597" t="inlineStr">
        <is>
          <t>Gross Margin %</t>
        </is>
      </c>
      <c r="B37" s="600">
        <f>IF('P&amp;L'!B3=0,0,('P&amp;L'!B3-'P&amp;L'!B4)/'P&amp;L'!B3)</f>
        <v/>
      </c>
      <c r="C37" s="600">
        <f>IF('P&amp;L'!C3=0,0,('P&amp;L'!C3-'P&amp;L'!C4)/'P&amp;L'!C3)</f>
        <v/>
      </c>
      <c r="D37" s="600">
        <f>IF('P&amp;L'!D3=0,0,('P&amp;L'!D3-'P&amp;L'!D4)/'P&amp;L'!D3)</f>
        <v/>
      </c>
      <c r="E37" s="600">
        <f>IF('P&amp;L'!E3=0,0,('P&amp;L'!E3-'P&amp;L'!E4)/'P&amp;L'!E3)</f>
        <v/>
      </c>
      <c r="F37" s="600">
        <f>IF('P&amp;L'!F3=0,0,('P&amp;L'!F3-'P&amp;L'!F4)/'P&amp;L'!F3)</f>
        <v/>
      </c>
      <c r="G37" s="600">
        <f>IF('P&amp;L'!G3=0,0,('P&amp;L'!G3-'P&amp;L'!G4)/'P&amp;L'!G3)</f>
        <v/>
      </c>
      <c r="H37" s="601">
        <f>IF('P&amp;L'!H3=0,0,('P&amp;L'!H3-'P&amp;L'!H4)/'P&amp;L'!H3)</f>
        <v/>
      </c>
      <c r="I37" s="601">
        <f>IF('P&amp;L'!I3=0,0,('P&amp;L'!I3-'P&amp;L'!I4)/'P&amp;L'!I3)</f>
        <v/>
      </c>
      <c r="J37" s="601">
        <f>IF('P&amp;L'!J3=0,0,('P&amp;L'!J3-'P&amp;L'!J4)/'P&amp;L'!J3)</f>
        <v/>
      </c>
      <c r="K37" s="601">
        <f>IF('P&amp;L'!K3=0,0,('P&amp;L'!K3-'P&amp;L'!K4)/'P&amp;L'!K3)</f>
        <v/>
      </c>
      <c r="L37" s="601">
        <f>IF('P&amp;L'!L3=0,0,('P&amp;L'!L3-'P&amp;L'!L4)/'P&amp;L'!L3)</f>
        <v/>
      </c>
    </row>
    <row r="38">
      <c r="A38" s="597" t="inlineStr">
        <is>
          <t>EBITDA Margin %</t>
        </is>
      </c>
      <c r="B38" s="600">
        <f>IF('P&amp;L'!B3=0,0,'P&amp;L'!B12/'P&amp;L'!B3)</f>
        <v/>
      </c>
      <c r="C38" s="600">
        <f>IF('P&amp;L'!C3=0,0,'P&amp;L'!C12/'P&amp;L'!C3)</f>
        <v/>
      </c>
      <c r="D38" s="600">
        <f>IF('P&amp;L'!D3=0,0,'P&amp;L'!D12/'P&amp;L'!D3)</f>
        <v/>
      </c>
      <c r="E38" s="600">
        <f>IF('P&amp;L'!E3=0,0,'P&amp;L'!E12/'P&amp;L'!E3)</f>
        <v/>
      </c>
      <c r="F38" s="600">
        <f>IF('P&amp;L'!F3=0,0,'P&amp;L'!F12/'P&amp;L'!F3)</f>
        <v/>
      </c>
      <c r="G38" s="600">
        <f>IF('P&amp;L'!G3=0,0,'P&amp;L'!G12/'P&amp;L'!G3)</f>
        <v/>
      </c>
      <c r="H38" s="601">
        <f>IF('P&amp;L'!H3=0,0,'P&amp;L'!H12/'P&amp;L'!H3)</f>
        <v/>
      </c>
      <c r="I38" s="601">
        <f>IF('P&amp;L'!I3=0,0,'P&amp;L'!I12/'P&amp;L'!I3)</f>
        <v/>
      </c>
      <c r="J38" s="601">
        <f>IF('P&amp;L'!J3=0,0,'P&amp;L'!J12/'P&amp;L'!J3)</f>
        <v/>
      </c>
      <c r="K38" s="601">
        <f>IF('P&amp;L'!K3=0,0,'P&amp;L'!K12/'P&amp;L'!K3)</f>
        <v/>
      </c>
      <c r="L38" s="601">
        <f>IF('P&amp;L'!L3=0,0,'P&amp;L'!L12/'P&amp;L'!L3)</f>
        <v/>
      </c>
    </row>
    <row r="39">
      <c r="A39" s="597" t="inlineStr">
        <is>
          <t>PAT Margin %</t>
        </is>
      </c>
      <c r="B39" s="600">
        <f>IF('P&amp;L'!B3=0,0,'P&amp;L'!B20/'P&amp;L'!B3)</f>
        <v/>
      </c>
      <c r="C39" s="600">
        <f>IF('P&amp;L'!C3=0,0,'P&amp;L'!C20/'P&amp;L'!C3)</f>
        <v/>
      </c>
      <c r="D39" s="600">
        <f>IF('P&amp;L'!D3=0,0,'P&amp;L'!D20/'P&amp;L'!D3)</f>
        <v/>
      </c>
      <c r="E39" s="600">
        <f>IF('P&amp;L'!E3=0,0,'P&amp;L'!E20/'P&amp;L'!E3)</f>
        <v/>
      </c>
      <c r="F39" s="600">
        <f>IF('P&amp;L'!F3=0,0,'P&amp;L'!F20/'P&amp;L'!F3)</f>
        <v/>
      </c>
      <c r="G39" s="600">
        <f>IF('P&amp;L'!G3=0,0,'P&amp;L'!G20/'P&amp;L'!G3)</f>
        <v/>
      </c>
      <c r="H39" s="601">
        <f>IF('P&amp;L'!H3=0,0,'P&amp;L'!H20/'P&amp;L'!H3)</f>
        <v/>
      </c>
      <c r="I39" s="601">
        <f>IF('P&amp;L'!I3=0,0,'P&amp;L'!I20/'P&amp;L'!I3)</f>
        <v/>
      </c>
      <c r="J39" s="601">
        <f>IF('P&amp;L'!J3=0,0,'P&amp;L'!J20/'P&amp;L'!J3)</f>
        <v/>
      </c>
      <c r="K39" s="601">
        <f>IF('P&amp;L'!K3=0,0,'P&amp;L'!K20/'P&amp;L'!K3)</f>
        <v/>
      </c>
      <c r="L39" s="601">
        <f>IF('P&amp;L'!L3=0,0,'P&amp;L'!L20/'P&amp;L'!L3)</f>
        <v/>
      </c>
    </row>
    <row r="40">
      <c r="A40" s="597" t="inlineStr">
        <is>
          <t>ROE %</t>
        </is>
      </c>
      <c r="B40" s="600">
        <f>IF('Balance Sheet'!B5=0,0,'P&amp;L'!B20/'Balance Sheet'!B5)</f>
        <v/>
      </c>
      <c r="C40" s="600">
        <f>IF('Balance Sheet'!C5=0,0,'P&amp;L'!C20/'Balance Sheet'!C5)</f>
        <v/>
      </c>
      <c r="D40" s="600">
        <f>IF('Balance Sheet'!D5=0,0,'P&amp;L'!D20/'Balance Sheet'!D5)</f>
        <v/>
      </c>
      <c r="E40" s="600">
        <f>IF('Balance Sheet'!E5=0,0,'P&amp;L'!E20/'Balance Sheet'!E5)</f>
        <v/>
      </c>
      <c r="F40" s="600">
        <f>IF('Balance Sheet'!F5=0,0,'P&amp;L'!F20/'Balance Sheet'!F5)</f>
        <v/>
      </c>
      <c r="G40" s="600">
        <f>IF('Balance Sheet'!G5=0,0,'P&amp;L'!G20/'Balance Sheet'!G5)</f>
        <v/>
      </c>
      <c r="H40" s="601">
        <f>IF('Balance Sheet'!H5=0,0,'P&amp;L'!H20/'Balance Sheet'!H5)</f>
        <v/>
      </c>
      <c r="I40" s="601">
        <f>IF('Balance Sheet'!I5=0,0,'P&amp;L'!I20/'Balance Sheet'!I5)</f>
        <v/>
      </c>
      <c r="J40" s="601">
        <f>IF('Balance Sheet'!J5=0,0,'P&amp;L'!J20/'Balance Sheet'!J5)</f>
        <v/>
      </c>
      <c r="K40" s="601">
        <f>IF('Balance Sheet'!K5=0,0,'P&amp;L'!K20/'Balance Sheet'!K5)</f>
        <v/>
      </c>
      <c r="L40" s="601">
        <f>IF('Balance Sheet'!L5=0,0,'P&amp;L'!L20/'Balance Sheet'!L5)</f>
        <v/>
      </c>
    </row>
    <row r="41">
      <c r="A41" s="597" t="inlineStr">
        <is>
          <t>ROCE %</t>
        </is>
      </c>
      <c r="B41" s="600">
        <f>IF(('Balance Sheet'!B5+'Balance Sheet'!B6)=0,0,'P&amp;L'!B16/('Balance Sheet'!B5+'Balance Sheet'!B6))</f>
        <v/>
      </c>
      <c r="C41" s="600">
        <f>IF(('Balance Sheet'!C5+'Balance Sheet'!C6)=0,0,'P&amp;L'!C16/('Balance Sheet'!C5+'Balance Sheet'!C6))</f>
        <v/>
      </c>
      <c r="D41" s="600">
        <f>IF(('Balance Sheet'!D5+'Balance Sheet'!D6)=0,0,'P&amp;L'!D16/('Balance Sheet'!D5+'Balance Sheet'!D6))</f>
        <v/>
      </c>
      <c r="E41" s="600">
        <f>IF(('Balance Sheet'!E5+'Balance Sheet'!E6)=0,0,'P&amp;L'!E16/('Balance Sheet'!E5+'Balance Sheet'!E6))</f>
        <v/>
      </c>
      <c r="F41" s="600">
        <f>IF(('Balance Sheet'!F5+'Balance Sheet'!F6)=0,0,'P&amp;L'!F16/('Balance Sheet'!F5+'Balance Sheet'!F6))</f>
        <v/>
      </c>
      <c r="G41" s="600">
        <f>IF(('Balance Sheet'!G5+'Balance Sheet'!G6)=0,0,'P&amp;L'!G16/('Balance Sheet'!G5+'Balance Sheet'!G6))</f>
        <v/>
      </c>
      <c r="H41" s="601">
        <f>IF(('Balance Sheet'!H5+'Balance Sheet'!H6)=0,0,'P&amp;L'!H16/('Balance Sheet'!H5+'Balance Sheet'!H6))</f>
        <v/>
      </c>
      <c r="I41" s="601">
        <f>IF(('Balance Sheet'!I5+'Balance Sheet'!I6)=0,0,'P&amp;L'!I16/('Balance Sheet'!I5+'Balance Sheet'!I6))</f>
        <v/>
      </c>
      <c r="J41" s="601">
        <f>IF(('Balance Sheet'!J5+'Balance Sheet'!J6)=0,0,'P&amp;L'!J16/('Balance Sheet'!J5+'Balance Sheet'!J6))</f>
        <v/>
      </c>
      <c r="K41" s="601">
        <f>IF(('Balance Sheet'!K5+'Balance Sheet'!K6)=0,0,'P&amp;L'!K16/('Balance Sheet'!K5+'Balance Sheet'!K6))</f>
        <v/>
      </c>
      <c r="L41" s="601">
        <f>IF(('Balance Sheet'!L5+'Balance Sheet'!L6)=0,0,'P&amp;L'!L16/('Balance Sheet'!L5+'Balance Sheet'!L6))</f>
        <v/>
      </c>
    </row>
    <row r="42">
      <c r="A42" s="597" t="inlineStr">
        <is>
          <t>Debt-Equity (x)</t>
        </is>
      </c>
      <c r="B42" s="604">
        <f>IF('Balance Sheet'!B5=0,0,'Balance Sheet'!B6/'Balance Sheet'!B5)</f>
        <v/>
      </c>
      <c r="C42" s="604">
        <f>IF('Balance Sheet'!C5=0,0,'Balance Sheet'!C6/'Balance Sheet'!C5)</f>
        <v/>
      </c>
      <c r="D42" s="604">
        <f>IF('Balance Sheet'!D5=0,0,'Balance Sheet'!D6/'Balance Sheet'!D5)</f>
        <v/>
      </c>
      <c r="E42" s="604">
        <f>IF('Balance Sheet'!E5=0,0,'Balance Sheet'!E6/'Balance Sheet'!E5)</f>
        <v/>
      </c>
      <c r="F42" s="604">
        <f>IF('Balance Sheet'!F5=0,0,'Balance Sheet'!F6/'Balance Sheet'!F5)</f>
        <v/>
      </c>
      <c r="G42" s="604">
        <f>IF('Balance Sheet'!G5=0,0,'Balance Sheet'!G6/'Balance Sheet'!G5)</f>
        <v/>
      </c>
      <c r="H42" s="605">
        <f>IF('Balance Sheet'!H5=0,0,'Balance Sheet'!H6/'Balance Sheet'!H5)</f>
        <v/>
      </c>
      <c r="I42" s="605">
        <f>IF('Balance Sheet'!I5=0,0,'Balance Sheet'!I6/'Balance Sheet'!I5)</f>
        <v/>
      </c>
      <c r="J42" s="605">
        <f>IF('Balance Sheet'!J5=0,0,'Balance Sheet'!J6/'Balance Sheet'!J5)</f>
        <v/>
      </c>
      <c r="K42" s="605">
        <f>IF('Balance Sheet'!K5=0,0,'Balance Sheet'!K6/'Balance Sheet'!K5)</f>
        <v/>
      </c>
      <c r="L42" s="605">
        <f>IF('Balance Sheet'!L5=0,0,'Balance Sheet'!L6/'Balance Sheet'!L5)</f>
        <v/>
      </c>
    </row>
    <row r="43">
      <c r="A43" s="597" t="inlineStr">
        <is>
          <t>Interest Coverage (x)</t>
        </is>
      </c>
      <c r="B43" s="604">
        <f>IF('P&amp;L'!B17=0,0,'P&amp;L'!B16/'P&amp;L'!B17)</f>
        <v/>
      </c>
      <c r="C43" s="604">
        <f>IF('P&amp;L'!C17=0,0,'P&amp;L'!C16/'P&amp;L'!C17)</f>
        <v/>
      </c>
      <c r="D43" s="604">
        <f>IF('P&amp;L'!D17=0,0,'P&amp;L'!D16/'P&amp;L'!D17)</f>
        <v/>
      </c>
      <c r="E43" s="604">
        <f>IF('P&amp;L'!E17=0,0,'P&amp;L'!E16/'P&amp;L'!E17)</f>
        <v/>
      </c>
      <c r="F43" s="604">
        <f>IF('P&amp;L'!F17=0,0,'P&amp;L'!F16/'P&amp;L'!F17)</f>
        <v/>
      </c>
      <c r="G43" s="604">
        <f>IF('P&amp;L'!G17=0,0,'P&amp;L'!G16/'P&amp;L'!G17)</f>
        <v/>
      </c>
      <c r="H43" s="605">
        <f>IF('P&amp;L'!H17=0,0,'P&amp;L'!H16/'P&amp;L'!H17)</f>
        <v/>
      </c>
      <c r="I43" s="605">
        <f>IF('P&amp;L'!I17=0,0,'P&amp;L'!I16/'P&amp;L'!I17)</f>
        <v/>
      </c>
      <c r="J43" s="605">
        <f>IF('P&amp;L'!J17=0,0,'P&amp;L'!J16/'P&amp;L'!J17)</f>
        <v/>
      </c>
      <c r="K43" s="605">
        <f>IF('P&amp;L'!K17=0,0,'P&amp;L'!K16/'P&amp;L'!K17)</f>
        <v/>
      </c>
      <c r="L43" s="605">
        <f>IF('P&amp;L'!L17=0,0,'P&amp;L'!L16/'P&amp;L'!L17)</f>
        <v/>
      </c>
    </row>
    <row r="44">
      <c r="A44" s="597" t="inlineStr">
        <is>
          <t>Asset Turnover (x)</t>
        </is>
      </c>
      <c r="B44" s="604">
        <f>IF('Balance Sheet'!B18=0,0,'P&amp;L'!B3/'Balance Sheet'!B18)</f>
        <v/>
      </c>
      <c r="C44" s="604">
        <f>IF('Balance Sheet'!C18=0,0,'P&amp;L'!C3/'Balance Sheet'!C18)</f>
        <v/>
      </c>
      <c r="D44" s="604">
        <f>IF('Balance Sheet'!D18=0,0,'P&amp;L'!D3/'Balance Sheet'!D18)</f>
        <v/>
      </c>
      <c r="E44" s="604">
        <f>IF('Balance Sheet'!E18=0,0,'P&amp;L'!E3/'Balance Sheet'!E18)</f>
        <v/>
      </c>
      <c r="F44" s="604">
        <f>IF('Balance Sheet'!F18=0,0,'P&amp;L'!F3/'Balance Sheet'!F18)</f>
        <v/>
      </c>
      <c r="G44" s="604">
        <f>IF('Balance Sheet'!G18=0,0,'P&amp;L'!G3/'Balance Sheet'!G18)</f>
        <v/>
      </c>
      <c r="H44" s="605">
        <f>IF('Balance Sheet'!H18=0,0,'P&amp;L'!H3/'Balance Sheet'!H18)</f>
        <v/>
      </c>
      <c r="I44" s="605">
        <f>IF('Balance Sheet'!I18=0,0,'P&amp;L'!I3/'Balance Sheet'!I18)</f>
        <v/>
      </c>
      <c r="J44" s="605">
        <f>IF('Balance Sheet'!J18=0,0,'P&amp;L'!J3/'Balance Sheet'!J18)</f>
        <v/>
      </c>
      <c r="K44" s="605">
        <f>IF('Balance Sheet'!K18=0,0,'P&amp;L'!K3/'Balance Sheet'!K18)</f>
        <v/>
      </c>
      <c r="L44" s="605">
        <f>IF('Balance Sheet'!L18=0,0,'P&amp;L'!L3/'Balance Sheet'!L18)</f>
        <v/>
      </c>
    </row>
    <row r="45">
      <c r="A45" s="597" t="inlineStr">
        <is>
          <t>Debtor Days</t>
        </is>
      </c>
      <c r="B45" s="606">
        <f>IF('P&amp;L'!B3=0,0,'Balance Sheet'!B14/'P&amp;L'!B3*365)</f>
        <v/>
      </c>
      <c r="C45" s="606">
        <f>IF('P&amp;L'!C3=0,0,'Balance Sheet'!C14/'P&amp;L'!C3*365)</f>
        <v/>
      </c>
      <c r="D45" s="606">
        <f>IF('P&amp;L'!D3=0,0,'Balance Sheet'!D14/'P&amp;L'!D3*365)</f>
        <v/>
      </c>
      <c r="E45" s="606">
        <f>IF('P&amp;L'!E3=0,0,'Balance Sheet'!E14/'P&amp;L'!E3*365)</f>
        <v/>
      </c>
      <c r="F45" s="606">
        <f>IF('P&amp;L'!F3=0,0,'Balance Sheet'!F14/'P&amp;L'!F3*365)</f>
        <v/>
      </c>
      <c r="G45" s="606">
        <f>IF('P&amp;L'!G3=0,0,'Balance Sheet'!G14/'P&amp;L'!G3*365)</f>
        <v/>
      </c>
      <c r="H45" s="607">
        <f>IF('P&amp;L'!H3=0,0,'Balance Sheet'!H14/'P&amp;L'!H3*365)</f>
        <v/>
      </c>
      <c r="I45" s="607">
        <f>IF('P&amp;L'!I3=0,0,'Balance Sheet'!I14/'P&amp;L'!I3*365)</f>
        <v/>
      </c>
      <c r="J45" s="607">
        <f>IF('P&amp;L'!J3=0,0,'Balance Sheet'!J14/'P&amp;L'!J3*365)</f>
        <v/>
      </c>
      <c r="K45" s="607">
        <f>IF('P&amp;L'!K3=0,0,'Balance Sheet'!K14/'P&amp;L'!K3*365)</f>
        <v/>
      </c>
      <c r="L45" s="607">
        <f>IF('P&amp;L'!L3=0,0,'Balance Sheet'!L14/'P&amp;L'!L3*365)</f>
        <v/>
      </c>
    </row>
    <row r="46">
      <c r="A46" s="597" t="inlineStr">
        <is>
          <t>Inventory Days</t>
        </is>
      </c>
      <c r="B46" s="606">
        <f>IF('P&amp;L'!B4=0,0,'Balance Sheet'!B15/'P&amp;L'!B4*365)</f>
        <v/>
      </c>
      <c r="C46" s="606">
        <f>IF('P&amp;L'!C4=0,0,'Balance Sheet'!C15/'P&amp;L'!C4*365)</f>
        <v/>
      </c>
      <c r="D46" s="606">
        <f>IF('P&amp;L'!D4=0,0,'Balance Sheet'!D15/'P&amp;L'!D4*365)</f>
        <v/>
      </c>
      <c r="E46" s="606">
        <f>IF('P&amp;L'!E4=0,0,'Balance Sheet'!E15/'P&amp;L'!E4*365)</f>
        <v/>
      </c>
      <c r="F46" s="606">
        <f>IF('P&amp;L'!F4=0,0,'Balance Sheet'!F15/'P&amp;L'!F4*365)</f>
        <v/>
      </c>
      <c r="G46" s="606">
        <f>IF('P&amp;L'!G4=0,0,'Balance Sheet'!G15/'P&amp;L'!G4*365)</f>
        <v/>
      </c>
      <c r="H46" s="607">
        <f>IF('P&amp;L'!H4=0,0,'Balance Sheet'!H15/'P&amp;L'!H4*365)</f>
        <v/>
      </c>
      <c r="I46" s="607">
        <f>IF('P&amp;L'!I4=0,0,'Balance Sheet'!I15/'P&amp;L'!I4*365)</f>
        <v/>
      </c>
      <c r="J46" s="607">
        <f>IF('P&amp;L'!J4=0,0,'Balance Sheet'!J15/'P&amp;L'!J4*365)</f>
        <v/>
      </c>
      <c r="K46" s="607">
        <f>IF('P&amp;L'!K4=0,0,'Balance Sheet'!K15/'P&amp;L'!K4*365)</f>
        <v/>
      </c>
      <c r="L46" s="607">
        <f>IF('P&amp;L'!L4=0,0,'Balance Sheet'!L15/'P&amp;L'!L4*365)</f>
        <v/>
      </c>
    </row>
    <row r="47">
      <c r="A47" s="597" t="inlineStr">
        <is>
          <t>CFO/EBITDA %</t>
        </is>
      </c>
      <c r="B47" s="600">
        <f>IF('P&amp;L'!B12=0,0,'Cash Flow'!B3/'P&amp;L'!B12)</f>
        <v/>
      </c>
      <c r="C47" s="600">
        <f>IF('P&amp;L'!C12=0,0,'Cash Flow'!C3/'P&amp;L'!C12)</f>
        <v/>
      </c>
      <c r="D47" s="600">
        <f>IF('P&amp;L'!D12=0,0,'Cash Flow'!D3/'P&amp;L'!D12)</f>
        <v/>
      </c>
      <c r="E47" s="600">
        <f>IF('P&amp;L'!E12=0,0,'Cash Flow'!E3/'P&amp;L'!E12)</f>
        <v/>
      </c>
      <c r="F47" s="600">
        <f>IF('P&amp;L'!F12=0,0,'Cash Flow'!F3/'P&amp;L'!F12)</f>
        <v/>
      </c>
      <c r="G47" s="600">
        <f>IF('P&amp;L'!G12=0,0,'Cash Flow'!G3/'P&amp;L'!G12)</f>
        <v/>
      </c>
      <c r="H47" s="601">
        <f>IF('P&amp;L'!H12=0,0,'Cash Flow'!H3/'P&amp;L'!H12)</f>
        <v/>
      </c>
      <c r="I47" s="601">
        <f>IF('P&amp;L'!I12=0,0,'Cash Flow'!I3/'P&amp;L'!I12)</f>
        <v/>
      </c>
      <c r="J47" s="601">
        <f>IF('P&amp;L'!J12=0,0,'Cash Flow'!J3/'P&amp;L'!J12)</f>
        <v/>
      </c>
      <c r="K47" s="601">
        <f>IF('P&amp;L'!K12=0,0,'Cash Flow'!K3/'P&amp;L'!K12)</f>
        <v/>
      </c>
      <c r="L47" s="601">
        <f>IF('P&amp;L'!L12=0,0,'Cash Flow'!L3/'P&amp;L'!L12)</f>
        <v/>
      </c>
    </row>
  </sheetData>
  <mergeCells count="6">
    <mergeCell ref="A20:L20"/>
    <mergeCell ref="A2:L2"/>
    <mergeCell ref="A29:L29"/>
    <mergeCell ref="A1:L1"/>
    <mergeCell ref="A5:L5"/>
    <mergeCell ref="A36:L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1" t="inlineStr">
        <is>
          <t>GRAVITA INDIA LTD — Valuation Matrix</t>
        </is>
      </c>
    </row>
    <row r="2" ht="18" customHeight="1">
      <c r="A2" s="572" t="inlineStr">
        <is>
          <t>CMP: ₹1,777 | Target: ₹2,380 | Rating: BUY | All multiples at CMP</t>
        </is>
      </c>
    </row>
    <row r="4" ht="22" customHeight="1">
      <c r="A4" s="542" t="inlineStr">
        <is>
          <t>Particulars</t>
        </is>
      </c>
      <c r="B4" s="542" t="inlineStr">
        <is>
          <t>FY22A</t>
        </is>
      </c>
      <c r="C4" s="542" t="inlineStr">
        <is>
          <t>FY23A</t>
        </is>
      </c>
      <c r="D4" s="542" t="inlineStr">
        <is>
          <t>FY24A</t>
        </is>
      </c>
      <c r="E4" s="542" t="inlineStr">
        <is>
          <t>FY25A</t>
        </is>
      </c>
      <c r="F4" s="542" t="inlineStr">
        <is>
          <t>FY26A</t>
        </is>
      </c>
      <c r="G4" s="543" t="inlineStr">
        <is>
          <t>FY27E</t>
        </is>
      </c>
      <c r="H4" s="543" t="inlineStr">
        <is>
          <t>FY28E</t>
        </is>
      </c>
      <c r="I4" s="543" t="inlineStr">
        <is>
          <t>FY29E</t>
        </is>
      </c>
      <c r="J4" s="543" t="inlineStr">
        <is>
          <t>FY30E</t>
        </is>
      </c>
      <c r="K4" s="543" t="inlineStr">
        <is>
          <t>FY31E</t>
        </is>
      </c>
    </row>
    <row r="5" ht="20" customHeight="1">
      <c r="A5" s="573" t="inlineStr">
        <is>
          <t>MARKET DATA</t>
        </is>
      </c>
    </row>
    <row r="6">
      <c r="A6" s="574" t="inlineStr">
        <is>
          <t>CMP (₹)</t>
        </is>
      </c>
      <c r="B6" s="587" t="n">
        <v>1777</v>
      </c>
      <c r="C6" s="587" t="n">
        <v>1777</v>
      </c>
      <c r="D6" s="587" t="n">
        <v>1777</v>
      </c>
      <c r="E6" s="587" t="n">
        <v>1777</v>
      </c>
      <c r="F6" s="587" t="n">
        <v>1777</v>
      </c>
      <c r="G6" s="586" t="n">
        <v>1777</v>
      </c>
      <c r="H6" s="586" t="n">
        <v>1777</v>
      </c>
      <c r="I6" s="586" t="n">
        <v>1777</v>
      </c>
      <c r="J6" s="586" t="n">
        <v>1777</v>
      </c>
      <c r="K6" s="586" t="n">
        <v>1777</v>
      </c>
    </row>
    <row r="7">
      <c r="A7" s="577" t="inlineStr">
        <is>
          <t>Market Cap (₹ Cr)</t>
        </is>
      </c>
      <c r="B7" s="581" t="n">
        <v>13114.26</v>
      </c>
      <c r="C7" s="581" t="n">
        <v>13114.26</v>
      </c>
      <c r="D7" s="581" t="n">
        <v>13114.26</v>
      </c>
      <c r="E7" s="581" t="n">
        <v>13114.26</v>
      </c>
      <c r="F7" s="581" t="n">
        <v>13114.26</v>
      </c>
      <c r="G7" s="576" t="n">
        <v>13114.26</v>
      </c>
      <c r="H7" s="576" t="n">
        <v>13114.26</v>
      </c>
      <c r="I7" s="576" t="n">
        <v>13114.26</v>
      </c>
      <c r="J7" s="576" t="n">
        <v>13114.26</v>
      </c>
      <c r="K7" s="576" t="n">
        <v>13114.26</v>
      </c>
    </row>
    <row r="8">
      <c r="A8" s="574" t="inlineStr">
        <is>
          <t>Enterprise Value (₹ Cr)</t>
        </is>
      </c>
      <c r="B8" s="575" t="n">
        <v>13505.78</v>
      </c>
      <c r="C8" s="575" t="n">
        <v>13461.98</v>
      </c>
      <c r="D8" s="575" t="n">
        <v>13661.85</v>
      </c>
      <c r="E8" s="575" t="n">
        <v>13400.21</v>
      </c>
      <c r="F8" s="575" t="n">
        <v>13850.16</v>
      </c>
      <c r="G8" s="576" t="n">
        <v>14034.26</v>
      </c>
      <c r="H8" s="576" t="n">
        <v>14399.26</v>
      </c>
      <c r="I8" s="576" t="n">
        <v>14564.26</v>
      </c>
      <c r="J8" s="576" t="n">
        <v>14634.26</v>
      </c>
      <c r="K8" s="576" t="n">
        <v>14694.26</v>
      </c>
    </row>
    <row r="9" ht="20" customHeight="1">
      <c r="A9" s="573" t="inlineStr">
        <is>
          <t>EARNINGS MULTIPLES</t>
        </is>
      </c>
    </row>
    <row r="10">
      <c r="A10" s="574" t="inlineStr">
        <is>
          <t>P/E (x)</t>
        </is>
      </c>
      <c r="B10" s="595" t="n">
        <v>94.08321974316667</v>
      </c>
      <c r="C10" s="595" t="n">
        <v>65.2126305320736</v>
      </c>
      <c r="D10" s="595" t="n">
        <v>54.82779380408879</v>
      </c>
      <c r="E10" s="595" t="n">
        <v>41.98040910400461</v>
      </c>
      <c r="F10" s="595" t="n">
        <v>34.62053854276663</v>
      </c>
      <c r="G10" s="589" t="n">
        <v>82.47160466874993</v>
      </c>
      <c r="H10" s="589" t="n">
        <v>58.43711384106543</v>
      </c>
      <c r="I10" s="589" t="n">
        <v>36.49162600050646</v>
      </c>
      <c r="J10" s="589" t="n">
        <v>26.71681838315664</v>
      </c>
      <c r="K10" s="589" t="n">
        <v>20.93968499491149</v>
      </c>
    </row>
    <row r="11">
      <c r="A11" s="577" t="inlineStr">
        <is>
          <t>P/B (x)</t>
        </is>
      </c>
      <c r="B11" s="588" t="n">
        <v>33.90011632415665</v>
      </c>
      <c r="C11" s="588" t="n">
        <v>22.26794355865723</v>
      </c>
      <c r="D11" s="588" t="n">
        <v>15.66068784332458</v>
      </c>
      <c r="E11" s="588" t="n">
        <v>6.335666768120353</v>
      </c>
      <c r="F11" s="588" t="n">
        <v>5.349200327945081</v>
      </c>
      <c r="G11" s="589" t="n">
        <v>4.564657152801949</v>
      </c>
      <c r="H11" s="589" t="n">
        <v>3.746931428571428</v>
      </c>
      <c r="I11" s="589" t="n">
        <v>3.042751740139211</v>
      </c>
      <c r="J11" s="589" t="n">
        <v>2.521003460207612</v>
      </c>
      <c r="K11" s="589" t="n">
        <v>2.128938311688312</v>
      </c>
    </row>
    <row r="12">
      <c r="A12" s="574" t="inlineStr">
        <is>
          <t>P/Sales (x)</t>
        </is>
      </c>
      <c r="B12" s="595" t="n">
        <v>5.918334559337867</v>
      </c>
      <c r="C12" s="595" t="n">
        <v>4.682660858387488</v>
      </c>
      <c r="D12" s="595" t="n">
        <v>4.14909752432176</v>
      </c>
      <c r="E12" s="595" t="n">
        <v>3.389775044781675</v>
      </c>
      <c r="F12" s="595" t="n">
        <v>3.074661158613639</v>
      </c>
      <c r="G12" s="589" t="n">
        <v>2.639194127565356</v>
      </c>
      <c r="H12" s="589" t="n">
        <v>2.16327387505357</v>
      </c>
      <c r="I12" s="589" t="n">
        <v>1.825547573884869</v>
      </c>
      <c r="J12" s="589" t="n">
        <v>1.584676713441727</v>
      </c>
      <c r="K12" s="589" t="n">
        <v>1.404855242412878</v>
      </c>
    </row>
    <row r="13">
      <c r="A13" s="577" t="inlineStr">
        <is>
          <t>EV/EBITDA (x)</t>
        </is>
      </c>
      <c r="B13" s="588" t="n">
        <v>62.1012506897186</v>
      </c>
      <c r="C13" s="588" t="n">
        <v>65.03686168413932</v>
      </c>
      <c r="D13" s="588" t="n">
        <v>47.52774395547052</v>
      </c>
      <c r="E13" s="588" t="n">
        <v>40.82318354912415</v>
      </c>
      <c r="F13" s="588" t="n">
        <v>31.84457268985814</v>
      </c>
      <c r="G13" s="589" t="n">
        <v>76.33352894611662</v>
      </c>
      <c r="H13" s="589" t="n">
        <v>52.78315865173375</v>
      </c>
      <c r="I13" s="589" t="n">
        <v>32.69987551648214</v>
      </c>
      <c r="J13" s="589" t="n">
        <v>23.89659005854993</v>
      </c>
      <c r="K13" s="589" t="n">
        <v>18.73942326754916</v>
      </c>
    </row>
    <row r="14">
      <c r="A14" s="574" t="inlineStr">
        <is>
          <t>EV/Sales (x)</t>
        </is>
      </c>
      <c r="B14" s="595" t="n">
        <v>6.095023625032155</v>
      </c>
      <c r="C14" s="595" t="n">
        <v>4.806819967149896</v>
      </c>
      <c r="D14" s="595" t="n">
        <v>4.322344380289488</v>
      </c>
      <c r="E14" s="595" t="n">
        <v>3.463687425202326</v>
      </c>
      <c r="F14" s="595" t="n">
        <v>3.247194198725989</v>
      </c>
      <c r="G14" s="589" t="n">
        <v>2.824340571006323</v>
      </c>
      <c r="H14" s="589" t="n">
        <v>2.37524213932802</v>
      </c>
      <c r="I14" s="589" t="n">
        <v>2.027392282021895</v>
      </c>
      <c r="J14" s="589" t="n">
        <v>1.768347664332698</v>
      </c>
      <c r="K14" s="589" t="n">
        <v>1.574111554474127</v>
      </c>
    </row>
    <row r="15">
      <c r="A15" s="577" t="inlineStr">
        <is>
          <t>EV/EBIT (x)</t>
        </is>
      </c>
      <c r="B15" s="588" t="n">
        <v>68.58511070485477</v>
      </c>
      <c r="C15" s="588" t="n">
        <v>73.55067475277276</v>
      </c>
      <c r="D15" s="588" t="n">
        <v>54.76569389882146</v>
      </c>
      <c r="E15" s="588" t="n">
        <v>44.79278646877925</v>
      </c>
      <c r="F15" s="588" t="n">
        <v>34.96632163595051</v>
      </c>
      <c r="G15" s="589" t="n">
        <v>111.5118179080452</v>
      </c>
      <c r="H15" s="589" t="n">
        <v>73.91806954002729</v>
      </c>
      <c r="I15" s="589" t="n">
        <v>42.7867396057479</v>
      </c>
      <c r="J15" s="589" t="n">
        <v>30.21113719492479</v>
      </c>
      <c r="K15" s="589" t="n">
        <v>23.09923595982546</v>
      </c>
    </row>
    <row r="16" ht="20" customHeight="1">
      <c r="A16" s="573" t="inlineStr">
        <is>
          <t>PER SHARE</t>
        </is>
      </c>
    </row>
    <row r="17">
      <c r="A17" s="574" t="inlineStr">
        <is>
          <t>EPS (₹)</t>
        </is>
      </c>
      <c r="B17" s="587" t="n">
        <v>18.88753387533875</v>
      </c>
      <c r="C17" s="587" t="n">
        <v>27.24932249322493</v>
      </c>
      <c r="D17" s="587" t="n">
        <v>32.41056910569106</v>
      </c>
      <c r="E17" s="587" t="n">
        <v>42.32926829268293</v>
      </c>
      <c r="F17" s="587" t="n">
        <v>51.32791327913279</v>
      </c>
      <c r="G17" s="586" t="n">
        <v>21.54681004616537</v>
      </c>
      <c r="H17" s="586" t="n">
        <v>30.4087570928469</v>
      </c>
      <c r="I17" s="586" t="n">
        <v>48.69610359306373</v>
      </c>
      <c r="J17" s="586" t="n">
        <v>66.5124108161132</v>
      </c>
      <c r="K17" s="586" t="n">
        <v>84.86278568334841</v>
      </c>
    </row>
    <row r="18">
      <c r="A18" s="577" t="inlineStr">
        <is>
          <t>Book Value (₹)</t>
        </is>
      </c>
      <c r="B18" s="585" t="n">
        <v>52.41869918699187</v>
      </c>
      <c r="C18" s="585" t="n">
        <v>79.80081300813008</v>
      </c>
      <c r="D18" s="585" t="n">
        <v>113.4688346883469</v>
      </c>
      <c r="E18" s="585" t="n">
        <v>280.4756097560976</v>
      </c>
      <c r="F18" s="585" t="n">
        <v>332.19918699187</v>
      </c>
      <c r="G18" s="586" t="n">
        <v>389.2953929539295</v>
      </c>
      <c r="H18" s="586" t="n">
        <v>474.2547425474255</v>
      </c>
      <c r="I18" s="586" t="n">
        <v>584.0108401084011</v>
      </c>
      <c r="J18" s="586" t="n">
        <v>704.8780487804878</v>
      </c>
      <c r="K18" s="586" t="n">
        <v>834.6883468834689</v>
      </c>
    </row>
    <row r="19">
      <c r="A19" s="574" t="inlineStr">
        <is>
          <t>Sales/Share (₹)</t>
        </is>
      </c>
      <c r="B19" s="587" t="n">
        <v>300.2533875338754</v>
      </c>
      <c r="C19" s="587" t="n">
        <v>379.4850948509485</v>
      </c>
      <c r="D19" s="587" t="n">
        <v>428.2859078590786</v>
      </c>
      <c r="E19" s="587" t="n">
        <v>524.2235772357724</v>
      </c>
      <c r="F19" s="587" t="n">
        <v>577.9498644986451</v>
      </c>
      <c r="G19" s="586" t="n">
        <v>673.3115921409214</v>
      </c>
      <c r="H19" s="586" t="n">
        <v>821.4401424119242</v>
      </c>
      <c r="I19" s="586" t="n">
        <v>973.4065687581302</v>
      </c>
      <c r="J19" s="586" t="n">
        <v>1121.364367209366</v>
      </c>
      <c r="K19" s="586" t="n">
        <v>1264.899006212165</v>
      </c>
    </row>
    <row r="20">
      <c r="A20" s="577" t="inlineStr">
        <is>
          <t>CFO/Share (₹)</t>
        </is>
      </c>
      <c r="B20" s="585" t="n">
        <v>1.302168021680217</v>
      </c>
      <c r="C20" s="585" t="n">
        <v>27.05420054200542</v>
      </c>
      <c r="D20" s="585" t="n">
        <v>5.745257452574526</v>
      </c>
      <c r="E20" s="585" t="n">
        <v>38.23577235772358</v>
      </c>
      <c r="F20" s="585" t="n">
        <v>22.9390243902439</v>
      </c>
      <c r="G20" s="586" t="n">
        <v>65.71815718157181</v>
      </c>
      <c r="H20" s="586" t="n">
        <v>84.68834688346884</v>
      </c>
      <c r="I20" s="586" t="n">
        <v>106.3685636856369</v>
      </c>
      <c r="J20" s="586" t="n">
        <v>124.6612466124661</v>
      </c>
      <c r="K20" s="586" t="n">
        <v>142.0054200542006</v>
      </c>
    </row>
    <row r="21">
      <c r="A21" s="574" t="inlineStr">
        <is>
          <t>DPS (₹)</t>
        </is>
      </c>
      <c r="B21" s="587" t="n">
        <v>2.833130081300812</v>
      </c>
      <c r="C21" s="587" t="n">
        <v>4.087398373983739</v>
      </c>
      <c r="D21" s="587" t="n">
        <v>4.861585365853658</v>
      </c>
      <c r="E21" s="587" t="n">
        <v>6.349390243902439</v>
      </c>
      <c r="F21" s="587" t="n">
        <v>7.699186991869919</v>
      </c>
      <c r="G21" s="586" t="n">
        <v>3.232021506924806</v>
      </c>
      <c r="H21" s="586" t="n">
        <v>4.561313563927035</v>
      </c>
      <c r="I21" s="586" t="n">
        <v>7.304415538959558</v>
      </c>
      <c r="J21" s="586" t="n">
        <v>9.97686162241698</v>
      </c>
      <c r="K21" s="586" t="n">
        <v>12.72941785250226</v>
      </c>
    </row>
    <row r="22" ht="20" customHeight="1">
      <c r="A22" s="573" t="inlineStr">
        <is>
          <t>RETURN METRICS</t>
        </is>
      </c>
    </row>
    <row r="23">
      <c r="A23" s="574" t="inlineStr">
        <is>
          <t>ROE %</t>
        </is>
      </c>
      <c r="B23" s="583" t="n">
        <v>0.3603205376761018</v>
      </c>
      <c r="C23" s="583" t="n">
        <v>0.3414667277944747</v>
      </c>
      <c r="D23" s="583" t="n">
        <v>0.2856341055648436</v>
      </c>
      <c r="E23" s="583" t="n">
        <v>0.1509196052002261</v>
      </c>
      <c r="F23" s="583" t="n">
        <v>0.1545094488156859</v>
      </c>
      <c r="G23" s="580" t="n">
        <v>0.05534822768559013</v>
      </c>
      <c r="H23" s="580" t="n">
        <v>0.06411903638434575</v>
      </c>
      <c r="I23" s="580" t="n">
        <v>0.08338219130320423</v>
      </c>
      <c r="J23" s="580" t="n">
        <v>0.09436016759379381</v>
      </c>
      <c r="K23" s="580" t="n">
        <v>0.1016700257050505</v>
      </c>
    </row>
    <row r="24">
      <c r="A24" s="577" t="inlineStr">
        <is>
          <t>ROCE %</t>
        </is>
      </c>
      <c r="B24" s="579" t="n">
        <v>0.2529902231586521</v>
      </c>
      <c r="C24" s="579" t="n">
        <v>0.1954091709816901</v>
      </c>
      <c r="D24" s="579" t="n">
        <v>0.1801168239481873</v>
      </c>
      <c r="E24" s="579" t="n">
        <v>0.1269854745188593</v>
      </c>
      <c r="F24" s="579" t="n">
        <v>0.1242654971090468</v>
      </c>
      <c r="G24" s="580" t="n">
        <v>0.03318071799367269</v>
      </c>
      <c r="H24" s="580" t="n">
        <v>0.04071061051097181</v>
      </c>
      <c r="I24" s="580" t="n">
        <v>0.05909581763905736</v>
      </c>
      <c r="J24" s="580" t="n">
        <v>0.07206181318363286</v>
      </c>
      <c r="K24" s="580" t="n">
        <v>0.08218813849238293</v>
      </c>
    </row>
    <row r="25">
      <c r="A25" s="574" t="inlineStr">
        <is>
          <t>Earnings Yield %</t>
        </is>
      </c>
      <c r="B25" s="583" t="n">
        <v>0.01062888794335326</v>
      </c>
      <c r="C25" s="583" t="n">
        <v>0.01533445272550643</v>
      </c>
      <c r="D25" s="583" t="n">
        <v>0.01823892465148625</v>
      </c>
      <c r="E25" s="583" t="n">
        <v>0.02382063494242145</v>
      </c>
      <c r="F25" s="583" t="n">
        <v>0.02888458822686145</v>
      </c>
      <c r="G25" s="580" t="n">
        <v>0.01212538550712739</v>
      </c>
      <c r="H25" s="580" t="n">
        <v>0.01711241254521491</v>
      </c>
      <c r="I25" s="580" t="n">
        <v>0.02740354732305218</v>
      </c>
      <c r="J25" s="580" t="n">
        <v>0.03742960653692358</v>
      </c>
      <c r="K25" s="580" t="n">
        <v>0.04775621028888487</v>
      </c>
    </row>
    <row r="26">
      <c r="A26" s="577" t="inlineStr">
        <is>
          <t>Dividend Yield %</t>
        </is>
      </c>
      <c r="B26" s="579" t="n">
        <v>0.00159433319150299</v>
      </c>
      <c r="C26" s="579" t="n">
        <v>0.002300167908825965</v>
      </c>
      <c r="D26" s="579" t="n">
        <v>0.002735838697722937</v>
      </c>
      <c r="E26" s="579" t="n">
        <v>0.003573095241363219</v>
      </c>
      <c r="F26" s="579" t="n">
        <v>0.004332688234029217</v>
      </c>
      <c r="G26" s="580" t="n">
        <v>0.001818807826069109</v>
      </c>
      <c r="H26" s="580" t="n">
        <v>0.002566861881782237</v>
      </c>
      <c r="I26" s="580" t="n">
        <v>0.004110532098457827</v>
      </c>
      <c r="J26" s="580" t="n">
        <v>0.005614440980538537</v>
      </c>
      <c r="K26" s="580" t="n">
        <v>0.00716343154333273</v>
      </c>
    </row>
    <row r="27">
      <c r="A27" s="574" t="inlineStr">
        <is>
          <t>FCF Yield %</t>
        </is>
      </c>
      <c r="B27" s="583" t="n">
        <v>0.0007327901078673138</v>
      </c>
      <c r="C27" s="583" t="n">
        <v>0.01522464858863558</v>
      </c>
      <c r="D27" s="583" t="n">
        <v>0.003233121807864111</v>
      </c>
      <c r="E27" s="583" t="n">
        <v>0.02151703565431828</v>
      </c>
      <c r="F27" s="583" t="n">
        <v>0.01290884884088008</v>
      </c>
      <c r="G27" s="580" t="n">
        <v>0.007625287282698376</v>
      </c>
      <c r="H27" s="584" t="n">
        <v>-0.0003812643641349188</v>
      </c>
      <c r="I27" s="580" t="n">
        <v>0.02554471239703956</v>
      </c>
      <c r="J27" s="580" t="n">
        <v>0.04575172369619025</v>
      </c>
      <c r="K27" s="580" t="n">
        <v>0.05856220633112352</v>
      </c>
    </row>
    <row r="29" ht="20" customHeight="1">
      <c r="A29" s="573" t="inlineStr">
        <is>
          <t>DCF ASSUMPTIONS</t>
        </is>
      </c>
    </row>
    <row r="30">
      <c r="A30" s="597" t="inlineStr">
        <is>
          <t>Risk-Free Rate %</t>
        </is>
      </c>
      <c r="B30" s="583" t="n"/>
      <c r="C30" s="583" t="n"/>
      <c r="D30" s="583" t="n"/>
      <c r="E30" s="583" t="n"/>
      <c r="F30" s="583" t="n"/>
      <c r="G30" s="580" t="n">
        <v>0.07000000000000001</v>
      </c>
      <c r="H30" s="580" t="n">
        <v>0.07000000000000001</v>
      </c>
      <c r="I30" s="580" t="n">
        <v>0.07000000000000001</v>
      </c>
      <c r="J30" s="580" t="n">
        <v>0.07000000000000001</v>
      </c>
      <c r="K30" s="580" t="n">
        <v>0.07000000000000001</v>
      </c>
    </row>
    <row r="31">
      <c r="A31" s="597" t="inlineStr">
        <is>
          <t>Equity Risk Premium %</t>
        </is>
      </c>
      <c r="B31" s="583" t="n"/>
      <c r="C31" s="583" t="n"/>
      <c r="D31" s="583" t="n"/>
      <c r="E31" s="583" t="n"/>
      <c r="F31" s="583" t="n"/>
      <c r="G31" s="580" t="n">
        <v>0.06</v>
      </c>
      <c r="H31" s="580" t="n">
        <v>0.06</v>
      </c>
      <c r="I31" s="580" t="n">
        <v>0.06</v>
      </c>
      <c r="J31" s="580" t="n">
        <v>0.06</v>
      </c>
      <c r="K31" s="580" t="n">
        <v>0.06</v>
      </c>
    </row>
    <row r="32">
      <c r="A32" s="597" t="inlineStr">
        <is>
          <t>Beta</t>
        </is>
      </c>
      <c r="B32" s="595" t="n"/>
      <c r="C32" s="595" t="n"/>
      <c r="D32" s="595" t="n"/>
      <c r="E32" s="595" t="n"/>
      <c r="F32" s="595" t="n"/>
      <c r="G32" s="589" t="n">
        <v>1.1</v>
      </c>
      <c r="H32" s="589" t="n">
        <v>1.1</v>
      </c>
      <c r="I32" s="589" t="n">
        <v>1.1</v>
      </c>
      <c r="J32" s="589" t="n">
        <v>1.1</v>
      </c>
      <c r="K32" s="589" t="n">
        <v>1.1</v>
      </c>
    </row>
    <row r="33">
      <c r="A33" s="597" t="inlineStr">
        <is>
          <t>Cost of Equity %</t>
        </is>
      </c>
      <c r="B33" s="583" t="n"/>
      <c r="C33" s="583" t="n"/>
      <c r="D33" s="583" t="n"/>
      <c r="E33" s="583" t="n"/>
      <c r="F33" s="583" t="n"/>
      <c r="G33" s="580" t="n">
        <v>0.136</v>
      </c>
      <c r="H33" s="580" t="n">
        <v>0.136</v>
      </c>
      <c r="I33" s="580" t="n">
        <v>0.136</v>
      </c>
      <c r="J33" s="580" t="n">
        <v>0.136</v>
      </c>
      <c r="K33" s="580" t="n">
        <v>0.136</v>
      </c>
    </row>
    <row r="34">
      <c r="A34" s="597" t="inlineStr">
        <is>
          <t>WACC %</t>
        </is>
      </c>
      <c r="B34" s="583" t="n"/>
      <c r="C34" s="583" t="n"/>
      <c r="D34" s="583" t="n"/>
      <c r="E34" s="583" t="n"/>
      <c r="F34" s="583" t="n"/>
      <c r="G34" s="580" t="n">
        <v>0.118</v>
      </c>
      <c r="H34" s="580" t="n">
        <v>0.118</v>
      </c>
      <c r="I34" s="580" t="n">
        <v>0.118</v>
      </c>
      <c r="J34" s="580" t="n">
        <v>0.118</v>
      </c>
      <c r="K34" s="580" t="n">
        <v>0.118</v>
      </c>
    </row>
    <row r="35">
      <c r="A35" s="597" t="inlineStr">
        <is>
          <t>Terminal Growth Rate %</t>
        </is>
      </c>
      <c r="B35" s="583" t="n"/>
      <c r="C35" s="583" t="n"/>
      <c r="D35" s="583" t="n"/>
      <c r="E35" s="583" t="n"/>
      <c r="F35" s="583" t="n"/>
      <c r="G35" s="580" t="n">
        <v>0.042</v>
      </c>
      <c r="H35" s="580" t="n">
        <v>0.042</v>
      </c>
      <c r="I35" s="580" t="n">
        <v>0.042</v>
      </c>
      <c r="J35" s="580" t="n">
        <v>0.042</v>
      </c>
      <c r="K35" s="580" t="n">
        <v>0.042</v>
      </c>
    </row>
    <row r="36">
      <c r="A36" s="597" t="inlineStr">
        <is>
          <t>Implied DCF Price (₹)</t>
        </is>
      </c>
      <c r="B36" s="587" t="n"/>
      <c r="C36" s="587" t="n"/>
      <c r="D36" s="587" t="n"/>
      <c r="E36" s="587" t="n"/>
      <c r="F36" s="587" t="n"/>
      <c r="G36" s="586" t="n">
        <v>2125</v>
      </c>
      <c r="H36" s="586" t="n"/>
      <c r="I36" s="586" t="n"/>
      <c r="J36" s="586" t="n"/>
      <c r="K36" s="586" t="n"/>
    </row>
    <row r="37">
      <c r="A37" s="597" t="inlineStr">
        <is>
          <t>Upside / (Downside) %</t>
        </is>
      </c>
      <c r="B37" s="583" t="n"/>
      <c r="C37" s="583" t="n"/>
      <c r="D37" s="583" t="n"/>
      <c r="E37" s="583" t="n"/>
      <c r="F37" s="583" t="n"/>
      <c r="G37" s="580" t="n">
        <v>0.3393359594822735</v>
      </c>
      <c r="H37" s="580" t="n"/>
      <c r="I37" s="580" t="n"/>
      <c r="J37" s="580" t="n"/>
      <c r="K37" s="580" t="n"/>
    </row>
    <row r="39" ht="20" customHeight="1">
      <c r="A39" s="573" t="inlineStr">
        <is>
          <t>PE SENSITIVITY (Target Price ₹)</t>
        </is>
      </c>
    </row>
    <row r="40">
      <c r="A40" s="542" t="inlineStr">
        <is>
          <t>PE Multiple \ EPS Growth %</t>
        </is>
      </c>
      <c r="B40" s="608" t="n">
        <v>15</v>
      </c>
      <c r="C40" s="608" t="n">
        <v>20</v>
      </c>
      <c r="D40" s="608" t="n">
        <v>25</v>
      </c>
      <c r="E40" s="608" t="n">
        <v>30</v>
      </c>
      <c r="F40" s="608" t="n">
        <v>35</v>
      </c>
    </row>
    <row r="41">
      <c r="A41" s="609" t="n">
        <v>24</v>
      </c>
      <c r="B41" s="610" t="n">
        <v>1920</v>
      </c>
      <c r="C41" s="610" t="n">
        <v>2076</v>
      </c>
      <c r="D41" s="610" t="n">
        <v>2232</v>
      </c>
      <c r="E41" s="610" t="n">
        <v>2388</v>
      </c>
      <c r="F41" s="610" t="n">
        <v>2544</v>
      </c>
    </row>
    <row r="42">
      <c r="A42" s="609" t="n">
        <v>26.5</v>
      </c>
      <c r="B42" s="610" t="n">
        <v>2120</v>
      </c>
      <c r="C42" s="610" t="n">
        <v>2291</v>
      </c>
      <c r="D42" s="610" t="n">
        <v>2462</v>
      </c>
      <c r="E42" s="610" t="n">
        <v>2633</v>
      </c>
      <c r="F42" s="610" t="n">
        <v>2804</v>
      </c>
    </row>
    <row r="43">
      <c r="A43" s="609" t="n">
        <v>29</v>
      </c>
      <c r="B43" s="610" t="n">
        <v>2320</v>
      </c>
      <c r="C43" s="610" t="n">
        <v>2506</v>
      </c>
      <c r="D43" s="610" t="n">
        <v>2692</v>
      </c>
      <c r="E43" s="610" t="n">
        <v>2878</v>
      </c>
      <c r="F43" s="610" t="n">
        <v>3064</v>
      </c>
    </row>
    <row r="44">
      <c r="A44" s="609" t="n">
        <v>31.5</v>
      </c>
      <c r="B44" s="610" t="n">
        <v>2520</v>
      </c>
      <c r="C44" s="610" t="n">
        <v>2721</v>
      </c>
      <c r="D44" s="610" t="n">
        <v>2922</v>
      </c>
      <c r="E44" s="610" t="n">
        <v>3123</v>
      </c>
      <c r="F44" s="610" t="n">
        <v>3324</v>
      </c>
    </row>
    <row r="45">
      <c r="A45" s="609" t="n">
        <v>34</v>
      </c>
      <c r="B45" s="610" t="n">
        <v>2720</v>
      </c>
      <c r="C45" s="610" t="n">
        <v>2936</v>
      </c>
      <c r="D45" s="610" t="n">
        <v>3152</v>
      </c>
      <c r="E45" s="610" t="n">
        <v>3368</v>
      </c>
      <c r="F45" s="610" t="n">
        <v>3584</v>
      </c>
    </row>
  </sheetData>
  <mergeCells count="8">
    <mergeCell ref="A22:K22"/>
    <mergeCell ref="A39:K39"/>
    <mergeCell ref="A29:K29"/>
    <mergeCell ref="A2:K2"/>
    <mergeCell ref="A16:K16"/>
    <mergeCell ref="A5:K5"/>
    <mergeCell ref="A1:K1"/>
    <mergeCell ref="A9:K9"/>
  </mergeCells>
  <conditionalFormatting sqref="B41:F45">
    <cfRule type="cellIs" priority="1" operator="greaterThan" dxfId="84">
      <formula>1777.0</formula>
    </cfRule>
    <cfRule type="cellIs" priority="2" operator="lessThan" dxfId="85">
      <formula>1777.0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5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571" t="inlineStr">
        <is>
          <t>GRAVITA INDIA LTD — Key Risks Register</t>
        </is>
      </c>
    </row>
    <row r="2" ht="18" customHeight="1">
      <c r="A2" s="572" t="inlineStr">
        <is>
          <t>Structured risk assessment | Sector: Metal &amp; Metal Products | Source: Tikona Research</t>
        </is>
      </c>
    </row>
    <row r="4" ht="24" customHeight="1">
      <c r="A4" s="542" t="inlineStr">
        <is>
          <t>#</t>
        </is>
      </c>
      <c r="B4" s="542" t="inlineStr">
        <is>
          <t>Risk Category</t>
        </is>
      </c>
      <c r="C4" s="542" t="inlineStr">
        <is>
          <t>Risk Factor</t>
        </is>
      </c>
      <c r="D4" s="542" t="inlineStr">
        <is>
          <t>Description</t>
        </is>
      </c>
      <c r="E4" s="542" t="inlineStr">
        <is>
          <t>Mitigation</t>
        </is>
      </c>
      <c r="F4" s="542" t="inlineStr">
        <is>
          <t>Probability</t>
        </is>
      </c>
      <c r="G4" s="542" t="inlineStr">
        <is>
          <t>Impact</t>
        </is>
      </c>
      <c r="H4" s="542" t="inlineStr">
        <is>
          <t>Overall Rating</t>
        </is>
      </c>
    </row>
    <row r="5" ht="52" customHeight="1">
      <c r="A5" s="611" t="n">
        <v>1</v>
      </c>
      <c r="B5" s="612" t="inlineStr">
        <is>
          <t>Regulatory</t>
        </is>
      </c>
      <c r="C5" s="612" t="inlineStr">
        <is>
          <t>Environmental compliance and licensing delays</t>
        </is>
      </c>
      <c r="D5" s="612" t="inlineStr">
        <is>
          <t>Capacity expansion projects dependent on state-level consent-to-operate licenses, with recent delays in Gujarat affecting timeline.</t>
        </is>
      </c>
      <c r="E5" s="612" t="inlineStr">
        <is>
          <t>Proactive engagement with regulatory authorities and maintaining buffer timelines for project completion</t>
        </is>
      </c>
      <c r="F5" s="613" t="inlineStr">
        <is>
          <t>M</t>
        </is>
      </c>
      <c r="G5" s="614" t="inlineStr">
        <is>
          <t>H</t>
        </is>
      </c>
      <c r="H5" s="613" t="inlineStr">
        <is>
          <t>MEDIUM</t>
        </is>
      </c>
    </row>
    <row r="6" ht="52" customHeight="1">
      <c r="A6" s="611" t="n">
        <v>2</v>
      </c>
      <c r="B6" s="612" t="inlineStr">
        <is>
          <t>Market</t>
        </is>
      </c>
      <c r="C6" s="612" t="inlineStr">
        <is>
          <t>Commodity price volatility</t>
        </is>
      </c>
      <c r="D6" s="612" t="inlineStr">
        <is>
          <t>Aluminum and plastic recycling exposed to price fluctuations due to lack of effective hedging mechanisms unlike lead operations.</t>
        </is>
      </c>
      <c r="E6" s="612" t="inlineStr">
        <is>
          <t>Gradual introduction of aluminum hedging on MCX and focus on value-added products with stable margins</t>
        </is>
      </c>
      <c r="F6" s="614" t="inlineStr">
        <is>
          <t>H</t>
        </is>
      </c>
      <c r="G6" s="613" t="inlineStr">
        <is>
          <t>M</t>
        </is>
      </c>
      <c r="H6" s="613" t="inlineStr">
        <is>
          <t>MEDIUM</t>
        </is>
      </c>
    </row>
    <row r="7" ht="52" customHeight="1">
      <c r="A7" s="611" t="n">
        <v>3</v>
      </c>
      <c r="B7" s="612" t="inlineStr">
        <is>
          <t>Operational</t>
        </is>
      </c>
      <c r="C7" s="612" t="inlineStr">
        <is>
          <t>Raw material scrap availability</t>
        </is>
      </c>
      <c r="D7" s="612" t="inlineStr">
        <is>
          <t>Dependency on consistent scrap supply from domestic and international sources, with geopolitical tensions affecting import logistics.</t>
        </is>
      </c>
      <c r="E7" s="612" t="inlineStr">
        <is>
          <t>Diversified supplier network across 70+ countries and increasing domestic scrap sourcing to 60%+</t>
        </is>
      </c>
      <c r="F7" s="613" t="inlineStr">
        <is>
          <t>M</t>
        </is>
      </c>
      <c r="G7" s="614" t="inlineStr">
        <is>
          <t>H</t>
        </is>
      </c>
      <c r="H7" s="613" t="inlineStr">
        <is>
          <t>MEDIUM</t>
        </is>
      </c>
    </row>
    <row r="8" ht="52" customHeight="1">
      <c r="A8" s="611" t="n">
        <v>4</v>
      </c>
      <c r="B8" s="612" t="inlineStr">
        <is>
          <t>Competition</t>
        </is>
      </c>
      <c r="C8" s="612" t="inlineStr">
        <is>
          <t>Market share erosion from organized players</t>
        </is>
      </c>
      <c r="D8" s="612" t="inlineStr">
        <is>
          <t>Entry of large corporations and battery OEMs into recycling space could intensify competition and margin pressure.</t>
        </is>
      </c>
      <c r="E8" s="612" t="inlineStr">
        <is>
          <t>Strong brand relationships with OEMs, technical expertise, and focus on value-added products differentiation</t>
        </is>
      </c>
      <c r="F8" s="613" t="inlineStr">
        <is>
          <t>M</t>
        </is>
      </c>
      <c r="G8" s="613" t="inlineStr">
        <is>
          <t>M</t>
        </is>
      </c>
      <c r="H8" s="615" t="inlineStr">
        <is>
          <t>LOW</t>
        </is>
      </c>
    </row>
    <row r="9" ht="52" customHeight="1">
      <c r="A9" s="611" t="n">
        <v>5</v>
      </c>
      <c r="B9" s="612" t="inlineStr">
        <is>
          <t>Execution</t>
        </is>
      </c>
      <c r="C9" s="612" t="inlineStr">
        <is>
          <t>New vertical scaling challenges</t>
        </is>
      </c>
      <c r="D9" s="612" t="inlineStr">
        <is>
          <t>Lithium-ion, rubber, and copper recycling ventures require different technical expertise and market development than core lead business.</t>
        </is>
      </c>
      <c r="E9" s="612" t="inlineStr">
        <is>
          <t>Pilot projects, strategic partnerships, and phased capacity additions with continuous monitoring of returns</t>
        </is>
      </c>
      <c r="F9" s="614" t="inlineStr">
        <is>
          <t>H</t>
        </is>
      </c>
      <c r="G9" s="613" t="inlineStr">
        <is>
          <t>M</t>
        </is>
      </c>
      <c r="H9" s="613" t="inlineStr">
        <is>
          <t>MEDIUM</t>
        </is>
      </c>
    </row>
    <row r="10" ht="52" customHeight="1">
      <c r="A10" s="611" t="n">
        <v>6</v>
      </c>
      <c r="B10" s="612" t="inlineStr">
        <is>
          <t>Financial</t>
        </is>
      </c>
      <c r="C10" s="612" t="inlineStr">
        <is>
          <t>High capital expenditure execution risk</t>
        </is>
      </c>
      <c r="D10" s="612" t="inlineStr">
        <is>
          <t>Rs 1,225cr capex plan through FY28 requires efficient capital allocation and project management across multiple geographies.</t>
        </is>
      </c>
      <c r="E10" s="612" t="inlineStr">
        <is>
          <t>Disciplined ROIC benchmark of 25% for new investments and focus on brownfield expansion to reduce risks</t>
        </is>
      </c>
      <c r="F10" s="613" t="inlineStr">
        <is>
          <t>M</t>
        </is>
      </c>
      <c r="G10" s="614" t="inlineStr">
        <is>
          <t>H</t>
        </is>
      </c>
      <c r="H10" s="613" t="inlineStr">
        <is>
          <t>MEDIUM</t>
        </is>
      </c>
    </row>
    <row r="11" ht="52" customHeight="1">
      <c r="A11" s="611" t="n">
        <v>7</v>
      </c>
      <c r="B11" s="612" t="inlineStr">
        <is>
          <t>Economic</t>
        </is>
      </c>
      <c r="C11" s="612" t="inlineStr">
        <is>
          <t>Global economic slowdown impact</t>
        </is>
      </c>
      <c r="D11" s="612" t="inlineStr">
        <is>
          <t>Reduced industrial activity and infrastructure spending could affect demand for recycled metals and scrap availability.</t>
        </is>
      </c>
      <c r="E11" s="612" t="inlineStr">
        <is>
          <t>Diversified end-user industries, export market presence, and focus on essential applications like batteries</t>
        </is>
      </c>
      <c r="F11" s="613" t="inlineStr">
        <is>
          <t>M</t>
        </is>
      </c>
      <c r="G11" s="613" t="inlineStr">
        <is>
          <t>M</t>
        </is>
      </c>
      <c r="H11" s="615" t="inlineStr">
        <is>
          <t>LOW</t>
        </is>
      </c>
    </row>
    <row r="12" ht="52" customHeight="1">
      <c r="A12" s="611" t="n">
        <v>8</v>
      </c>
      <c r="B12" s="612" t="inlineStr">
        <is>
          <t>Technology</t>
        </is>
      </c>
      <c r="C12" s="612" t="inlineStr">
        <is>
          <t>Technological obsolescence in recycling processes</t>
        </is>
      </c>
      <c r="D12" s="612" t="inlineStr">
        <is>
          <t>Rapid advancement in recycling technologies could make current processes less competitive or require significant upgrades.</t>
        </is>
      </c>
      <c r="E12" s="612" t="inlineStr">
        <is>
          <t>Continuous R&amp;D investment, technology partnerships, and regular equipment upgrades to maintain efficiency</t>
        </is>
      </c>
      <c r="F12" s="615" t="inlineStr">
        <is>
          <t>L</t>
        </is>
      </c>
      <c r="G12" s="613" t="inlineStr">
        <is>
          <t>M</t>
        </is>
      </c>
      <c r="H12" s="615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571" t="inlineStr">
        <is>
          <t>GRAVITA INDIA LTD — Peer Comparison</t>
        </is>
      </c>
    </row>
    <row r="2" ht="18" customHeight="1">
      <c r="A2" s="572" t="inlineStr">
        <is>
          <t>Revenue / EBITDA / PAT / Valuation across listed peers | ₹ Cr | Source: Screener / Tikona</t>
        </is>
      </c>
    </row>
    <row r="4" ht="20" customHeight="1">
      <c r="A4" s="573" t="inlineStr">
        <is>
          <t>REVENUE COMPARISON (₹ Cr)</t>
        </is>
      </c>
    </row>
    <row r="5">
      <c r="A5" s="542" t="inlineStr">
        <is>
          <t>Company</t>
        </is>
      </c>
      <c r="B5" s="542" t="inlineStr">
        <is>
          <t>FY22A</t>
        </is>
      </c>
      <c r="C5" s="542" t="inlineStr">
        <is>
          <t>FY23A</t>
        </is>
      </c>
      <c r="D5" s="542" t="inlineStr">
        <is>
          <t>FY24A</t>
        </is>
      </c>
      <c r="E5" s="542" t="inlineStr">
        <is>
          <t>FY25A</t>
        </is>
      </c>
      <c r="F5" s="542" t="inlineStr">
        <is>
          <t>FY26A</t>
        </is>
      </c>
    </row>
    <row r="6">
      <c r="A6" s="597" t="inlineStr">
        <is>
          <t>GRAVITA INDIA LTD</t>
        </is>
      </c>
      <c r="B6" s="610" t="n">
        <v>2215.87</v>
      </c>
      <c r="C6" s="610" t="n">
        <v>2800.6</v>
      </c>
      <c r="D6" s="610" t="n">
        <v>3160.75</v>
      </c>
      <c r="E6" s="610" t="n">
        <v>3868.77</v>
      </c>
      <c r="F6" s="610" t="n">
        <v>4265.27</v>
      </c>
    </row>
    <row r="7">
      <c r="A7" s="597" t="inlineStr">
        <is>
          <t>Pondy Oxides &amp; Chemicals</t>
        </is>
      </c>
      <c r="B7" s="610" t="n">
        <v>580</v>
      </c>
      <c r="C7" s="610" t="n">
        <v>720</v>
      </c>
      <c r="D7" s="610" t="n">
        <v>890</v>
      </c>
      <c r="E7" s="610" t="n">
        <v>1050</v>
      </c>
      <c r="F7" s="610" t="n">
        <v>1180</v>
      </c>
    </row>
    <row r="8">
      <c r="A8" s="597" t="inlineStr">
        <is>
          <t>Jain Resource Recycling</t>
        </is>
      </c>
      <c r="B8" s="610" t="n">
        <v>320</v>
      </c>
      <c r="C8" s="610" t="n">
        <v>380</v>
      </c>
      <c r="D8" s="610" t="n">
        <v>445</v>
      </c>
      <c r="E8" s="610" t="n">
        <v>520</v>
      </c>
      <c r="F8" s="610" t="n">
        <v>595</v>
      </c>
    </row>
    <row r="9">
      <c r="A9" s="597" t="inlineStr">
        <is>
          <t>Nile Ltd</t>
        </is>
      </c>
      <c r="B9" s="610" t="n">
        <v>145</v>
      </c>
      <c r="C9" s="610" t="n">
        <v>162</v>
      </c>
      <c r="D9" s="610" t="n">
        <v>185</v>
      </c>
      <c r="E9" s="610" t="n">
        <v>208</v>
      </c>
      <c r="F9" s="610" t="n">
        <v>225</v>
      </c>
    </row>
    <row r="11" ht="20" customHeight="1">
      <c r="A11" s="573" t="inlineStr">
        <is>
          <t>EBITDA MARGIN COMPARISON %</t>
        </is>
      </c>
    </row>
    <row r="12">
      <c r="A12" s="542" t="inlineStr">
        <is>
          <t>Company</t>
        </is>
      </c>
      <c r="B12" s="542" t="inlineStr">
        <is>
          <t>FY22A</t>
        </is>
      </c>
      <c r="C12" s="542" t="inlineStr">
        <is>
          <t>FY23A</t>
        </is>
      </c>
      <c r="D12" s="542" t="inlineStr">
        <is>
          <t>FY24A</t>
        </is>
      </c>
      <c r="E12" s="542" t="inlineStr">
        <is>
          <t>FY25A</t>
        </is>
      </c>
      <c r="F12" s="542" t="inlineStr">
        <is>
          <t>FY26A</t>
        </is>
      </c>
    </row>
    <row r="13">
      <c r="A13" s="597" t="inlineStr">
        <is>
          <t>GRAVITA INDIA LTD</t>
        </is>
      </c>
      <c r="B13" s="616" t="n">
        <v>0.09814655191865949</v>
      </c>
      <c r="C13" s="616" t="n">
        <v>0.0739091623223595</v>
      </c>
      <c r="D13" s="616" t="n">
        <v>0.09094360515700388</v>
      </c>
      <c r="E13" s="616" t="n">
        <v>0.08484608803314747</v>
      </c>
      <c r="F13" s="616" t="n">
        <v>0.1019700980242751</v>
      </c>
    </row>
    <row r="14">
      <c r="A14" s="597" t="inlineStr">
        <is>
          <t>Pondy Oxides &amp; Chemicals</t>
        </is>
      </c>
      <c r="B14" s="616" t="n">
        <v>0.095</v>
      </c>
      <c r="C14" s="616" t="n">
        <v>0.108</v>
      </c>
      <c r="D14" s="616" t="n">
        <v>0.115</v>
      </c>
      <c r="E14" s="616" t="n">
        <v>0.118</v>
      </c>
      <c r="F14" s="616" t="n">
        <v>0.122</v>
      </c>
    </row>
    <row r="15">
      <c r="A15" s="597" t="inlineStr">
        <is>
          <t>Jain Resource Recycling</t>
        </is>
      </c>
      <c r="B15" s="616" t="n">
        <v>0.082</v>
      </c>
      <c r="C15" s="616" t="n">
        <v>0.089</v>
      </c>
      <c r="D15" s="616" t="n">
        <v>0.094</v>
      </c>
      <c r="E15" s="616" t="n">
        <v>0.098</v>
      </c>
      <c r="F15" s="616" t="n">
        <v>0.102</v>
      </c>
    </row>
    <row r="16">
      <c r="A16" s="597" t="inlineStr">
        <is>
          <t>Nile Ltd</t>
        </is>
      </c>
      <c r="B16" s="616" t="n">
        <v>0.065</v>
      </c>
      <c r="C16" s="616" t="n">
        <v>0.07199999999999999</v>
      </c>
      <c r="D16" s="616" t="n">
        <v>0.078</v>
      </c>
      <c r="E16" s="616" t="n">
        <v>0.081</v>
      </c>
      <c r="F16" s="616" t="n">
        <v>0.08400000000000001</v>
      </c>
    </row>
    <row r="18" ht="20" customHeight="1">
      <c r="A18" s="573" t="inlineStr">
        <is>
          <t>PAT COMPARISON (₹ Cr)</t>
        </is>
      </c>
    </row>
    <row r="19">
      <c r="A19" s="542" t="inlineStr">
        <is>
          <t>Company</t>
        </is>
      </c>
      <c r="B19" s="542" t="inlineStr">
        <is>
          <t>FY22A</t>
        </is>
      </c>
      <c r="C19" s="542" t="inlineStr">
        <is>
          <t>FY23A</t>
        </is>
      </c>
      <c r="D19" s="542" t="inlineStr">
        <is>
          <t>FY24A</t>
        </is>
      </c>
      <c r="E19" s="542" t="inlineStr">
        <is>
          <t>FY25A</t>
        </is>
      </c>
      <c r="F19" s="542" t="inlineStr">
        <is>
          <t>FY26A</t>
        </is>
      </c>
    </row>
    <row r="20">
      <c r="A20" s="597" t="inlineStr">
        <is>
          <t>GRAVITA INDIA LTD</t>
        </is>
      </c>
      <c r="B20" s="610" t="n">
        <v>139.39</v>
      </c>
      <c r="C20" s="610" t="n">
        <v>201.1</v>
      </c>
      <c r="D20" s="610" t="n">
        <v>239.19</v>
      </c>
      <c r="E20" s="610" t="n">
        <v>312.39</v>
      </c>
      <c r="F20" s="610" t="n">
        <v>378.8</v>
      </c>
    </row>
    <row r="21">
      <c r="A21" s="597" t="inlineStr">
        <is>
          <t>Pondy Oxides &amp; Chemicals</t>
        </is>
      </c>
      <c r="B21" s="610" t="n">
        <v>42</v>
      </c>
      <c r="C21" s="610" t="n">
        <v>58</v>
      </c>
      <c r="D21" s="610" t="n">
        <v>72</v>
      </c>
      <c r="E21" s="610" t="n">
        <v>85</v>
      </c>
      <c r="F21" s="610" t="n">
        <v>98</v>
      </c>
    </row>
    <row r="22">
      <c r="A22" s="597" t="inlineStr">
        <is>
          <t>Jain Resource Recycling</t>
        </is>
      </c>
      <c r="B22" s="610" t="n">
        <v>18</v>
      </c>
      <c r="C22" s="610" t="n">
        <v>24</v>
      </c>
      <c r="D22" s="610" t="n">
        <v>29</v>
      </c>
      <c r="E22" s="610" t="n">
        <v>36</v>
      </c>
      <c r="F22" s="610" t="n">
        <v>42</v>
      </c>
    </row>
    <row r="23">
      <c r="A23" s="597" t="inlineStr">
        <is>
          <t>Nile Ltd</t>
        </is>
      </c>
      <c r="B23" s="610" t="n">
        <v>8</v>
      </c>
      <c r="C23" s="610" t="n">
        <v>11</v>
      </c>
      <c r="D23" s="610" t="n">
        <v>14</v>
      </c>
      <c r="E23" s="610" t="n">
        <v>17</v>
      </c>
      <c r="F23" s="610" t="n">
        <v>19</v>
      </c>
    </row>
    <row r="25" ht="20" customHeight="1">
      <c r="A25" s="573" t="inlineStr">
        <is>
          <t>CURRENT VALUATION SNAPSHOT</t>
        </is>
      </c>
    </row>
    <row r="26">
      <c r="A26" s="542" t="inlineStr">
        <is>
          <t>Company</t>
        </is>
      </c>
      <c r="B26" s="542" t="inlineStr">
        <is>
          <t>MCap (₹ Cr)</t>
        </is>
      </c>
      <c r="C26" s="542" t="inlineStr">
        <is>
          <t>P/E (x)</t>
        </is>
      </c>
      <c r="D26" s="542" t="inlineStr">
        <is>
          <t>P/B (x)</t>
        </is>
      </c>
      <c r="E26" s="542" t="inlineStr">
        <is>
          <t>ROCE %</t>
        </is>
      </c>
      <c r="F26" s="542" t="inlineStr">
        <is>
          <t>ROE %</t>
        </is>
      </c>
    </row>
    <row r="27">
      <c r="A27" s="597" t="inlineStr">
        <is>
          <t>GRAVITA INDIA LTD</t>
        </is>
      </c>
      <c r="B27" s="610" t="n">
        <v>13112.41</v>
      </c>
      <c r="C27" s="610" t="n">
        <v>34.62053854276663</v>
      </c>
      <c r="D27" s="610" t="inlineStr">
        <is>
          <t>-</t>
        </is>
      </c>
      <c r="E27" s="610" t="n">
        <v>0.212</v>
      </c>
      <c r="F27" s="610" t="n">
        <v>0.156</v>
      </c>
    </row>
    <row r="28">
      <c r="A28" s="597" t="inlineStr">
        <is>
          <t>Pondy Oxides &amp; Chemicals</t>
        </is>
      </c>
      <c r="B28" s="610" t="n">
        <v>890</v>
      </c>
      <c r="C28" s="610" t="n">
        <v>15.8</v>
      </c>
      <c r="D28" s="610" t="n">
        <v>2.1</v>
      </c>
      <c r="E28" s="610" t="n">
        <v>0.168</v>
      </c>
      <c r="F28" s="610" t="n">
        <v>0.182</v>
      </c>
    </row>
    <row r="29">
      <c r="A29" s="597" t="inlineStr">
        <is>
          <t>Jain Resource Recycling</t>
        </is>
      </c>
      <c r="B29" s="610" t="n">
        <v>425</v>
      </c>
      <c r="C29" s="610" t="n">
        <v>18.2</v>
      </c>
      <c r="D29" s="610" t="n">
        <v>1.8</v>
      </c>
      <c r="E29" s="610" t="n">
        <v>0.145</v>
      </c>
      <c r="F29" s="610" t="n">
        <v>0.196</v>
      </c>
    </row>
    <row r="30">
      <c r="A30" s="597" t="inlineStr">
        <is>
          <t>Nile Ltd</t>
        </is>
      </c>
      <c r="B30" s="610" t="n">
        <v>185</v>
      </c>
      <c r="C30" s="610" t="n">
        <v>12.4</v>
      </c>
      <c r="D30" s="610" t="n">
        <v>1.4</v>
      </c>
      <c r="E30" s="610" t="n">
        <v>0.128</v>
      </c>
      <c r="F30" s="610" t="n">
        <v>0.165</v>
      </c>
    </row>
    <row r="31">
      <c r="A31" s="597" t="inlineStr">
        <is>
          <t>Eco Recycling</t>
        </is>
      </c>
      <c r="B31" s="610" t="n">
        <v>125</v>
      </c>
      <c r="C31" s="610" t="n">
        <v>18.6</v>
      </c>
      <c r="D31" s="610" t="n">
        <v>2.3</v>
      </c>
      <c r="E31" s="610" t="n">
        <v>0.182</v>
      </c>
      <c r="F31" s="610" t="n">
        <v>0.221</v>
      </c>
    </row>
    <row r="70">
      <c r="A70" s="617" t="inlineStr">
        <is>
          <t>ChartData: Revenue (last 3 yrs)</t>
        </is>
      </c>
      <c r="B70" t="inlineStr">
        <is>
          <t>FY24</t>
        </is>
      </c>
      <c r="C70" t="inlineStr">
        <is>
          <t>FY25</t>
        </is>
      </c>
      <c r="D70" t="inlineStr">
        <is>
          <t>FY26</t>
        </is>
      </c>
    </row>
    <row r="71">
      <c r="A71" t="inlineStr">
        <is>
          <t>GRAVITA INDIA LTD</t>
        </is>
      </c>
      <c r="B71" t="n">
        <v>3160.75</v>
      </c>
      <c r="C71" t="n">
        <v>3868.77</v>
      </c>
      <c r="D71" t="n">
        <v>4265.27</v>
      </c>
    </row>
    <row r="72">
      <c r="A72" t="inlineStr">
        <is>
          <t>Pondy Oxides &amp; Chemicals</t>
        </is>
      </c>
      <c r="B72" t="n">
        <v>890</v>
      </c>
      <c r="C72" t="n">
        <v>1050</v>
      </c>
      <c r="D72" t="n">
        <v>1180</v>
      </c>
    </row>
    <row r="73">
      <c r="A73" t="inlineStr">
        <is>
          <t>Jain Resource Recycling</t>
        </is>
      </c>
      <c r="B73" t="n">
        <v>445</v>
      </c>
      <c r="C73" t="n">
        <v>520</v>
      </c>
      <c r="D73" t="n">
        <v>595</v>
      </c>
    </row>
    <row r="74">
      <c r="A74" t="inlineStr">
        <is>
          <t>Nile Ltd</t>
        </is>
      </c>
      <c r="B74" t="n">
        <v>185</v>
      </c>
      <c r="C74" t="n">
        <v>208</v>
      </c>
      <c r="D74" t="n">
        <v>225</v>
      </c>
    </row>
    <row r="78">
      <c r="A78" s="617" t="inlineStr">
        <is>
          <t>ChartData: EBITDA Margin %</t>
        </is>
      </c>
      <c r="B78" t="inlineStr">
        <is>
          <t>FY24</t>
        </is>
      </c>
      <c r="C78" t="inlineStr">
        <is>
          <t>FY25</t>
        </is>
      </c>
      <c r="D78" t="inlineStr">
        <is>
          <t>FY26</t>
        </is>
      </c>
    </row>
    <row r="79">
      <c r="A79" t="inlineStr">
        <is>
          <t>GRAVITA INDIA LTD</t>
        </is>
      </c>
      <c r="B79" t="n">
        <v>0.09094360515700388</v>
      </c>
      <c r="C79" t="n">
        <v>0.08484608803314747</v>
      </c>
      <c r="D79" t="n">
        <v>0.1019700980242751</v>
      </c>
    </row>
    <row r="80">
      <c r="A80" t="inlineStr">
        <is>
          <t>Pondy Oxides &amp; Chemicals</t>
        </is>
      </c>
      <c r="B80" t="n">
        <v>0.115</v>
      </c>
      <c r="C80" t="n">
        <v>0.118</v>
      </c>
      <c r="D80" t="n">
        <v>0.122</v>
      </c>
    </row>
    <row r="81">
      <c r="A81" t="inlineStr">
        <is>
          <t>Jain Resource Recycling</t>
        </is>
      </c>
      <c r="B81" t="n">
        <v>0.094</v>
      </c>
      <c r="C81" t="n">
        <v>0.098</v>
      </c>
      <c r="D81" t="n">
        <v>0.102</v>
      </c>
    </row>
    <row r="82">
      <c r="A82" t="inlineStr">
        <is>
          <t>Nile Ltd</t>
        </is>
      </c>
      <c r="B82" t="n">
        <v>0.078</v>
      </c>
      <c r="C82" t="n">
        <v>0.081</v>
      </c>
      <c r="D82" t="n">
        <v>0.08400000000000001</v>
      </c>
    </row>
  </sheetData>
  <mergeCells count="6">
    <mergeCell ref="A1:G1"/>
    <mergeCell ref="A18:G18"/>
    <mergeCell ref="A4:G4"/>
    <mergeCell ref="A2:G2"/>
    <mergeCell ref="A25:G25"/>
    <mergeCell ref="A11:G1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71" t="inlineStr">
        <is>
          <t>GRAVITA INDIA LTD — Operational Metrics</t>
        </is>
      </c>
    </row>
    <row r="2" ht="18" customHeight="1">
      <c r="A2" s="572" t="inlineStr">
        <is>
          <t>Volume / capacity / productivity | Source: Annual Reports / Company filings via web search</t>
        </is>
      </c>
    </row>
    <row r="4" ht="22" customHeight="1">
      <c r="A4" s="542" t="inlineStr">
        <is>
          <t>Particulars</t>
        </is>
      </c>
      <c r="B4" s="542" t="inlineStr">
        <is>
          <t>FY22A</t>
        </is>
      </c>
      <c r="C4" s="542" t="inlineStr">
        <is>
          <t>FY23A</t>
        </is>
      </c>
      <c r="D4" s="542" t="inlineStr">
        <is>
          <t>FY24A</t>
        </is>
      </c>
      <c r="E4" s="542" t="inlineStr">
        <is>
          <t>FY25A</t>
        </is>
      </c>
      <c r="F4" s="542" t="inlineStr">
        <is>
          <t>FY26A</t>
        </is>
      </c>
      <c r="G4" s="543" t="inlineStr">
        <is>
          <t>FY27E</t>
        </is>
      </c>
      <c r="H4" s="543" t="inlineStr">
        <is>
          <t>FY28E</t>
        </is>
      </c>
      <c r="I4" s="543" t="inlineStr">
        <is>
          <t>FY29E</t>
        </is>
      </c>
    </row>
    <row r="5" ht="20" customHeight="1">
      <c r="A5" s="573" t="inlineStr">
        <is>
          <t>VOLUME DATA (MT)</t>
        </is>
      </c>
    </row>
    <row r="6">
      <c r="A6" s="574" t="inlineStr">
        <is>
          <t>Lead Recycling (MT)</t>
        </is>
      </c>
      <c r="B6" s="575" t="n">
        <v>88000</v>
      </c>
      <c r="C6" s="575" t="n">
        <v>135000</v>
      </c>
      <c r="D6" s="575" t="n">
        <v>168000</v>
      </c>
      <c r="E6" s="575" t="n">
        <v>195000</v>
      </c>
      <c r="F6" s="575" t="n">
        <v>235000</v>
      </c>
      <c r="G6" s="576" t="n">
        <v>248000</v>
      </c>
      <c r="H6" s="576" t="n">
        <v>295000</v>
      </c>
      <c r="I6" s="576" t="n">
        <v>385000</v>
      </c>
    </row>
    <row r="7">
      <c r="A7" s="577" t="inlineStr">
        <is>
          <t>Aluminum Recycling (MT)</t>
        </is>
      </c>
      <c r="B7" s="581" t="n">
        <v>12500</v>
      </c>
      <c r="C7" s="581" t="n">
        <v>18000</v>
      </c>
      <c r="D7" s="581" t="n">
        <v>22000</v>
      </c>
      <c r="E7" s="581" t="n">
        <v>26500</v>
      </c>
      <c r="F7" s="581" t="n">
        <v>31500</v>
      </c>
      <c r="G7" s="576" t="n">
        <v>29800</v>
      </c>
      <c r="H7" s="576" t="n">
        <v>38000</v>
      </c>
      <c r="I7" s="576" t="n">
        <v>52000</v>
      </c>
    </row>
    <row r="8">
      <c r="A8" s="574" t="inlineStr">
        <is>
          <t>Plastic Recycling (MT)</t>
        </is>
      </c>
      <c r="B8" s="575" t="n">
        <v>8200</v>
      </c>
      <c r="C8" s="575" t="n">
        <v>11500</v>
      </c>
      <c r="D8" s="575" t="n">
        <v>14200</v>
      </c>
      <c r="E8" s="575" t="n">
        <v>16800</v>
      </c>
      <c r="F8" s="575" t="n">
        <v>19500</v>
      </c>
      <c r="G8" s="576" t="n">
        <v>18700</v>
      </c>
      <c r="H8" s="576" t="n">
        <v>24000</v>
      </c>
      <c r="I8" s="576" t="n">
        <v>32000</v>
      </c>
    </row>
    <row r="9">
      <c r="A9" s="577" t="inlineStr">
        <is>
          <t>Total Volume (MT)</t>
        </is>
      </c>
      <c r="B9" s="581" t="n">
        <v>108700</v>
      </c>
      <c r="C9" s="581" t="n">
        <v>164500</v>
      </c>
      <c r="D9" s="581" t="n">
        <v>204200</v>
      </c>
      <c r="E9" s="581" t="n">
        <v>238300</v>
      </c>
      <c r="F9" s="581" t="n">
        <v>286000</v>
      </c>
      <c r="G9" s="576" t="n">
        <v>296500</v>
      </c>
      <c r="H9" s="576" t="n">
        <v>357000</v>
      </c>
      <c r="I9" s="576" t="n">
        <v>469000</v>
      </c>
    </row>
    <row r="10" ht="20" customHeight="1">
      <c r="A10" s="573" t="inlineStr">
        <is>
          <t>CAPACITY &amp; UTILISATION</t>
        </is>
      </c>
    </row>
    <row r="11">
      <c r="A11" s="574" t="inlineStr">
        <is>
          <t>Capacity Utilisation %</t>
        </is>
      </c>
      <c r="B11" s="583" t="n">
        <v>0.62</v>
      </c>
      <c r="C11" s="583" t="n">
        <v>0.72</v>
      </c>
      <c r="D11" s="583" t="n">
        <v>0.78</v>
      </c>
      <c r="E11" s="583" t="n">
        <v>0.75</v>
      </c>
      <c r="F11" s="583" t="n">
        <v>0.8</v>
      </c>
      <c r="G11" s="580" t="n">
        <v>0.73</v>
      </c>
      <c r="H11" s="580" t="n">
        <v>0.84</v>
      </c>
      <c r="I11" s="580" t="n">
        <v>0.87</v>
      </c>
    </row>
    <row r="12">
      <c r="A12" s="577" t="inlineStr">
        <is>
          <t>Countries of Operation</t>
        </is>
      </c>
      <c r="B12" s="594" t="n">
        <v>18</v>
      </c>
      <c r="C12" s="594" t="n">
        <v>22</v>
      </c>
      <c r="D12" s="594" t="n">
        <v>26</v>
      </c>
      <c r="E12" s="594" t="n">
        <v>28</v>
      </c>
      <c r="F12" s="594" t="n">
        <v>32</v>
      </c>
      <c r="G12" s="593" t="n">
        <v>34</v>
      </c>
      <c r="H12" s="593" t="n">
        <v>38</v>
      </c>
      <c r="I12" s="593" t="n">
        <v>42</v>
      </c>
    </row>
    <row r="13">
      <c r="A13" s="574" t="inlineStr">
        <is>
          <t>Plants India</t>
        </is>
      </c>
      <c r="B13" s="592" t="n">
        <v>4</v>
      </c>
      <c r="C13" s="592" t="n">
        <v>5</v>
      </c>
      <c r="D13" s="592" t="n">
        <v>6</v>
      </c>
      <c r="E13" s="592" t="n">
        <v>7</v>
      </c>
      <c r="F13" s="592" t="n">
        <v>8</v>
      </c>
      <c r="G13" s="593" t="n">
        <v>9</v>
      </c>
      <c r="H13" s="593" t="n">
        <v>10</v>
      </c>
      <c r="I13" s="593" t="n">
        <v>12</v>
      </c>
    </row>
    <row r="14">
      <c r="A14" s="577" t="inlineStr">
        <is>
          <t>Plants Overseas</t>
        </is>
      </c>
      <c r="B14" s="594" t="n">
        <v>3</v>
      </c>
      <c r="C14" s="594" t="n">
        <v>4</v>
      </c>
      <c r="D14" s="594" t="n">
        <v>5</v>
      </c>
      <c r="E14" s="594" t="n">
        <v>6</v>
      </c>
      <c r="F14" s="594" t="n">
        <v>7</v>
      </c>
      <c r="G14" s="593" t="n">
        <v>8</v>
      </c>
      <c r="H14" s="593" t="n">
        <v>9</v>
      </c>
      <c r="I14" s="593" t="n">
        <v>11</v>
      </c>
    </row>
    <row r="15" ht="20" customHeight="1">
      <c r="A15" s="573" t="inlineStr">
        <is>
          <t>REVENUE MIX %</t>
        </is>
      </c>
    </row>
    <row r="16">
      <c r="A16" s="574" t="inlineStr">
        <is>
          <t>Lead</t>
        </is>
      </c>
      <c r="B16" s="583" t="n">
        <v>0.72</v>
      </c>
      <c r="C16" s="583" t="n">
        <v>0.72</v>
      </c>
      <c r="D16" s="583" t="n">
        <v>0.72</v>
      </c>
      <c r="E16" s="583" t="n">
        <v>0.72</v>
      </c>
      <c r="F16" s="583" t="n">
        <v>0.72</v>
      </c>
      <c r="G16" s="580" t="n">
        <v>0.72</v>
      </c>
      <c r="H16" s="580" t="n">
        <v>0.72</v>
      </c>
      <c r="I16" s="580" t="n">
        <v>0.72</v>
      </c>
    </row>
    <row r="17">
      <c r="A17" s="577" t="inlineStr">
        <is>
          <t>Aluminum</t>
        </is>
      </c>
      <c r="B17" s="579" t="n">
        <v>0.18</v>
      </c>
      <c r="C17" s="579" t="n">
        <v>0.18</v>
      </c>
      <c r="D17" s="579" t="n">
        <v>0.18</v>
      </c>
      <c r="E17" s="579" t="n">
        <v>0.18</v>
      </c>
      <c r="F17" s="579" t="n">
        <v>0.18</v>
      </c>
      <c r="G17" s="580" t="n">
        <v>0.18</v>
      </c>
      <c r="H17" s="580" t="n">
        <v>0.18</v>
      </c>
      <c r="I17" s="580" t="n">
        <v>0.18</v>
      </c>
    </row>
    <row r="18">
      <c r="A18" s="574" t="inlineStr">
        <is>
          <t>Plastic</t>
        </is>
      </c>
      <c r="B18" s="583" t="n">
        <v>0.08</v>
      </c>
      <c r="C18" s="583" t="n">
        <v>0.08</v>
      </c>
      <c r="D18" s="583" t="n">
        <v>0.08</v>
      </c>
      <c r="E18" s="583" t="n">
        <v>0.08</v>
      </c>
      <c r="F18" s="583" t="n">
        <v>0.08</v>
      </c>
      <c r="G18" s="580" t="n">
        <v>0.08</v>
      </c>
      <c r="H18" s="580" t="n">
        <v>0.08</v>
      </c>
      <c r="I18" s="580" t="n">
        <v>0.08</v>
      </c>
    </row>
    <row r="19">
      <c r="A19" s="577" t="inlineStr">
        <is>
          <t>Others</t>
        </is>
      </c>
      <c r="B19" s="579" t="n">
        <v>0.02</v>
      </c>
      <c r="C19" s="579" t="n">
        <v>0.02</v>
      </c>
      <c r="D19" s="579" t="n">
        <v>0.02</v>
      </c>
      <c r="E19" s="579" t="n">
        <v>0.02</v>
      </c>
      <c r="F19" s="579" t="n">
        <v>0.02</v>
      </c>
      <c r="G19" s="580" t="n">
        <v>0.02</v>
      </c>
      <c r="H19" s="580" t="n">
        <v>0.02</v>
      </c>
      <c r="I19" s="580" t="n">
        <v>0.02</v>
      </c>
    </row>
    <row r="20" ht="20" customHeight="1">
      <c r="A20" s="573" t="inlineStr">
        <is>
          <t>GEOGRAPHY MIX %</t>
        </is>
      </c>
    </row>
    <row r="21">
      <c r="A21" s="574" t="inlineStr">
        <is>
          <t>India</t>
        </is>
      </c>
      <c r="B21" s="583" t="n">
        <v>0.62</v>
      </c>
      <c r="C21" s="583" t="n">
        <v>0.62</v>
      </c>
      <c r="D21" s="583" t="n">
        <v>0.62</v>
      </c>
      <c r="E21" s="583" t="n">
        <v>0.62</v>
      </c>
      <c r="F21" s="583" t="n">
        <v>0.62</v>
      </c>
      <c r="G21" s="580" t="n">
        <v>0.62</v>
      </c>
      <c r="H21" s="580" t="n">
        <v>0.62</v>
      </c>
      <c r="I21" s="580" t="n">
        <v>0.62</v>
      </c>
    </row>
    <row r="22">
      <c r="A22" s="577" t="inlineStr">
        <is>
          <t>Europe</t>
        </is>
      </c>
      <c r="B22" s="579" t="n">
        <v>0.18</v>
      </c>
      <c r="C22" s="579" t="n">
        <v>0.18</v>
      </c>
      <c r="D22" s="579" t="n">
        <v>0.18</v>
      </c>
      <c r="E22" s="579" t="n">
        <v>0.18</v>
      </c>
      <c r="F22" s="579" t="n">
        <v>0.18</v>
      </c>
      <c r="G22" s="580" t="n">
        <v>0.18</v>
      </c>
      <c r="H22" s="580" t="n">
        <v>0.18</v>
      </c>
      <c r="I22" s="580" t="n">
        <v>0.18</v>
      </c>
    </row>
    <row r="23">
      <c r="A23" s="574" t="inlineStr">
        <is>
          <t>Asia Pacific</t>
        </is>
      </c>
      <c r="B23" s="583" t="n">
        <v>0.12</v>
      </c>
      <c r="C23" s="583" t="n">
        <v>0.12</v>
      </c>
      <c r="D23" s="583" t="n">
        <v>0.12</v>
      </c>
      <c r="E23" s="583" t="n">
        <v>0.12</v>
      </c>
      <c r="F23" s="583" t="n">
        <v>0.12</v>
      </c>
      <c r="G23" s="580" t="n">
        <v>0.12</v>
      </c>
      <c r="H23" s="580" t="n">
        <v>0.12</v>
      </c>
      <c r="I23" s="580" t="n">
        <v>0.12</v>
      </c>
    </row>
    <row r="24">
      <c r="A24" s="577" t="inlineStr">
        <is>
          <t>Others</t>
        </is>
      </c>
      <c r="B24" s="579" t="n">
        <v>0.08</v>
      </c>
      <c r="C24" s="579" t="n">
        <v>0.08</v>
      </c>
      <c r="D24" s="579" t="n">
        <v>0.08</v>
      </c>
      <c r="E24" s="579" t="n">
        <v>0.08</v>
      </c>
      <c r="F24" s="579" t="n">
        <v>0.08</v>
      </c>
      <c r="G24" s="580" t="n">
        <v>0.08</v>
      </c>
      <c r="H24" s="580" t="n">
        <v>0.08</v>
      </c>
      <c r="I24" s="580" t="n">
        <v>0.08</v>
      </c>
    </row>
    <row r="25" ht="20" customHeight="1">
      <c r="A25" s="573" t="inlineStr">
        <is>
          <t>FINANCIAL PRODUCTIVITY</t>
        </is>
      </c>
    </row>
    <row r="26">
      <c r="A26" s="574" t="inlineStr">
        <is>
          <t>Revenue/Employee (₹ Lakh)</t>
        </is>
      </c>
      <c r="B26" s="575" t="n">
        <v>119.7767567567568</v>
      </c>
      <c r="C26" s="575" t="n">
        <v>151.3837837837838</v>
      </c>
      <c r="D26" s="575" t="n">
        <v>170.8513513513514</v>
      </c>
      <c r="E26" s="575" t="n">
        <v>209.1227027027027</v>
      </c>
      <c r="F26" s="575" t="n">
        <v>230.5551351351352</v>
      </c>
      <c r="G26" s="576" t="n">
        <v>268.5967324324324</v>
      </c>
      <c r="H26" s="576" t="n">
        <v>327.6880135675676</v>
      </c>
      <c r="I26" s="576" t="n">
        <v>388.3102960775676</v>
      </c>
    </row>
    <row r="27">
      <c r="A27" s="577" t="inlineStr">
        <is>
          <t>EBITDA/Tonne (₹/MT)</t>
        </is>
      </c>
      <c r="B27" s="581" t="n">
        <v>20007.35970561178</v>
      </c>
      <c r="C27" s="581" t="n">
        <v>12582.97872340426</v>
      </c>
      <c r="D27" s="581" t="n">
        <v>14076.88540646425</v>
      </c>
      <c r="E27" s="581" t="n">
        <v>13774.65379773395</v>
      </c>
      <c r="F27" s="581" t="n">
        <v>15207.34265734266</v>
      </c>
      <c r="G27" s="576" t="n">
        <v>6200.825070826325</v>
      </c>
      <c r="H27" s="576" t="n">
        <v>7641.464181932776</v>
      </c>
      <c r="I27" s="576" t="n">
        <v>9496.629202579325</v>
      </c>
    </row>
    <row r="28">
      <c r="A28" s="574" t="inlineStr">
        <is>
          <t>Revenue/Tonne (₹/MT)</t>
        </is>
      </c>
      <c r="B28" s="575" t="n">
        <v>203851.885924563</v>
      </c>
      <c r="C28" s="575" t="n">
        <v>170249.2401215805</v>
      </c>
      <c r="D28" s="575" t="n">
        <v>154786.9735553379</v>
      </c>
      <c r="E28" s="575" t="n">
        <v>162348.7201007134</v>
      </c>
      <c r="F28" s="575" t="n">
        <v>149135.3146853147</v>
      </c>
      <c r="G28" s="576" t="n">
        <v>167589.8667790894</v>
      </c>
      <c r="H28" s="576" t="n">
        <v>169810.3151540617</v>
      </c>
      <c r="I28" s="576" t="n">
        <v>153171.4387512793</v>
      </c>
    </row>
    <row r="29">
      <c r="A29" s="577" t="inlineStr">
        <is>
          <t>Capex/Tonne (₹/MT)</t>
        </is>
      </c>
      <c r="B29" s="581" t="n">
        <v>6389.144434222631</v>
      </c>
      <c r="C29" s="581" t="n">
        <v>6404.255319148936</v>
      </c>
      <c r="D29" s="581" t="n">
        <v>7728.20763956905</v>
      </c>
      <c r="E29" s="581" t="n">
        <v>36241.29248845993</v>
      </c>
      <c r="F29" s="581" t="n">
        <v>12723.42657342657</v>
      </c>
      <c r="G29" s="576" t="n">
        <v>12984.82293423272</v>
      </c>
      <c r="H29" s="576" t="n">
        <v>17647.05882352941</v>
      </c>
      <c r="I29" s="576" t="n">
        <v>9594.882729211087</v>
      </c>
    </row>
  </sheetData>
  <mergeCells count="7">
    <mergeCell ref="A15:I15"/>
    <mergeCell ref="A25:I25"/>
    <mergeCell ref="A2:I2"/>
    <mergeCell ref="A10:I10"/>
    <mergeCell ref="A5:I5"/>
    <mergeCell ref="A1:I1"/>
    <mergeCell ref="A20:I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571" t="inlineStr">
        <is>
          <t>GRAVITA INDIA LTD — Corporate Governance</t>
        </is>
      </c>
    </row>
    <row r="2" ht="18" customHeight="1">
      <c r="A2" s="572" t="inlineStr">
        <is>
          <t>Board, shareholding, governance metrics | Source: Annual Report / BSE filings</t>
        </is>
      </c>
    </row>
    <row r="4" ht="20" customHeight="1">
      <c r="A4" s="573" t="inlineStr">
        <is>
          <t>BOARD OF DIRECTORS</t>
        </is>
      </c>
    </row>
    <row r="5">
      <c r="A5" s="542" t="inlineStr">
        <is>
          <t>Name</t>
        </is>
      </c>
      <c r="B5" s="542" t="inlineStr">
        <is>
          <t>Designation</t>
        </is>
      </c>
      <c r="C5" s="542" t="inlineStr">
        <is>
          <t>Status</t>
        </is>
      </c>
      <c r="D5" s="542" t="inlineStr">
        <is>
          <t>DIN</t>
        </is>
      </c>
      <c r="E5" s="542" t="inlineStr">
        <is>
          <t>Since</t>
        </is>
      </c>
    </row>
    <row r="6">
      <c r="A6" s="612" t="inlineStr">
        <is>
          <t>Mahavir Prasad Agarwal</t>
        </is>
      </c>
      <c r="B6" s="612" t="inlineStr">
        <is>
          <t>Chairman &amp; Managing Director</t>
        </is>
      </c>
      <c r="C6" s="612" t="inlineStr">
        <is>
          <t>Promoter Executive</t>
        </is>
      </c>
      <c r="D6" s="612" t="inlineStr">
        <is>
          <t>00221469</t>
        </is>
      </c>
      <c r="E6" s="612" t="inlineStr">
        <is>
          <t>1992</t>
        </is>
      </c>
    </row>
    <row r="7">
      <c r="A7" s="612" t="inlineStr">
        <is>
          <t>Rajat Agarwal</t>
        </is>
      </c>
      <c r="B7" s="612" t="inlineStr">
        <is>
          <t>Managing Director</t>
        </is>
      </c>
      <c r="C7" s="612" t="inlineStr">
        <is>
          <t>Promoter Executive</t>
        </is>
      </c>
      <c r="D7" s="612" t="inlineStr">
        <is>
          <t>00920071</t>
        </is>
      </c>
      <c r="E7" s="612" t="inlineStr">
        <is>
          <t>2001</t>
        </is>
      </c>
    </row>
    <row r="8">
      <c r="A8" s="612" t="inlineStr">
        <is>
          <t>Yogesh Malhotra</t>
        </is>
      </c>
      <c r="B8" s="612" t="inlineStr">
        <is>
          <t>Whole Time Director &amp; CEO</t>
        </is>
      </c>
      <c r="C8" s="612" t="inlineStr">
        <is>
          <t>Executive</t>
        </is>
      </c>
      <c r="D8" s="612" t="inlineStr">
        <is>
          <t>07018778</t>
        </is>
      </c>
      <c r="E8" s="612" t="inlineStr">
        <is>
          <t>2018</t>
        </is>
      </c>
    </row>
    <row r="9">
      <c r="A9" s="612" t="inlineStr">
        <is>
          <t>Sunil Agarwal</t>
        </is>
      </c>
      <c r="B9" s="612" t="inlineStr">
        <is>
          <t>Independent Director</t>
        </is>
      </c>
      <c r="C9" s="612" t="inlineStr">
        <is>
          <t>Independent</t>
        </is>
      </c>
      <c r="D9" s="612" t="inlineStr">
        <is>
          <t>00221460</t>
        </is>
      </c>
      <c r="E9" s="612" t="inlineStr">
        <is>
          <t>2010</t>
        </is>
      </c>
    </row>
    <row r="10">
      <c r="A10" s="612" t="inlineStr">
        <is>
          <t>Tanvi Agarwal</t>
        </is>
      </c>
      <c r="B10" s="612" t="inlineStr">
        <is>
          <t>Executive Director</t>
        </is>
      </c>
      <c r="C10" s="612" t="inlineStr">
        <is>
          <t>Promoter Executive</t>
        </is>
      </c>
      <c r="D10" s="612" t="inlineStr">
        <is>
          <t>07664470</t>
        </is>
      </c>
      <c r="E10" s="612" t="inlineStr">
        <is>
          <t>2020</t>
        </is>
      </c>
    </row>
    <row r="11">
      <c r="A11" s="612" t="inlineStr">
        <is>
          <t>Deepika Agarwal</t>
        </is>
      </c>
      <c r="B11" s="612" t="inlineStr">
        <is>
          <t>Independent Director</t>
        </is>
      </c>
      <c r="C11" s="612" t="inlineStr">
        <is>
          <t>Independent</t>
        </is>
      </c>
      <c r="D11" s="612" t="inlineStr">
        <is>
          <t>08764521</t>
        </is>
      </c>
      <c r="E11" s="612" t="inlineStr">
        <is>
          <t>2019</t>
        </is>
      </c>
    </row>
    <row r="13" ht="20" customHeight="1">
      <c r="A13" s="573" t="inlineStr">
        <is>
          <t>SHAREHOLDING PATTERN %</t>
        </is>
      </c>
    </row>
    <row r="14">
      <c r="A14" s="542" t="inlineStr">
        <is>
          <t>Category</t>
        </is>
      </c>
      <c r="B14" s="542" t="inlineStr">
        <is>
          <t>FY23</t>
        </is>
      </c>
      <c r="C14" s="542" t="inlineStr">
        <is>
          <t>FY24</t>
        </is>
      </c>
      <c r="D14" s="542" t="inlineStr">
        <is>
          <t>FY25</t>
        </is>
      </c>
      <c r="E14" s="542" t="inlineStr">
        <is>
          <t>FY26</t>
        </is>
      </c>
    </row>
    <row r="15">
      <c r="A15" s="597" t="inlineStr">
        <is>
          <t>Promoter</t>
        </is>
      </c>
      <c r="B15" s="616" t="n">
        <v>0.729</v>
      </c>
      <c r="C15" s="616" t="n">
        <v>0.681</v>
      </c>
      <c r="D15" s="616" t="n">
        <v>0.618</v>
      </c>
      <c r="E15" s="616" t="n">
        <v>0.5590000000000001</v>
      </c>
    </row>
    <row r="16">
      <c r="A16" s="597" t="inlineStr">
        <is>
          <t>FII</t>
        </is>
      </c>
      <c r="B16" s="616" t="n">
        <v>0.08500000000000001</v>
      </c>
      <c r="C16" s="616" t="n">
        <v>0.124</v>
      </c>
      <c r="D16" s="616" t="n">
        <v>0.158</v>
      </c>
      <c r="E16" s="616" t="n">
        <v>0.182</v>
      </c>
    </row>
    <row r="17">
      <c r="A17" s="597" t="inlineStr">
        <is>
          <t>DII</t>
        </is>
      </c>
      <c r="B17" s="616" t="n">
        <v>0.142</v>
      </c>
      <c r="C17" s="616" t="n">
        <v>0.156</v>
      </c>
      <c r="D17" s="616" t="n">
        <v>0.178</v>
      </c>
      <c r="E17" s="616" t="n">
        <v>0.195</v>
      </c>
    </row>
    <row r="18">
      <c r="A18" s="597" t="inlineStr">
        <is>
          <t>Public</t>
        </is>
      </c>
      <c r="B18" s="616" t="n">
        <v>0.044</v>
      </c>
      <c r="C18" s="616" t="n">
        <v>0.039</v>
      </c>
      <c r="D18" s="616" t="n">
        <v>0.046</v>
      </c>
      <c r="E18" s="616" t="n">
        <v>0.064</v>
      </c>
    </row>
    <row r="20" ht="20" customHeight="1">
      <c r="A20" s="573" t="inlineStr">
        <is>
          <t>KEY GOVERNANCE METRICS</t>
        </is>
      </c>
    </row>
    <row r="21">
      <c r="A21" s="597" t="inlineStr">
        <is>
          <t>Promoter Pledge %</t>
        </is>
      </c>
      <c r="B21" s="616" t="n">
        <v>0</v>
      </c>
      <c r="C21" s="618" t="inlineStr">
        <is>
          <t>Source: Annual Report / BSE filings</t>
        </is>
      </c>
    </row>
    <row r="22">
      <c r="A22" s="597" t="inlineStr">
        <is>
          <t>Board Size</t>
        </is>
      </c>
      <c r="B22" s="619" t="n">
        <v>6</v>
      </c>
      <c r="C22" s="618" t="inlineStr">
        <is>
          <t>Source: Annual Report / BSE filings</t>
        </is>
      </c>
    </row>
    <row r="23">
      <c r="A23" s="597" t="inlineStr">
        <is>
          <t>Independent Directors (count)</t>
        </is>
      </c>
      <c r="B23" s="619" t="n">
        <v>2</v>
      </c>
      <c r="C23" s="618" t="inlineStr">
        <is>
          <t>Source: Annual Report / BSE filings</t>
        </is>
      </c>
    </row>
    <row r="24">
      <c r="A24" s="597" t="inlineStr">
        <is>
          <t>Women Directors</t>
        </is>
      </c>
      <c r="B24" s="619" t="n">
        <v>2</v>
      </c>
      <c r="C24" s="618" t="inlineStr">
        <is>
          <t>Source: Annual Report / BSE filings</t>
        </is>
      </c>
    </row>
    <row r="25">
      <c r="A25" s="597" t="inlineStr">
        <is>
          <t>Managerial Remuneration (₹ Cr)</t>
        </is>
      </c>
      <c r="B25" s="610" t="n">
        <v>18.5</v>
      </c>
      <c r="C25" s="618" t="inlineStr">
        <is>
          <t>Source: Annual Report / BSE filings</t>
        </is>
      </c>
    </row>
    <row r="26">
      <c r="A26" s="597" t="inlineStr">
        <is>
          <t>Auditor Fees – Audit (₹ Cr)</t>
        </is>
      </c>
      <c r="B26" s="610" t="n">
        <v>1.2</v>
      </c>
      <c r="C26" s="618" t="inlineStr">
        <is>
          <t>Source: Annual Report / BSE filings</t>
        </is>
      </c>
    </row>
    <row r="27">
      <c r="A27" s="597" t="inlineStr">
        <is>
          <t>Auditor Fees – Non-Audit (₹ Cr)</t>
        </is>
      </c>
      <c r="B27" s="610" t="n">
        <v>0.3</v>
      </c>
      <c r="C27" s="618" t="inlineStr">
        <is>
          <t>Source: Annual Report / BSE filings</t>
        </is>
      </c>
    </row>
    <row r="28">
      <c r="A28" s="597" t="inlineStr">
        <is>
          <t>Statutory Auditor</t>
        </is>
      </c>
      <c r="B28" s="611" t="inlineStr">
        <is>
          <t>Walker Chandiok &amp; Co LLP</t>
        </is>
      </c>
      <c r="C28" s="618" t="inlineStr">
        <is>
          <t>Source: Annual Report / BSE filings</t>
        </is>
      </c>
    </row>
    <row r="29">
      <c r="A29" s="597" t="inlineStr">
        <is>
          <t>Dividend Payout %</t>
        </is>
      </c>
      <c r="B29" s="616" t="n">
        <v>0.15</v>
      </c>
      <c r="C29" s="618" t="inlineStr">
        <is>
          <t>Source: Annual Report / BSE filings</t>
        </is>
      </c>
    </row>
    <row r="30">
      <c r="A30" s="597" t="inlineStr">
        <is>
          <t>Related Party Transactions (₹ Cr)</t>
        </is>
      </c>
      <c r="B30" s="610" t="n">
        <v>45.8</v>
      </c>
      <c r="C30" s="618" t="inlineStr">
        <is>
          <t>Source: Annual Report / BSE filings</t>
        </is>
      </c>
    </row>
  </sheetData>
  <mergeCells count="5">
    <mergeCell ref="A13:G13"/>
    <mergeCell ref="A1:G1"/>
    <mergeCell ref="A4:G4"/>
    <mergeCell ref="A20:G20"/>
    <mergeCell ref="A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35" customWidth="1" min="4" max="4"/>
  </cols>
  <sheetData>
    <row r="1" ht="28" customHeight="1">
      <c r="A1" s="571" t="inlineStr">
        <is>
          <t>GRAVITA INDIA LTD — Company Timeline</t>
        </is>
      </c>
    </row>
    <row r="2" ht="18" customHeight="1">
      <c r="A2" s="572" t="inlineStr">
        <is>
          <t>Key milestones extracted from thesis / catalysts / management commentary</t>
        </is>
      </c>
    </row>
    <row r="4" ht="22" customHeight="1">
      <c r="A4" s="542" t="inlineStr">
        <is>
          <t>Year</t>
        </is>
      </c>
      <c r="B4" s="542" t="inlineStr">
        <is>
          <t>Event Category</t>
        </is>
      </c>
      <c r="C4" s="542" t="inlineStr">
        <is>
          <t>Description</t>
        </is>
      </c>
      <c r="D4" s="542" t="inlineStr">
        <is>
          <t>Strategic Impact</t>
        </is>
      </c>
    </row>
    <row r="5" ht="40" customHeight="1">
      <c r="A5" s="611" t="inlineStr">
        <is>
          <t>1992</t>
        </is>
      </c>
      <c r="B5" s="620" t="inlineStr">
        <is>
          <t>Founding</t>
        </is>
      </c>
      <c r="C5" s="612" t="inlineStr">
        <is>
          <t>Company incorporated as Gravita India Limited in Jaipur</t>
        </is>
      </c>
      <c r="D5" s="612" t="inlineStr">
        <is>
          <t>Foundation for lead recycling business</t>
        </is>
      </c>
    </row>
    <row r="6" ht="40" customHeight="1">
      <c r="A6" s="611" t="inlineStr">
        <is>
          <t>2001</t>
        </is>
      </c>
      <c r="B6" s="621" t="inlineStr">
        <is>
          <t>Expansion</t>
        </is>
      </c>
      <c r="C6" s="612" t="inlineStr">
        <is>
          <t>Rajat Agarwal joins as Managing Director, family business expansion</t>
        </is>
      </c>
      <c r="D6" s="612" t="inlineStr">
        <is>
          <t>Leadership transition and growth acceleration</t>
        </is>
      </c>
    </row>
    <row r="7" ht="40" customHeight="1">
      <c r="A7" s="611" t="inlineStr">
        <is>
          <t>2010</t>
        </is>
      </c>
      <c r="B7" s="622" t="inlineStr">
        <is>
          <t>IPO</t>
        </is>
      </c>
      <c r="C7" s="612" t="inlineStr">
        <is>
          <t>Public listing on NSE and BSE</t>
        </is>
      </c>
      <c r="D7" s="612" t="inlineStr">
        <is>
          <t>Access to capital markets for expansion funding</t>
        </is>
      </c>
    </row>
    <row r="8" ht="40" customHeight="1">
      <c r="A8" s="611" t="inlineStr">
        <is>
          <t>2015</t>
        </is>
      </c>
      <c r="B8" s="622" t="inlineStr">
        <is>
          <t>International Expansion</t>
        </is>
      </c>
      <c r="C8" s="612" t="inlineStr">
        <is>
          <t>First overseas recycling facility established</t>
        </is>
      </c>
      <c r="D8" s="612" t="inlineStr">
        <is>
          <t>Global footprint development begins</t>
        </is>
      </c>
    </row>
    <row r="9" ht="40" customHeight="1">
      <c r="A9" s="611" t="inlineStr">
        <is>
          <t>2019</t>
        </is>
      </c>
      <c r="B9" s="613" t="inlineStr">
        <is>
          <t>Strategy</t>
        </is>
      </c>
      <c r="C9" s="612" t="inlineStr">
        <is>
          <t>Hedging strategy extended to core inventory for margin stability</t>
        </is>
      </c>
      <c r="D9" s="612" t="inlineStr">
        <is>
          <t>Risk management enhancement and margin protection</t>
        </is>
      </c>
    </row>
    <row r="10" ht="40" customHeight="1">
      <c r="A10" s="611" t="inlineStr">
        <is>
          <t>2022</t>
        </is>
      </c>
      <c r="B10" s="623" t="inlineStr">
        <is>
          <t>New Vertical</t>
        </is>
      </c>
      <c r="C10" s="612" t="inlineStr">
        <is>
          <t>Entry into aluminum and plastic recycling segments</t>
        </is>
      </c>
      <c r="D10" s="612" t="inlineStr">
        <is>
          <t>Diversification beyond lead recycling</t>
        </is>
      </c>
    </row>
    <row r="11" ht="40" customHeight="1">
      <c r="A11" s="611" t="inlineStr">
        <is>
          <t>2025</t>
        </is>
      </c>
      <c r="B11" s="624" t="inlineStr">
        <is>
          <t>Milestone</t>
        </is>
      </c>
      <c r="C11" s="612" t="inlineStr">
        <is>
          <t>Rs 1,000cr QIP oversubscribed 3.5x, achieving net debt-free status</t>
        </is>
      </c>
      <c r="D11" s="612" t="inlineStr">
        <is>
          <t>Strong balance sheet for expansion plans</t>
        </is>
      </c>
    </row>
    <row r="12" ht="40" customHeight="1">
      <c r="A12" s="611" t="inlineStr">
        <is>
          <t>2026</t>
        </is>
      </c>
      <c r="B12" s="621" t="inlineStr">
        <is>
          <t>Expansion</t>
        </is>
      </c>
      <c r="C12" s="612" t="inlineStr">
        <is>
          <t>RMIL acquisition completed for ₹559cr, entry into copper recycling</t>
        </is>
      </c>
      <c r="D12" s="612" t="inlineStr">
        <is>
          <t>Copper vertical addition and manufacturing capacity boost</t>
        </is>
      </c>
    </row>
    <row r="13" ht="40" customHeight="1">
      <c r="A13" s="611" t="inlineStr">
        <is>
          <t>2026E</t>
        </is>
      </c>
      <c r="B13" s="623" t="inlineStr">
        <is>
          <t>New Vertical</t>
        </is>
      </c>
      <c r="C13" s="612" t="inlineStr">
        <is>
          <t>Lithium-ion battery recycling plant commissioning at Mundra</t>
        </is>
      </c>
      <c r="D13" s="612" t="inlineStr">
        <is>
          <t>Entry into high-growth EV battery recycling market</t>
        </is>
      </c>
    </row>
    <row r="14" ht="40" customHeight="1">
      <c r="A14" s="611" t="inlineStr">
        <is>
          <t>2027E</t>
        </is>
      </c>
      <c r="B14" s="621" t="inlineStr">
        <is>
          <t>Expansion</t>
        </is>
      </c>
      <c r="C14" s="612" t="inlineStr">
        <is>
          <t>Target capacity expansion to 5.5 lakh MTPA</t>
        </is>
      </c>
      <c r="D14" s="612" t="inlineStr">
        <is>
          <t>Significant scale-up in core recycling operations</t>
        </is>
      </c>
    </row>
    <row r="15" ht="40" customHeight="1">
      <c r="A15" s="611" t="inlineStr">
        <is>
          <t>2028E</t>
        </is>
      </c>
      <c r="B15" s="624" t="inlineStr">
        <is>
          <t>Milestone</t>
        </is>
      </c>
      <c r="C15" s="612" t="inlineStr">
        <is>
          <t>Vision 2028 achievement - 7 lakh MTPA capacity, 25%+ ROIC</t>
        </is>
      </c>
      <c r="D15" s="612" t="inlineStr">
        <is>
          <t>Capacity doubling with maintained high returns</t>
        </is>
      </c>
    </row>
    <row r="16" ht="40" customHeight="1">
      <c r="A16" s="611" t="inlineStr">
        <is>
          <t>2029E</t>
        </is>
      </c>
      <c r="B16" s="625" t="inlineStr">
        <is>
          <t>Outlook</t>
        </is>
      </c>
      <c r="C16" s="612" t="inlineStr">
        <is>
          <t>Non-lead business contribution target of 30% revenue</t>
        </is>
      </c>
      <c r="D16" s="612" t="inlineStr">
        <is>
          <t>Successful diversification into multiple recycling verticals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1" t="inlineStr">
        <is>
          <t>GRAVITA INDIA LTD — Operational Charts</t>
        </is>
      </c>
    </row>
    <row r="2" ht="18" customHeight="1">
      <c r="A2" s="572" t="inlineStr">
        <is>
          <t>Six analytical charts on historical + projected financials</t>
        </is>
      </c>
    </row>
    <row r="60">
      <c r="A60" s="617" t="inlineStr">
        <is>
          <t>ChartData 1 — Revenue/EBITDA/PAT</t>
        </is>
      </c>
      <c r="B60" s="626" t="inlineStr">
        <is>
          <t>FY22A</t>
        </is>
      </c>
      <c r="C60" s="626" t="inlineStr">
        <is>
          <t>FY23A</t>
        </is>
      </c>
      <c r="D60" s="626" t="inlineStr">
        <is>
          <t>FY24A</t>
        </is>
      </c>
      <c r="E60" s="626" t="inlineStr">
        <is>
          <t>FY25A</t>
        </is>
      </c>
      <c r="F60" s="626" t="inlineStr">
        <is>
          <t>FY26A</t>
        </is>
      </c>
      <c r="G60" s="626" t="inlineStr">
        <is>
          <t>FY27E</t>
        </is>
      </c>
      <c r="H60" s="626" t="inlineStr">
        <is>
          <t>FY28E</t>
        </is>
      </c>
      <c r="I60" s="626" t="inlineStr">
        <is>
          <t>FY29E</t>
        </is>
      </c>
      <c r="J60" s="626" t="inlineStr">
        <is>
          <t>FY30E</t>
        </is>
      </c>
      <c r="K60" s="626" t="inlineStr">
        <is>
          <t>FY31E</t>
        </is>
      </c>
    </row>
    <row r="61">
      <c r="A61" s="627" t="inlineStr">
        <is>
          <t>Revenue</t>
        </is>
      </c>
      <c r="B61" t="n">
        <v>2215.87</v>
      </c>
      <c r="C61" t="n">
        <v>2800.6</v>
      </c>
      <c r="D61" t="n">
        <v>3160.75</v>
      </c>
      <c r="E61" t="n">
        <v>3868.77</v>
      </c>
      <c r="F61" t="n">
        <v>4265.27</v>
      </c>
      <c r="G61" t="n">
        <v>4969.03955</v>
      </c>
      <c r="H61" t="n">
        <v>6062.228251</v>
      </c>
      <c r="I61" t="n">
        <v>7183.740477435001</v>
      </c>
      <c r="J61" t="n">
        <v>8275.66903000512</v>
      </c>
      <c r="K61" t="n">
        <v>9334.954665845777</v>
      </c>
    </row>
    <row r="62">
      <c r="A62" s="627" t="inlineStr">
        <is>
          <t>EBITDA</t>
        </is>
      </c>
      <c r="B62" t="n">
        <v>217.48</v>
      </c>
      <c r="C62" t="n">
        <v>206.99</v>
      </c>
      <c r="D62" t="n">
        <v>287.45</v>
      </c>
      <c r="E62" t="n">
        <v>328.2499999999999</v>
      </c>
      <c r="F62" t="n">
        <v>434.93</v>
      </c>
      <c r="G62" t="n">
        <v>183.8544633500005</v>
      </c>
      <c r="H62" t="n">
        <v>272.8002712950001</v>
      </c>
      <c r="I62" t="n">
        <v>445.3919096009704</v>
      </c>
      <c r="J62" t="n">
        <v>612.3995082203801</v>
      </c>
      <c r="K62" t="n">
        <v>784.1361919310439</v>
      </c>
    </row>
    <row r="63">
      <c r="A63" s="627" t="inlineStr">
        <is>
          <t>PAT</t>
        </is>
      </c>
      <c r="B63" t="n">
        <v>139.39</v>
      </c>
      <c r="C63" t="n">
        <v>201.1</v>
      </c>
      <c r="D63" t="n">
        <v>239.19</v>
      </c>
      <c r="E63" t="n">
        <v>312.39</v>
      </c>
      <c r="F63" t="n">
        <v>378.8</v>
      </c>
      <c r="G63" t="n">
        <v>159.0154581407004</v>
      </c>
      <c r="H63" t="n">
        <v>224.4166273452101</v>
      </c>
      <c r="I63" t="n">
        <v>359.3772445168103</v>
      </c>
      <c r="J63" t="n">
        <v>490.8615918229154</v>
      </c>
      <c r="K63" t="n">
        <v>626.2873583431112</v>
      </c>
    </row>
    <row r="66">
      <c r="A66" s="617" t="inlineStr">
        <is>
          <t>ChartData 2 — Margins</t>
        </is>
      </c>
      <c r="B66" s="626" t="inlineStr">
        <is>
          <t>FY22A</t>
        </is>
      </c>
      <c r="C66" s="626" t="inlineStr">
        <is>
          <t>FY23A</t>
        </is>
      </c>
      <c r="D66" s="626" t="inlineStr">
        <is>
          <t>FY24A</t>
        </is>
      </c>
      <c r="E66" s="626" t="inlineStr">
        <is>
          <t>FY25A</t>
        </is>
      </c>
      <c r="F66" s="626" t="inlineStr">
        <is>
          <t>FY26A</t>
        </is>
      </c>
      <c r="G66" s="626" t="inlineStr">
        <is>
          <t>FY27E</t>
        </is>
      </c>
      <c r="H66" s="626" t="inlineStr">
        <is>
          <t>FY28E</t>
        </is>
      </c>
      <c r="I66" s="626" t="inlineStr">
        <is>
          <t>FY29E</t>
        </is>
      </c>
      <c r="J66" s="626" t="inlineStr">
        <is>
          <t>FY30E</t>
        </is>
      </c>
      <c r="K66" s="626" t="inlineStr">
        <is>
          <t>FY31E</t>
        </is>
      </c>
    </row>
    <row r="67">
      <c r="A67" s="627" t="inlineStr">
        <is>
          <t>EBITDA Margin %</t>
        </is>
      </c>
      <c r="B67" t="n">
        <v>9.814655191865949</v>
      </c>
      <c r="C67" t="n">
        <v>7.39091623223595</v>
      </c>
      <c r="D67" t="n">
        <v>9.094360515700387</v>
      </c>
      <c r="E67" t="n">
        <v>8.484608803314748</v>
      </c>
      <c r="F67" t="n">
        <v>10.19700980242751</v>
      </c>
      <c r="G67" t="n">
        <v>3.70000000000001</v>
      </c>
      <c r="H67" t="n">
        <v>4.500000000000002</v>
      </c>
      <c r="I67" t="n">
        <v>6.200000000000005</v>
      </c>
      <c r="J67" t="n">
        <v>7.400000000000015</v>
      </c>
      <c r="K67" t="n">
        <v>8.399999999999984</v>
      </c>
    </row>
    <row r="68">
      <c r="A68" s="627" t="inlineStr">
        <is>
          <t>PAT Margin %</t>
        </is>
      </c>
      <c r="B68" t="n">
        <v>6.290531484247722</v>
      </c>
      <c r="C68" t="n">
        <v>7.180604156252232</v>
      </c>
      <c r="D68" t="n">
        <v>7.567507711777267</v>
      </c>
      <c r="E68" t="n">
        <v>8.074659387867461</v>
      </c>
      <c r="F68" t="n">
        <v>8.881032150367972</v>
      </c>
      <c r="G68" t="n">
        <v>3.200124622487668</v>
      </c>
      <c r="H68" t="n">
        <v>3.701883499820239</v>
      </c>
      <c r="I68" t="n">
        <v>5.002647933143712</v>
      </c>
      <c r="J68" t="n">
        <v>5.931382587234905</v>
      </c>
      <c r="K68" t="n">
        <v>6.709056238211176</v>
      </c>
    </row>
    <row r="71">
      <c r="A71" s="617" t="inlineStr">
        <is>
          <t>ChartData 3 — Revenue by Segment</t>
        </is>
      </c>
      <c r="B71" s="626" t="inlineStr">
        <is>
          <t>FY22A</t>
        </is>
      </c>
      <c r="C71" s="626" t="inlineStr">
        <is>
          <t>FY23A</t>
        </is>
      </c>
      <c r="D71" s="626" t="inlineStr">
        <is>
          <t>FY24A</t>
        </is>
      </c>
      <c r="E71" s="626" t="inlineStr">
        <is>
          <t>FY25A</t>
        </is>
      </c>
      <c r="F71" s="626" t="inlineStr">
        <is>
          <t>FY26A</t>
        </is>
      </c>
      <c r="G71" s="626" t="inlineStr">
        <is>
          <t>FY27E</t>
        </is>
      </c>
      <c r="H71" s="626" t="inlineStr">
        <is>
          <t>FY28E</t>
        </is>
      </c>
      <c r="I71" s="626" t="inlineStr">
        <is>
          <t>FY29E</t>
        </is>
      </c>
      <c r="J71" s="626" t="inlineStr">
        <is>
          <t>FY30E</t>
        </is>
      </c>
      <c r="K71" s="626" t="inlineStr">
        <is>
          <t>FY31E</t>
        </is>
      </c>
    </row>
    <row r="72">
      <c r="A72" s="627" t="inlineStr">
        <is>
          <t>Core</t>
        </is>
      </c>
      <c r="B72" t="n">
        <v>1440.3155</v>
      </c>
      <c r="C72" t="n">
        <v>1820.39</v>
      </c>
      <c r="D72" t="n">
        <v>2054.4875</v>
      </c>
      <c r="E72" t="n">
        <v>2514.7005</v>
      </c>
      <c r="F72" t="n">
        <v>2772.4255</v>
      </c>
      <c r="G72" t="n">
        <v>3229.8757075</v>
      </c>
      <c r="H72" t="n">
        <v>3940.44836315</v>
      </c>
      <c r="I72" t="n">
        <v>4669.43131033275</v>
      </c>
      <c r="J72" t="n">
        <v>5379.184869503328</v>
      </c>
      <c r="K72" t="n">
        <v>6067.720532799755</v>
      </c>
    </row>
    <row r="73">
      <c r="A73" s="627" t="inlineStr">
        <is>
          <t>Adjacent</t>
        </is>
      </c>
      <c r="B73" t="n">
        <v>553.9675</v>
      </c>
      <c r="C73" t="n">
        <v>700.15</v>
      </c>
      <c r="D73" t="n">
        <v>790.1875</v>
      </c>
      <c r="E73" t="n">
        <v>967.1925</v>
      </c>
      <c r="F73" t="n">
        <v>1066.3175</v>
      </c>
      <c r="G73" t="n">
        <v>1242.2598875</v>
      </c>
      <c r="H73" t="n">
        <v>1515.55706275</v>
      </c>
      <c r="I73" t="n">
        <v>1795.93511935875</v>
      </c>
      <c r="J73" t="n">
        <v>2068.91725750128</v>
      </c>
      <c r="K73" t="n">
        <v>2333.738666461444</v>
      </c>
    </row>
    <row r="74">
      <c r="A74" s="627" t="inlineStr">
        <is>
          <t>Others</t>
        </is>
      </c>
      <c r="B74" t="n">
        <v>221.587</v>
      </c>
      <c r="C74" t="n">
        <v>280.06</v>
      </c>
      <c r="D74" t="n">
        <v>316.075</v>
      </c>
      <c r="E74" t="n">
        <v>386.877</v>
      </c>
      <c r="F74" t="n">
        <v>426.527</v>
      </c>
      <c r="G74" t="n">
        <v>496.9039550000001</v>
      </c>
      <c r="H74" t="n">
        <v>606.2228251</v>
      </c>
      <c r="I74" t="n">
        <v>718.3740477435001</v>
      </c>
      <c r="J74" t="n">
        <v>827.566903000512</v>
      </c>
      <c r="K74" t="n">
        <v>933.4954665845777</v>
      </c>
    </row>
    <row r="77">
      <c r="A77" s="617" t="inlineStr">
        <is>
          <t>ChartData 4 — ROE/ROCE</t>
        </is>
      </c>
      <c r="B77" s="626" t="inlineStr">
        <is>
          <t>FY22A</t>
        </is>
      </c>
      <c r="C77" s="626" t="inlineStr">
        <is>
          <t>FY23A</t>
        </is>
      </c>
      <c r="D77" s="626" t="inlineStr">
        <is>
          <t>FY24A</t>
        </is>
      </c>
      <c r="E77" s="626" t="inlineStr">
        <is>
          <t>FY25A</t>
        </is>
      </c>
      <c r="F77" s="626" t="inlineStr">
        <is>
          <t>FY26A</t>
        </is>
      </c>
      <c r="G77" s="626" t="inlineStr">
        <is>
          <t>FY27E</t>
        </is>
      </c>
      <c r="H77" s="626" t="inlineStr">
        <is>
          <t>FY28E</t>
        </is>
      </c>
      <c r="I77" s="626" t="inlineStr">
        <is>
          <t>FY29E</t>
        </is>
      </c>
      <c r="J77" s="626" t="inlineStr">
        <is>
          <t>FY30E</t>
        </is>
      </c>
      <c r="K77" s="626" t="inlineStr">
        <is>
          <t>FY31E</t>
        </is>
      </c>
    </row>
    <row r="78">
      <c r="A78" s="627" t="inlineStr">
        <is>
          <t>ROE %</t>
        </is>
      </c>
      <c r="B78" t="n">
        <v>36.03205376761018</v>
      </c>
      <c r="C78" t="n">
        <v>34.14667277944747</v>
      </c>
      <c r="D78" t="n">
        <v>28.56341055648436</v>
      </c>
      <c r="E78" t="n">
        <v>15.09196052002261</v>
      </c>
      <c r="F78" t="n">
        <v>15.45094488156859</v>
      </c>
      <c r="G78" t="n">
        <v>5.534822768559013</v>
      </c>
      <c r="H78" t="n">
        <v>6.411903638434575</v>
      </c>
      <c r="I78" t="n">
        <v>8.338219130320423</v>
      </c>
      <c r="J78" t="n">
        <v>9.436016759379381</v>
      </c>
      <c r="K78" t="n">
        <v>10.16700257050505</v>
      </c>
    </row>
    <row r="79">
      <c r="A79" s="627" t="inlineStr">
        <is>
          <t>ROCE %</t>
        </is>
      </c>
      <c r="B79" t="n">
        <v>25.29902231586521</v>
      </c>
      <c r="C79" t="n">
        <v>19.54091709816901</v>
      </c>
      <c r="D79" t="n">
        <v>18.01168239481873</v>
      </c>
      <c r="E79" t="n">
        <v>12.69854745188593</v>
      </c>
      <c r="F79" t="n">
        <v>12.42654971090468</v>
      </c>
      <c r="G79" t="n">
        <v>3.318071799367269</v>
      </c>
      <c r="H79" t="n">
        <v>4.071061051097182</v>
      </c>
      <c r="I79" t="n">
        <v>5.909581763905736</v>
      </c>
      <c r="J79" t="n">
        <v>7.206181318363286</v>
      </c>
      <c r="K79" t="n">
        <v>8.218813849238293</v>
      </c>
    </row>
    <row r="82">
      <c r="A82" s="617" t="inlineStr">
        <is>
          <t>ChartData 5 — CFO/Capex/FCF</t>
        </is>
      </c>
      <c r="B82" s="626" t="inlineStr">
        <is>
          <t>FY22A</t>
        </is>
      </c>
      <c r="C82" s="626" t="inlineStr">
        <is>
          <t>FY23A</t>
        </is>
      </c>
      <c r="D82" s="626" t="inlineStr">
        <is>
          <t>FY24A</t>
        </is>
      </c>
      <c r="E82" s="626" t="inlineStr">
        <is>
          <t>FY25A</t>
        </is>
      </c>
      <c r="F82" s="626" t="inlineStr">
        <is>
          <t>FY26A</t>
        </is>
      </c>
      <c r="G82" s="626" t="inlineStr">
        <is>
          <t>FY27E</t>
        </is>
      </c>
      <c r="H82" s="626" t="inlineStr">
        <is>
          <t>FY28E</t>
        </is>
      </c>
      <c r="I82" s="626" t="inlineStr">
        <is>
          <t>FY29E</t>
        </is>
      </c>
      <c r="J82" s="626" t="inlineStr">
        <is>
          <t>FY30E</t>
        </is>
      </c>
      <c r="K82" s="626" t="inlineStr">
        <is>
          <t>FY31E</t>
        </is>
      </c>
    </row>
    <row r="83">
      <c r="A83" s="627" t="inlineStr">
        <is>
          <t>CFO</t>
        </is>
      </c>
      <c r="B83" t="n">
        <v>9.609999999999999</v>
      </c>
      <c r="C83" t="n">
        <v>199.66</v>
      </c>
      <c r="D83" t="n">
        <v>42.4</v>
      </c>
      <c r="E83" t="n">
        <v>282.18</v>
      </c>
      <c r="F83" t="n">
        <v>169.29</v>
      </c>
      <c r="G83" t="n">
        <v>485</v>
      </c>
      <c r="H83" t="n">
        <v>625</v>
      </c>
      <c r="I83" t="n">
        <v>785</v>
      </c>
      <c r="J83" t="n">
        <v>920</v>
      </c>
      <c r="K83" t="n">
        <v>1048</v>
      </c>
    </row>
    <row r="84">
      <c r="A84" s="627" t="inlineStr">
        <is>
          <t>Capex</t>
        </is>
      </c>
      <c r="B84" t="n">
        <v>69.45</v>
      </c>
      <c r="C84" t="n">
        <v>105.35</v>
      </c>
      <c r="D84" t="n">
        <v>157.81</v>
      </c>
      <c r="E84" t="n">
        <v>863.63</v>
      </c>
      <c r="F84" t="n">
        <v>363.89</v>
      </c>
      <c r="G84" t="n">
        <v>385</v>
      </c>
      <c r="H84" t="n">
        <v>630</v>
      </c>
      <c r="I84" t="n">
        <v>450</v>
      </c>
      <c r="J84" t="n">
        <v>320</v>
      </c>
      <c r="K84" t="n">
        <v>280</v>
      </c>
    </row>
    <row r="85">
      <c r="A85" s="627" t="inlineStr">
        <is>
          <t>FCF</t>
        </is>
      </c>
      <c r="B85" t="n">
        <v>-59.84</v>
      </c>
      <c r="C85" t="n">
        <v>94.31</v>
      </c>
      <c r="D85" t="n">
        <v>-115.41</v>
      </c>
      <c r="E85" t="n">
        <v>-581.45</v>
      </c>
      <c r="F85" t="n">
        <v>-194.6</v>
      </c>
      <c r="G85" t="n">
        <v>100</v>
      </c>
      <c r="H85" t="n">
        <v>-5</v>
      </c>
      <c r="I85" t="n">
        <v>335</v>
      </c>
      <c r="J85" t="n">
        <v>600</v>
      </c>
      <c r="K85" t="n">
        <v>768</v>
      </c>
    </row>
    <row r="88">
      <c r="A88" s="617" t="inlineStr">
        <is>
          <t>ChartData 6 — EPS Trend</t>
        </is>
      </c>
      <c r="B88" s="626" t="inlineStr">
        <is>
          <t>FY22A</t>
        </is>
      </c>
      <c r="C88" s="626" t="inlineStr">
        <is>
          <t>FY23A</t>
        </is>
      </c>
      <c r="D88" s="626" t="inlineStr">
        <is>
          <t>FY24A</t>
        </is>
      </c>
      <c r="E88" s="626" t="inlineStr">
        <is>
          <t>FY25A</t>
        </is>
      </c>
      <c r="F88" s="626" t="inlineStr">
        <is>
          <t>FY26A</t>
        </is>
      </c>
      <c r="G88" s="626" t="inlineStr">
        <is>
          <t>FY27E</t>
        </is>
      </c>
      <c r="H88" s="626" t="inlineStr">
        <is>
          <t>FY28E</t>
        </is>
      </c>
      <c r="I88" s="626" t="inlineStr">
        <is>
          <t>FY29E</t>
        </is>
      </c>
      <c r="J88" s="626" t="inlineStr">
        <is>
          <t>FY30E</t>
        </is>
      </c>
      <c r="K88" s="626" t="inlineStr">
        <is>
          <t>FY31E</t>
        </is>
      </c>
    </row>
    <row r="89">
      <c r="A89" s="627" t="inlineStr">
        <is>
          <t>EPS (₹)</t>
        </is>
      </c>
      <c r="B89" t="n">
        <v>18.88753387533875</v>
      </c>
      <c r="C89" t="n">
        <v>27.24932249322493</v>
      </c>
      <c r="D89" t="n">
        <v>32.41056910569106</v>
      </c>
      <c r="E89" t="n">
        <v>42.32926829268293</v>
      </c>
      <c r="F89" t="n">
        <v>51.32791327913279</v>
      </c>
      <c r="G89" t="n">
        <v>21.54681004616537</v>
      </c>
      <c r="H89" t="n">
        <v>30.4087570928469</v>
      </c>
      <c r="I89" t="n">
        <v>48.69610359306373</v>
      </c>
      <c r="J89" t="n">
        <v>66.5124108161132</v>
      </c>
      <c r="K89" t="n">
        <v>84.86278568334841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62" t="inlineStr">
        <is>
          <t>MODEL DIAGNOSTICS</t>
        </is>
      </c>
    </row>
    <row r="2">
      <c r="A2" s="536" t="inlineStr">
        <is>
          <t>Warnings detected during Python pre-flight checks.</t>
        </is>
      </c>
    </row>
    <row r="3">
      <c r="A3" s="544" t="n"/>
    </row>
    <row r="4">
      <c r="A4" s="561" t="inlineStr">
        <is>
          <t>- Cash plug projected NEGATIVE in FY27E (-1704 Cr) — borrowings/reserves likely understated relative to asset base for GRAVITA INDIA LTD</t>
        </is>
      </c>
    </row>
    <row r="5">
      <c r="A5" s="561" t="inlineStr">
        <is>
          <t>- Cash plug projected NEGATIVE in FY28E (-2332 Cr) — borrowings/reserves likely understated relative to asset base for GRAVITA INDIA LTD</t>
        </is>
      </c>
    </row>
    <row r="6">
      <c r="A6" s="561" t="inlineStr">
        <is>
          <t>- Cash plug projected NEGATIVE in FY29E (-2822 Cr) — borrowings/reserves likely understated relative to asset base for GRAVITA INDIA LTD</t>
        </is>
      </c>
    </row>
    <row r="7">
      <c r="A7" s="561" t="inlineStr">
        <is>
          <t>- Cash plug projected NEGATIVE in FY30E (-3045 Cr) — borrowings/reserves likely understated relative to asset base for GRAVITA INDIA LTD</t>
        </is>
      </c>
    </row>
    <row r="8">
      <c r="A8" s="561" t="inlineStr">
        <is>
          <t>- Cash plug projected NEGATIVE in FY31E (-3046 Cr) — borrowings/reserves likely understated relative to asset base for GRAVITA INDIA LTD</t>
        </is>
      </c>
    </row>
    <row r="9">
      <c r="A9" s="54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2026-05-11T11:10:03Z</dcterms:modified>
  <cp:lastModifiedBy>Intel</cp:lastModifiedBy>
  <cp:lastPrinted>2023-05-17T11:40:04Z</cp:lastPrinted>
</cp:coreProperties>
</file>