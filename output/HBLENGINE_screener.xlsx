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 codeName="{E757BCB4-07E6-AE0B-56E0-F0EEF7A6E26C}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935AA005-E268-4362-9416-A57A4A8E891E}" xr6:coauthVersionLast="47" xr6:coauthVersionMax="47" xr10:uidLastSave="{00000000-0000-0000-0000-000000000000}"/>
  <workbookProtection workbookAlgorithmName="SHA-512" workbookHashValue="KgKPr3WLp4CpNoVJlzv7ZSchP96vqhzxHjZRV2oymb9D+wJuZRpP0WBxgWD9otzujEb60Nvk39Ew3abRz094Sg==" workbookSaltValue="PuQ4eZahNmYxitGDjhON3g==" workbookSpinCount="100000" lockStructure="1"/>
  <bookViews>
    <workbookView xWindow="-120" yWindow="-120" windowWidth="38640" windowHeight="21120" tabRatio="763" activeTab="2" xr2:uid="{00000000-000D-0000-FFFF-FFFF00000000}"/>
  </bookViews>
  <sheets>
    <sheet name="Summary" sheetId="12" r:id="rId1"/>
    <sheet name="Valuation" sheetId="8" r:id="rId2"/>
    <sheet name="Financial" sheetId="7" r:id="rId3"/>
    <sheet name="Charts" sheetId="9" r:id="rId4"/>
    <sheet name="Segments" sheetId="14" r:id="rId5"/>
    <sheet name="Estimates" sheetId="16" r:id="rId6"/>
    <sheet name="Customization" sheetId="5" r:id="rId7"/>
    <sheet name="Data Sheet" sheetId="6" r:id="rId8"/>
    <sheet name="Lookup" sheetId="15" state="hidden" r:id="rId9"/>
  </sheets>
  <externalReferences>
    <externalReference r:id="rId10"/>
  </externalReferences>
  <definedNames>
    <definedName name="UPDATE">'Data Sheet'!$E$1</definedName>
  </definedName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117" i="7" l="1"/>
  <c r="Z133" i="7"/>
  <c r="Z132" i="7"/>
  <c r="Z131" i="7"/>
  <c r="Z130" i="7"/>
  <c r="Z129" i="7"/>
  <c r="Z128" i="7"/>
  <c r="Z127" i="7"/>
  <c r="Z126" i="7"/>
  <c r="Z125" i="7"/>
  <c r="Z124" i="7"/>
  <c r="Z123" i="7"/>
  <c r="F12" i="16"/>
  <c r="F11" i="16"/>
  <c r="F10" i="16"/>
  <c r="F9" i="16"/>
  <c r="F8" i="16"/>
  <c r="F7" i="16"/>
  <c r="F6" i="16"/>
  <c r="F5" i="16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U93" i="14" s="1"/>
  <c r="C93" i="14"/>
  <c r="B93" i="14"/>
  <c r="U92" i="14"/>
  <c r="T92" i="14"/>
  <c r="S92" i="14"/>
  <c r="V92" i="14" s="1"/>
  <c r="W92" i="14" s="1"/>
  <c r="X92" i="14" s="1"/>
  <c r="R92" i="14"/>
  <c r="U91" i="14"/>
  <c r="T91" i="14"/>
  <c r="S91" i="14"/>
  <c r="V91" i="14" s="1"/>
  <c r="W91" i="14" s="1"/>
  <c r="X91" i="14" s="1"/>
  <c r="R91" i="14"/>
  <c r="U90" i="14"/>
  <c r="T90" i="14"/>
  <c r="S90" i="14"/>
  <c r="V90" i="14" s="1"/>
  <c r="W90" i="14" s="1"/>
  <c r="X90" i="14" s="1"/>
  <c r="R90" i="14"/>
  <c r="U89" i="14"/>
  <c r="T89" i="14"/>
  <c r="S89" i="14"/>
  <c r="V89" i="14" s="1"/>
  <c r="W89" i="14" s="1"/>
  <c r="X89" i="14" s="1"/>
  <c r="R89" i="14"/>
  <c r="U88" i="14"/>
  <c r="T88" i="14"/>
  <c r="S88" i="14"/>
  <c r="V88" i="14" s="1"/>
  <c r="W88" i="14" s="1"/>
  <c r="X88" i="14" s="1"/>
  <c r="R88" i="14"/>
  <c r="U87" i="14"/>
  <c r="T87" i="14"/>
  <c r="S87" i="14"/>
  <c r="V87" i="14" s="1"/>
  <c r="W87" i="14" s="1"/>
  <c r="X87" i="14" s="1"/>
  <c r="R87" i="14"/>
  <c r="U86" i="14"/>
  <c r="T86" i="14"/>
  <c r="S86" i="14"/>
  <c r="V86" i="14" s="1"/>
  <c r="W86" i="14" s="1"/>
  <c r="X86" i="14" s="1"/>
  <c r="R86" i="14"/>
  <c r="U85" i="14"/>
  <c r="T85" i="14"/>
  <c r="S85" i="14"/>
  <c r="V85" i="14" s="1"/>
  <c r="W85" i="14" s="1"/>
  <c r="X85" i="14" s="1"/>
  <c r="R85" i="14"/>
  <c r="U84" i="14"/>
  <c r="T84" i="14"/>
  <c r="S84" i="14"/>
  <c r="V84" i="14" s="1"/>
  <c r="W84" i="14" s="1"/>
  <c r="X84" i="14" s="1"/>
  <c r="R84" i="14"/>
  <c r="U83" i="14"/>
  <c r="T83" i="14"/>
  <c r="S83" i="14"/>
  <c r="V83" i="14" s="1"/>
  <c r="W83" i="14" s="1"/>
  <c r="X83" i="14" s="1"/>
  <c r="R83" i="14"/>
  <c r="U82" i="14"/>
  <c r="T82" i="14"/>
  <c r="S82" i="14"/>
  <c r="V82" i="14" s="1"/>
  <c r="W82" i="14" s="1"/>
  <c r="X82" i="14" s="1"/>
  <c r="R82" i="14"/>
  <c r="M81" i="14"/>
  <c r="L81" i="14"/>
  <c r="K81" i="14"/>
  <c r="J81" i="14"/>
  <c r="S81" i="14" s="1"/>
  <c r="V81" i="14" s="1"/>
  <c r="W81" i="14" s="1"/>
  <c r="X81" i="14" s="1"/>
  <c r="I81" i="14"/>
  <c r="H81" i="14"/>
  <c r="G81" i="14"/>
  <c r="F81" i="14"/>
  <c r="E81" i="14"/>
  <c r="D81" i="14"/>
  <c r="U81" i="14" s="1"/>
  <c r="C81" i="14"/>
  <c r="B81" i="14"/>
  <c r="U80" i="14"/>
  <c r="T80" i="14"/>
  <c r="S80" i="14"/>
  <c r="V80" i="14" s="1"/>
  <c r="U79" i="14"/>
  <c r="T79" i="14"/>
  <c r="S79" i="14"/>
  <c r="V79" i="14" s="1"/>
  <c r="U78" i="14"/>
  <c r="T78" i="14"/>
  <c r="S78" i="14"/>
  <c r="V78" i="14" s="1"/>
  <c r="W78" i="14" s="1"/>
  <c r="X78" i="14" s="1"/>
  <c r="U77" i="14"/>
  <c r="T77" i="14"/>
  <c r="S77" i="14"/>
  <c r="V77" i="14" s="1"/>
  <c r="U76" i="14"/>
  <c r="T76" i="14"/>
  <c r="S76" i="14"/>
  <c r="V76" i="14" s="1"/>
  <c r="U75" i="14"/>
  <c r="T75" i="14"/>
  <c r="S75" i="14"/>
  <c r="V75" i="14" s="1"/>
  <c r="U74" i="14"/>
  <c r="T74" i="14"/>
  <c r="S74" i="14"/>
  <c r="V74" i="14" s="1"/>
  <c r="U73" i="14"/>
  <c r="T73" i="14"/>
  <c r="S73" i="14"/>
  <c r="V73" i="14" s="1"/>
  <c r="U72" i="14"/>
  <c r="T72" i="14"/>
  <c r="S72" i="14"/>
  <c r="V72" i="14" s="1"/>
  <c r="U71" i="14"/>
  <c r="T71" i="14"/>
  <c r="S71" i="14"/>
  <c r="V71" i="14" s="1"/>
  <c r="W71" i="14" s="1"/>
  <c r="X71" i="14" s="1"/>
  <c r="R71" i="14"/>
  <c r="U70" i="14"/>
  <c r="T70" i="14"/>
  <c r="S70" i="14"/>
  <c r="V70" i="14" s="1"/>
  <c r="W70" i="14" s="1"/>
  <c r="X70" i="14" s="1"/>
  <c r="R70" i="14"/>
  <c r="M69" i="14"/>
  <c r="L69" i="14"/>
  <c r="K69" i="14"/>
  <c r="J69" i="14"/>
  <c r="I69" i="14"/>
  <c r="H69" i="14"/>
  <c r="G69" i="14"/>
  <c r="F69" i="14"/>
  <c r="E69" i="14"/>
  <c r="D69" i="14"/>
  <c r="U68" i="14"/>
  <c r="T68" i="14"/>
  <c r="S68" i="14"/>
  <c r="V68" i="14" s="1"/>
  <c r="U67" i="14"/>
  <c r="T67" i="14"/>
  <c r="S67" i="14"/>
  <c r="V67" i="14" s="1"/>
  <c r="U66" i="14"/>
  <c r="T66" i="14"/>
  <c r="S66" i="14"/>
  <c r="V66" i="14" s="1"/>
  <c r="W66" i="14" s="1"/>
  <c r="X66" i="14" s="1"/>
  <c r="U65" i="14"/>
  <c r="T65" i="14"/>
  <c r="S65" i="14"/>
  <c r="V65" i="14" s="1"/>
  <c r="U64" i="14"/>
  <c r="T64" i="14"/>
  <c r="S64" i="14"/>
  <c r="V64" i="14" s="1"/>
  <c r="U63" i="14"/>
  <c r="T63" i="14"/>
  <c r="S63" i="14"/>
  <c r="V63" i="14" s="1"/>
  <c r="N63" i="14" s="1"/>
  <c r="U62" i="14"/>
  <c r="T62" i="14"/>
  <c r="S62" i="14"/>
  <c r="V62" i="14" s="1"/>
  <c r="U61" i="14"/>
  <c r="T61" i="14"/>
  <c r="S61" i="14"/>
  <c r="V61" i="14" s="1"/>
  <c r="U60" i="14"/>
  <c r="T60" i="14"/>
  <c r="S60" i="14"/>
  <c r="V60" i="14" s="1"/>
  <c r="M59" i="14"/>
  <c r="L59" i="14"/>
  <c r="K59" i="14"/>
  <c r="J59" i="14"/>
  <c r="I59" i="14"/>
  <c r="H59" i="14"/>
  <c r="G59" i="14"/>
  <c r="F59" i="14"/>
  <c r="E59" i="14"/>
  <c r="D59" i="14"/>
  <c r="S11" i="14"/>
  <c r="V11" i="14" s="1"/>
  <c r="T11" i="14"/>
  <c r="U11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C32" i="14"/>
  <c r="B32" i="14"/>
  <c r="U43" i="14"/>
  <c r="T43" i="14"/>
  <c r="S43" i="14"/>
  <c r="V43" i="14" s="1"/>
  <c r="W43" i="14" s="1"/>
  <c r="X43" i="14" s="1"/>
  <c r="R43" i="14"/>
  <c r="U42" i="14"/>
  <c r="T42" i="14"/>
  <c r="S42" i="14"/>
  <c r="V42" i="14" s="1"/>
  <c r="W42" i="14" s="1"/>
  <c r="X42" i="14" s="1"/>
  <c r="R42" i="14"/>
  <c r="U41" i="14"/>
  <c r="T41" i="14"/>
  <c r="S41" i="14"/>
  <c r="V41" i="14" s="1"/>
  <c r="W41" i="14" s="1"/>
  <c r="X41" i="14" s="1"/>
  <c r="R41" i="14"/>
  <c r="U40" i="14"/>
  <c r="T40" i="14"/>
  <c r="S40" i="14"/>
  <c r="V40" i="14" s="1"/>
  <c r="W40" i="14" s="1"/>
  <c r="X40" i="14" s="1"/>
  <c r="R40" i="14"/>
  <c r="U39" i="14"/>
  <c r="T39" i="14"/>
  <c r="S39" i="14"/>
  <c r="V39" i="14" s="1"/>
  <c r="W39" i="14" s="1"/>
  <c r="X39" i="14" s="1"/>
  <c r="R39" i="14"/>
  <c r="U38" i="14"/>
  <c r="T38" i="14"/>
  <c r="S38" i="14"/>
  <c r="V38" i="14" s="1"/>
  <c r="W38" i="14" s="1"/>
  <c r="X38" i="14" s="1"/>
  <c r="R38" i="14"/>
  <c r="U37" i="14"/>
  <c r="T37" i="14"/>
  <c r="S37" i="14"/>
  <c r="V37" i="14" s="1"/>
  <c r="W37" i="14" s="1"/>
  <c r="X37" i="14" s="1"/>
  <c r="R37" i="14"/>
  <c r="U36" i="14"/>
  <c r="T36" i="14"/>
  <c r="S36" i="14"/>
  <c r="V36" i="14" s="1"/>
  <c r="W36" i="14" s="1"/>
  <c r="X36" i="14" s="1"/>
  <c r="R36" i="14"/>
  <c r="U35" i="14"/>
  <c r="T35" i="14"/>
  <c r="S35" i="14"/>
  <c r="V35" i="14" s="1"/>
  <c r="W35" i="14" s="1"/>
  <c r="X35" i="14" s="1"/>
  <c r="R35" i="14"/>
  <c r="U34" i="14"/>
  <c r="T34" i="14"/>
  <c r="S34" i="14"/>
  <c r="V34" i="14" s="1"/>
  <c r="W34" i="14" s="1"/>
  <c r="X34" i="14" s="1"/>
  <c r="R34" i="14"/>
  <c r="U33" i="14"/>
  <c r="T33" i="14"/>
  <c r="S33" i="14"/>
  <c r="V33" i="14" s="1"/>
  <c r="W33" i="14" s="1"/>
  <c r="X33" i="14" s="1"/>
  <c r="R33" i="14"/>
  <c r="U31" i="14"/>
  <c r="T31" i="14"/>
  <c r="S31" i="14"/>
  <c r="V31" i="14" s="1"/>
  <c r="U30" i="14"/>
  <c r="T30" i="14"/>
  <c r="S30" i="14"/>
  <c r="V30" i="14" s="1"/>
  <c r="U29" i="14"/>
  <c r="T29" i="14"/>
  <c r="S29" i="14"/>
  <c r="V29" i="14" s="1"/>
  <c r="W29" i="14" s="1"/>
  <c r="X29" i="14" s="1"/>
  <c r="U28" i="14"/>
  <c r="T28" i="14"/>
  <c r="S28" i="14"/>
  <c r="V28" i="14" s="1"/>
  <c r="U27" i="14"/>
  <c r="T27" i="14"/>
  <c r="S27" i="14"/>
  <c r="V27" i="14" s="1"/>
  <c r="U26" i="14"/>
  <c r="T26" i="14"/>
  <c r="S26" i="14"/>
  <c r="V26" i="14" s="1"/>
  <c r="U25" i="14"/>
  <c r="T25" i="14"/>
  <c r="S25" i="14"/>
  <c r="V25" i="14" s="1"/>
  <c r="U24" i="14"/>
  <c r="T24" i="14"/>
  <c r="S24" i="14"/>
  <c r="V24" i="14" s="1"/>
  <c r="U23" i="14"/>
  <c r="T23" i="14"/>
  <c r="S23" i="14"/>
  <c r="V23" i="14" s="1"/>
  <c r="U22" i="14"/>
  <c r="T22" i="14"/>
  <c r="S22" i="14"/>
  <c r="V22" i="14" s="1"/>
  <c r="W22" i="14" s="1"/>
  <c r="X22" i="14" s="1"/>
  <c r="R22" i="14"/>
  <c r="U21" i="14"/>
  <c r="T21" i="14"/>
  <c r="S21" i="14"/>
  <c r="V21" i="14" s="1"/>
  <c r="W21" i="14" s="1"/>
  <c r="X21" i="14" s="1"/>
  <c r="R21" i="14"/>
  <c r="U19" i="14"/>
  <c r="T19" i="14"/>
  <c r="S19" i="14"/>
  <c r="V19" i="14" s="1"/>
  <c r="W19" i="14" s="1"/>
  <c r="X19" i="14" s="1"/>
  <c r="U18" i="14"/>
  <c r="T18" i="14"/>
  <c r="S18" i="14"/>
  <c r="V18" i="14" s="1"/>
  <c r="U17" i="14"/>
  <c r="T17" i="14"/>
  <c r="S17" i="14"/>
  <c r="V17" i="14" s="1"/>
  <c r="U16" i="14"/>
  <c r="T16" i="14"/>
  <c r="S16" i="14"/>
  <c r="V16" i="14" s="1"/>
  <c r="U15" i="14"/>
  <c r="T15" i="14"/>
  <c r="S15" i="14"/>
  <c r="V15" i="14" s="1"/>
  <c r="U14" i="14"/>
  <c r="T14" i="14"/>
  <c r="S14" i="14"/>
  <c r="V14" i="14" s="1"/>
  <c r="U13" i="14"/>
  <c r="T13" i="14"/>
  <c r="S13" i="14"/>
  <c r="V13" i="14" s="1"/>
  <c r="U12" i="14"/>
  <c r="T12" i="14"/>
  <c r="S12" i="14"/>
  <c r="V12" i="14" s="1"/>
  <c r="W12" i="14" s="1"/>
  <c r="X12" i="14" s="1"/>
  <c r="A5" i="16"/>
  <c r="A4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A18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A17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A16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B15" i="16"/>
  <c r="A15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B14" i="16"/>
  <c r="A14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B13" i="16"/>
  <c r="A13" i="16"/>
  <c r="N12" i="16"/>
  <c r="M12" i="16"/>
  <c r="L12" i="16"/>
  <c r="K12" i="16"/>
  <c r="J12" i="16"/>
  <c r="I12" i="16"/>
  <c r="H12" i="16"/>
  <c r="G12" i="16"/>
  <c r="E12" i="16"/>
  <c r="D12" i="16"/>
  <c r="C12" i="16"/>
  <c r="B12" i="16"/>
  <c r="A12" i="16"/>
  <c r="N11" i="16"/>
  <c r="M11" i="16"/>
  <c r="L11" i="16"/>
  <c r="K11" i="16"/>
  <c r="J11" i="16"/>
  <c r="I11" i="16"/>
  <c r="H11" i="16"/>
  <c r="G11" i="16"/>
  <c r="E11" i="16"/>
  <c r="D11" i="16"/>
  <c r="C11" i="16"/>
  <c r="B11" i="16"/>
  <c r="A11" i="16"/>
  <c r="N10" i="16"/>
  <c r="M10" i="16"/>
  <c r="L10" i="16"/>
  <c r="K10" i="16"/>
  <c r="J10" i="16"/>
  <c r="I10" i="16"/>
  <c r="H10" i="16"/>
  <c r="G10" i="16"/>
  <c r="E10" i="16"/>
  <c r="D10" i="16"/>
  <c r="C10" i="16"/>
  <c r="B10" i="16"/>
  <c r="A10" i="16"/>
  <c r="N9" i="16"/>
  <c r="M9" i="16"/>
  <c r="L9" i="16"/>
  <c r="K9" i="16"/>
  <c r="J9" i="16"/>
  <c r="I9" i="16"/>
  <c r="H9" i="16"/>
  <c r="G9" i="16"/>
  <c r="E9" i="16"/>
  <c r="D9" i="16"/>
  <c r="C9" i="16"/>
  <c r="B9" i="16"/>
  <c r="A9" i="16"/>
  <c r="N8" i="16"/>
  <c r="M8" i="16"/>
  <c r="L8" i="16"/>
  <c r="K8" i="16"/>
  <c r="J8" i="16"/>
  <c r="I8" i="16"/>
  <c r="H8" i="16"/>
  <c r="G8" i="16"/>
  <c r="E8" i="16"/>
  <c r="D8" i="16"/>
  <c r="C8" i="16"/>
  <c r="B8" i="16"/>
  <c r="A8" i="16"/>
  <c r="N7" i="16"/>
  <c r="M7" i="16"/>
  <c r="L7" i="16"/>
  <c r="K7" i="16"/>
  <c r="J7" i="16"/>
  <c r="I7" i="16"/>
  <c r="H7" i="16"/>
  <c r="G7" i="16"/>
  <c r="E7" i="16"/>
  <c r="D7" i="16"/>
  <c r="C7" i="16"/>
  <c r="B7" i="16"/>
  <c r="A7" i="16"/>
  <c r="N6" i="16"/>
  <c r="M6" i="16"/>
  <c r="L6" i="16"/>
  <c r="K6" i="16"/>
  <c r="J6" i="16"/>
  <c r="I6" i="16"/>
  <c r="H6" i="16"/>
  <c r="G6" i="16"/>
  <c r="E6" i="16"/>
  <c r="D6" i="16"/>
  <c r="C6" i="16"/>
  <c r="B6" i="16"/>
  <c r="A6" i="16"/>
  <c r="N5" i="16"/>
  <c r="M5" i="16"/>
  <c r="L5" i="16"/>
  <c r="K5" i="16"/>
  <c r="J5" i="16"/>
  <c r="I5" i="16"/>
  <c r="H5" i="16"/>
  <c r="G5" i="16"/>
  <c r="E5" i="16"/>
  <c r="D5" i="16"/>
  <c r="C5" i="16"/>
  <c r="B5" i="16"/>
  <c r="N4" i="16"/>
  <c r="M4" i="16"/>
  <c r="L4" i="16"/>
  <c r="K4" i="16"/>
  <c r="J4" i="16"/>
  <c r="I4" i="16"/>
  <c r="H4" i="16"/>
  <c r="G4" i="16"/>
  <c r="F4" i="16"/>
  <c r="E4" i="16"/>
  <c r="D4" i="16"/>
  <c r="C4" i="16"/>
  <c r="B4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3" i="16"/>
  <c r="B1" i="16"/>
  <c r="C1" i="16" s="1"/>
  <c r="E1" i="16" s="1"/>
  <c r="M32" i="14"/>
  <c r="L32" i="14"/>
  <c r="K32" i="14"/>
  <c r="J32" i="14"/>
  <c r="I32" i="14"/>
  <c r="H32" i="14"/>
  <c r="G32" i="14"/>
  <c r="F32" i="14"/>
  <c r="E32" i="14"/>
  <c r="D32" i="14"/>
  <c r="M20" i="14"/>
  <c r="L20" i="14"/>
  <c r="K20" i="14"/>
  <c r="J20" i="14"/>
  <c r="I20" i="14"/>
  <c r="H20" i="14"/>
  <c r="G20" i="14"/>
  <c r="F20" i="14"/>
  <c r="E20" i="14"/>
  <c r="D20" i="14"/>
  <c r="U20" i="14" s="1"/>
  <c r="U69" i="14" l="1"/>
  <c r="U32" i="14"/>
  <c r="T69" i="14"/>
  <c r="S44" i="14"/>
  <c r="V44" i="14" s="1"/>
  <c r="W44" i="14" s="1"/>
  <c r="X44" i="14" s="1"/>
  <c r="T20" i="14"/>
  <c r="S93" i="14"/>
  <c r="V93" i="14" s="1"/>
  <c r="W93" i="14" s="1"/>
  <c r="X93" i="14" s="1"/>
  <c r="T32" i="14"/>
  <c r="T81" i="14"/>
  <c r="T93" i="14"/>
  <c r="W72" i="14"/>
  <c r="X72" i="14" s="1"/>
  <c r="N72" i="14"/>
  <c r="W76" i="14"/>
  <c r="X76" i="14" s="1"/>
  <c r="N76" i="14"/>
  <c r="W80" i="14"/>
  <c r="X80" i="14" s="1"/>
  <c r="N80" i="14"/>
  <c r="W64" i="14"/>
  <c r="X64" i="14" s="1"/>
  <c r="N64" i="14"/>
  <c r="W68" i="14"/>
  <c r="X68" i="14" s="1"/>
  <c r="N68" i="14"/>
  <c r="N61" i="14"/>
  <c r="W61" i="14"/>
  <c r="X61" i="14" s="1"/>
  <c r="N65" i="14"/>
  <c r="W65" i="14"/>
  <c r="X65" i="14" s="1"/>
  <c r="W24" i="14"/>
  <c r="X24" i="14" s="1"/>
  <c r="N24" i="14"/>
  <c r="W77" i="14"/>
  <c r="X77" i="14" s="1"/>
  <c r="N77" i="14"/>
  <c r="W25" i="14"/>
  <c r="X25" i="14" s="1"/>
  <c r="N25" i="14"/>
  <c r="W13" i="14"/>
  <c r="X13" i="14" s="1"/>
  <c r="N13" i="14"/>
  <c r="W17" i="14"/>
  <c r="X17" i="14" s="1"/>
  <c r="N17" i="14"/>
  <c r="W74" i="14"/>
  <c r="X74" i="14" s="1"/>
  <c r="N74" i="14"/>
  <c r="W28" i="14"/>
  <c r="X28" i="14" s="1"/>
  <c r="N28" i="14"/>
  <c r="W16" i="14"/>
  <c r="X16" i="14" s="1"/>
  <c r="N16" i="14"/>
  <c r="N26" i="14"/>
  <c r="W26" i="14"/>
  <c r="X26" i="14" s="1"/>
  <c r="N30" i="14"/>
  <c r="W30" i="14"/>
  <c r="X30" i="14" s="1"/>
  <c r="W62" i="14"/>
  <c r="X62" i="14" s="1"/>
  <c r="N62" i="14"/>
  <c r="W15" i="14"/>
  <c r="X15" i="14" s="1"/>
  <c r="N15" i="14"/>
  <c r="W11" i="14"/>
  <c r="X11" i="14" s="1"/>
  <c r="N11" i="14"/>
  <c r="N14" i="14"/>
  <c r="W14" i="14"/>
  <c r="X14" i="14" s="1"/>
  <c r="W18" i="14"/>
  <c r="X18" i="14" s="1"/>
  <c r="N18" i="14"/>
  <c r="W75" i="14"/>
  <c r="X75" i="14" s="1"/>
  <c r="N75" i="14"/>
  <c r="N79" i="14"/>
  <c r="W79" i="14"/>
  <c r="X79" i="14" s="1"/>
  <c r="W60" i="14"/>
  <c r="X60" i="14" s="1"/>
  <c r="N60" i="14"/>
  <c r="N73" i="14"/>
  <c r="W73" i="14"/>
  <c r="X73" i="14" s="1"/>
  <c r="W23" i="14"/>
  <c r="X23" i="14" s="1"/>
  <c r="N23" i="14"/>
  <c r="W27" i="14"/>
  <c r="X27" i="14" s="1"/>
  <c r="N27" i="14"/>
  <c r="W31" i="14"/>
  <c r="X31" i="14" s="1"/>
  <c r="N31" i="14"/>
  <c r="N67" i="14"/>
  <c r="W67" i="14"/>
  <c r="X67" i="14" s="1"/>
  <c r="N19" i="14"/>
  <c r="O19" i="14" s="1"/>
  <c r="P19" i="14" s="1"/>
  <c r="R19" i="14" s="1"/>
  <c r="U44" i="14"/>
  <c r="S69" i="14"/>
  <c r="V69" i="14" s="1"/>
  <c r="W69" i="14" s="1"/>
  <c r="X69" i="14" s="1"/>
  <c r="N29" i="14"/>
  <c r="O29" i="14" s="1"/>
  <c r="P29" i="14" s="1"/>
  <c r="R29" i="14" s="1"/>
  <c r="N12" i="14"/>
  <c r="O12" i="14" s="1"/>
  <c r="P12" i="14" s="1"/>
  <c r="R12" i="14" s="1"/>
  <c r="N66" i="14"/>
  <c r="O66" i="14" s="1"/>
  <c r="P66" i="14" s="1"/>
  <c r="R66" i="14" s="1"/>
  <c r="T44" i="14"/>
  <c r="S20" i="14"/>
  <c r="V20" i="14" s="1"/>
  <c r="W20" i="14" s="1"/>
  <c r="X20" i="14" s="1"/>
  <c r="R44" i="14"/>
  <c r="N78" i="14"/>
  <c r="O78" i="14" s="1"/>
  <c r="P78" i="14" s="1"/>
  <c r="R78" i="14" s="1"/>
  <c r="S32" i="14"/>
  <c r="V32" i="14" s="1"/>
  <c r="W32" i="14" s="1"/>
  <c r="X32" i="14" s="1"/>
  <c r="W63" i="14"/>
  <c r="X63" i="14" s="1"/>
  <c r="C2" i="16"/>
  <c r="R93" i="14"/>
  <c r="M54" i="14"/>
  <c r="L54" i="14"/>
  <c r="K54" i="14"/>
  <c r="J54" i="14"/>
  <c r="I54" i="14"/>
  <c r="H54" i="14"/>
  <c r="G54" i="14"/>
  <c r="F54" i="14"/>
  <c r="E54" i="14"/>
  <c r="D54" i="14"/>
  <c r="Q3" i="14"/>
  <c r="M3" i="14"/>
  <c r="M7" i="14" s="1"/>
  <c r="L3" i="14"/>
  <c r="L7" i="14" s="1"/>
  <c r="K3" i="14"/>
  <c r="K7" i="14" s="1"/>
  <c r="J3" i="14"/>
  <c r="J7" i="14" s="1"/>
  <c r="I3" i="14"/>
  <c r="I7" i="14" s="1"/>
  <c r="H3" i="14"/>
  <c r="H7" i="14" s="1"/>
  <c r="G3" i="14"/>
  <c r="G7" i="14" s="1"/>
  <c r="F3" i="14"/>
  <c r="F7" i="14" s="1"/>
  <c r="E3" i="14"/>
  <c r="E7" i="14" s="1"/>
  <c r="D3" i="14"/>
  <c r="D7" i="14" s="1"/>
  <c r="M53" i="14"/>
  <c r="L53" i="14"/>
  <c r="K53" i="14"/>
  <c r="J53" i="14"/>
  <c r="I53" i="14"/>
  <c r="H53" i="14"/>
  <c r="G53" i="14"/>
  <c r="F53" i="14"/>
  <c r="E53" i="14"/>
  <c r="D53" i="14"/>
  <c r="M52" i="14"/>
  <c r="N52" i="14" s="1"/>
  <c r="O52" i="14" s="1"/>
  <c r="L52" i="14"/>
  <c r="K52" i="14"/>
  <c r="J52" i="14"/>
  <c r="I52" i="14"/>
  <c r="H52" i="14"/>
  <c r="G52" i="14"/>
  <c r="F52" i="14"/>
  <c r="E52" i="14"/>
  <c r="D52" i="14"/>
  <c r="M2" i="14"/>
  <c r="M6" i="14" s="1"/>
  <c r="L2" i="14"/>
  <c r="L6" i="14" s="1"/>
  <c r="K2" i="14"/>
  <c r="K6" i="14" s="1"/>
  <c r="J2" i="14"/>
  <c r="J6" i="14" s="1"/>
  <c r="I2" i="14"/>
  <c r="I6" i="14" s="1"/>
  <c r="H2" i="14"/>
  <c r="H6" i="14" s="1"/>
  <c r="G2" i="14"/>
  <c r="G6" i="14" s="1"/>
  <c r="F2" i="14"/>
  <c r="F6" i="14" s="1"/>
  <c r="E2" i="14"/>
  <c r="E6" i="14" s="1"/>
  <c r="D2" i="14"/>
  <c r="D6" i="14" s="1"/>
  <c r="M1" i="14"/>
  <c r="M10" i="14" s="1"/>
  <c r="L1" i="14"/>
  <c r="L10" i="14" s="1"/>
  <c r="K1" i="14"/>
  <c r="K10" i="14" s="1"/>
  <c r="J1" i="14"/>
  <c r="J10" i="14" s="1"/>
  <c r="I1" i="14"/>
  <c r="I10" i="14" s="1"/>
  <c r="H1" i="14"/>
  <c r="H10" i="14" s="1"/>
  <c r="G1" i="14"/>
  <c r="G10" i="14" s="1"/>
  <c r="F1" i="14"/>
  <c r="F10" i="14" s="1"/>
  <c r="E1" i="14"/>
  <c r="E10" i="14" s="1"/>
  <c r="D1" i="14"/>
  <c r="D10" i="14" s="1"/>
  <c r="O61" i="14" l="1"/>
  <c r="P61" i="14" s="1"/>
  <c r="R61" i="14" s="1"/>
  <c r="O73" i="14"/>
  <c r="P73" i="14" s="1"/>
  <c r="R73" i="14" s="1"/>
  <c r="O60" i="14"/>
  <c r="P60" i="14" s="1"/>
  <c r="O31" i="14"/>
  <c r="P31" i="14" s="1"/>
  <c r="R31" i="14" s="1"/>
  <c r="O75" i="14"/>
  <c r="P75" i="14" s="1"/>
  <c r="R75" i="14" s="1"/>
  <c r="O16" i="14"/>
  <c r="P16" i="14" s="1"/>
  <c r="R16" i="14" s="1"/>
  <c r="O77" i="14"/>
  <c r="P77" i="14" s="1"/>
  <c r="R77" i="14" s="1"/>
  <c r="O14" i="14"/>
  <c r="P14" i="14" s="1"/>
  <c r="R14" i="14" s="1"/>
  <c r="O30" i="14"/>
  <c r="P30" i="14" s="1"/>
  <c r="R30" i="14" s="1"/>
  <c r="O65" i="14"/>
  <c r="P65" i="14" s="1"/>
  <c r="R65" i="14" s="1"/>
  <c r="O27" i="14"/>
  <c r="P27" i="14" s="1"/>
  <c r="R27" i="14" s="1"/>
  <c r="O18" i="14"/>
  <c r="P18" i="14" s="1"/>
  <c r="R18" i="14" s="1"/>
  <c r="O28" i="14"/>
  <c r="P28" i="14" s="1"/>
  <c r="R28" i="14" s="1"/>
  <c r="O25" i="14"/>
  <c r="P25" i="14" s="1"/>
  <c r="R25" i="14" s="1"/>
  <c r="O24" i="14"/>
  <c r="P24" i="14" s="1"/>
  <c r="R24" i="14" s="1"/>
  <c r="O64" i="14"/>
  <c r="P64" i="14" s="1"/>
  <c r="R64" i="14" s="1"/>
  <c r="O76" i="14"/>
  <c r="P76" i="14" s="1"/>
  <c r="R76" i="14" s="1"/>
  <c r="O13" i="14"/>
  <c r="P13" i="14" s="1"/>
  <c r="R13" i="14" s="1"/>
  <c r="O68" i="14"/>
  <c r="P68" i="14" s="1"/>
  <c r="R68" i="14" s="1"/>
  <c r="O63" i="14"/>
  <c r="P63" i="14" s="1"/>
  <c r="R63" i="14" s="1"/>
  <c r="O26" i="14"/>
  <c r="P26" i="14" s="1"/>
  <c r="R26" i="14" s="1"/>
  <c r="O80" i="14"/>
  <c r="P80" i="14" s="1"/>
  <c r="R80" i="14" s="1"/>
  <c r="O11" i="14"/>
  <c r="N20" i="14"/>
  <c r="N69" i="14"/>
  <c r="O67" i="14"/>
  <c r="P67" i="14" s="1"/>
  <c r="R67" i="14" s="1"/>
  <c r="O15" i="14"/>
  <c r="P15" i="14" s="1"/>
  <c r="R15" i="14" s="1"/>
  <c r="O74" i="14"/>
  <c r="P74" i="14" s="1"/>
  <c r="R74" i="14" s="1"/>
  <c r="N81" i="14"/>
  <c r="O72" i="14"/>
  <c r="O23" i="14"/>
  <c r="N32" i="14"/>
  <c r="O79" i="14"/>
  <c r="P79" i="14" s="1"/>
  <c r="R79" i="14" s="1"/>
  <c r="O62" i="14"/>
  <c r="P62" i="14" s="1"/>
  <c r="R62" i="14" s="1"/>
  <c r="O17" i="14"/>
  <c r="P17" i="14" s="1"/>
  <c r="R17" i="14" s="1"/>
  <c r="Q2" i="14"/>
  <c r="T2" i="14"/>
  <c r="S2" i="14"/>
  <c r="V2" i="14" s="1"/>
  <c r="N2" i="14" s="1"/>
  <c r="J51" i="14"/>
  <c r="N1" i="14"/>
  <c r="L51" i="14" s="1"/>
  <c r="P52" i="14"/>
  <c r="U2" i="14"/>
  <c r="I51" i="14"/>
  <c r="P4" i="7"/>
  <c r="L98" i="7"/>
  <c r="V17" i="7"/>
  <c r="W17" i="7" s="1"/>
  <c r="K19" i="7"/>
  <c r="F17" i="8"/>
  <c r="E17" i="8"/>
  <c r="D17" i="8"/>
  <c r="C17" i="8"/>
  <c r="B17" i="8"/>
  <c r="O4" i="7" l="1"/>
  <c r="K51" i="14"/>
  <c r="M51" i="14"/>
  <c r="O69" i="14"/>
  <c r="P11" i="14"/>
  <c r="O20" i="14"/>
  <c r="N51" i="14"/>
  <c r="N10" i="14"/>
  <c r="N6" i="14"/>
  <c r="P23" i="14"/>
  <c r="O32" i="14"/>
  <c r="O81" i="14"/>
  <c r="P72" i="14"/>
  <c r="R60" i="14"/>
  <c r="P69" i="14"/>
  <c r="R69" i="14" s="1"/>
  <c r="P53" i="14"/>
  <c r="W2" i="14"/>
  <c r="X2" i="14" s="1"/>
  <c r="P51" i="14"/>
  <c r="Q52" i="14"/>
  <c r="Q51" i="14" s="1"/>
  <c r="N53" i="14"/>
  <c r="V1" i="14"/>
  <c r="O1" i="14"/>
  <c r="O10" i="14" s="1"/>
  <c r="O51" i="14"/>
  <c r="Q53" i="14"/>
  <c r="O53" i="14"/>
  <c r="Q17" i="8"/>
  <c r="M4" i="7"/>
  <c r="N4" i="7"/>
  <c r="M98" i="7"/>
  <c r="H2" i="8"/>
  <c r="I2" i="8" s="1"/>
  <c r="J2" i="8" s="1"/>
  <c r="K2" i="8" s="1"/>
  <c r="L2" i="8" s="1"/>
  <c r="M2" i="8" s="1"/>
  <c r="N2" i="8" s="1"/>
  <c r="O2" i="8" s="1"/>
  <c r="P2" i="8" s="1"/>
  <c r="Q2" i="8" s="1"/>
  <c r="J17" i="8"/>
  <c r="G21" i="8" s="1"/>
  <c r="R72" i="14" l="1"/>
  <c r="P81" i="14"/>
  <c r="R81" i="14" s="1"/>
  <c r="R23" i="14"/>
  <c r="P32" i="14"/>
  <c r="R32" i="14" s="1"/>
  <c r="R11" i="14"/>
  <c r="P20" i="14"/>
  <c r="R20" i="14" s="1"/>
  <c r="O2" i="14"/>
  <c r="O6" i="14" s="1"/>
  <c r="W1" i="14"/>
  <c r="P1" i="14"/>
  <c r="N98" i="7"/>
  <c r="L3" i="7"/>
  <c r="E2" i="12" s="1"/>
  <c r="K3" i="7"/>
  <c r="D2" i="12" s="1"/>
  <c r="J3" i="7"/>
  <c r="C2" i="12" s="1"/>
  <c r="I3" i="7"/>
  <c r="B2" i="12" s="1"/>
  <c r="H3" i="7"/>
  <c r="X1" i="14" l="1"/>
  <c r="P10" i="14"/>
  <c r="I2" i="12"/>
  <c r="P2" i="14"/>
  <c r="P6" i="14" s="1"/>
  <c r="R8" i="7"/>
  <c r="M3" i="7"/>
  <c r="F2" i="12" s="1"/>
  <c r="O98" i="7"/>
  <c r="K104" i="7"/>
  <c r="J104" i="7"/>
  <c r="I104" i="7"/>
  <c r="H104" i="7"/>
  <c r="G104" i="7"/>
  <c r="F104" i="7"/>
  <c r="E104" i="7"/>
  <c r="D104" i="7"/>
  <c r="C104" i="7"/>
  <c r="L104" i="7"/>
  <c r="C114" i="7"/>
  <c r="D114" i="7"/>
  <c r="E114" i="7"/>
  <c r="F114" i="7"/>
  <c r="G114" i="7"/>
  <c r="H114" i="7"/>
  <c r="I114" i="7"/>
  <c r="J114" i="7"/>
  <c r="K114" i="7"/>
  <c r="L114" i="7"/>
  <c r="L101" i="7"/>
  <c r="K101" i="7"/>
  <c r="J101" i="7"/>
  <c r="I101" i="7"/>
  <c r="H101" i="7"/>
  <c r="G101" i="7"/>
  <c r="F101" i="7"/>
  <c r="E101" i="7"/>
  <c r="D101" i="7"/>
  <c r="C101" i="7"/>
  <c r="K98" i="7"/>
  <c r="J98" i="7"/>
  <c r="I98" i="7"/>
  <c r="H98" i="7"/>
  <c r="G98" i="7"/>
  <c r="F98" i="7"/>
  <c r="E98" i="7"/>
  <c r="D98" i="7"/>
  <c r="C98" i="7"/>
  <c r="L105" i="7"/>
  <c r="K105" i="7"/>
  <c r="J105" i="7"/>
  <c r="I105" i="7"/>
  <c r="H105" i="7"/>
  <c r="G105" i="7"/>
  <c r="F105" i="7"/>
  <c r="E105" i="7"/>
  <c r="D105" i="7"/>
  <c r="L116" i="7"/>
  <c r="K116" i="7"/>
  <c r="J116" i="7"/>
  <c r="I116" i="7"/>
  <c r="H116" i="7"/>
  <c r="G116" i="7"/>
  <c r="F116" i="7"/>
  <c r="E116" i="7"/>
  <c r="D116" i="7"/>
  <c r="L115" i="7"/>
  <c r="K115" i="7"/>
  <c r="J115" i="7"/>
  <c r="I115" i="7"/>
  <c r="H115" i="7"/>
  <c r="G115" i="7"/>
  <c r="F115" i="7"/>
  <c r="E115" i="7"/>
  <c r="D115" i="7"/>
  <c r="L99" i="7"/>
  <c r="K99" i="7"/>
  <c r="J99" i="7"/>
  <c r="I99" i="7"/>
  <c r="H99" i="7"/>
  <c r="G99" i="7"/>
  <c r="F99" i="7"/>
  <c r="E99" i="7"/>
  <c r="D99" i="7"/>
  <c r="C105" i="7"/>
  <c r="C116" i="7"/>
  <c r="C115" i="7"/>
  <c r="C99" i="7"/>
  <c r="L64" i="7"/>
  <c r="K64" i="7"/>
  <c r="J64" i="7"/>
  <c r="H64" i="7"/>
  <c r="G64" i="7"/>
  <c r="F64" i="7"/>
  <c r="E64" i="7"/>
  <c r="D64" i="7"/>
  <c r="C64" i="7"/>
  <c r="I64" i="7"/>
  <c r="L55" i="7"/>
  <c r="K55" i="7"/>
  <c r="J55" i="7"/>
  <c r="I55" i="7"/>
  <c r="H55" i="7"/>
  <c r="F55" i="7"/>
  <c r="E55" i="7"/>
  <c r="D55" i="7"/>
  <c r="C55" i="7"/>
  <c r="A55" i="7"/>
  <c r="L54" i="7"/>
  <c r="K54" i="7"/>
  <c r="J54" i="7"/>
  <c r="I54" i="7"/>
  <c r="H54" i="7"/>
  <c r="F54" i="7"/>
  <c r="E54" i="7"/>
  <c r="D54" i="7"/>
  <c r="C54" i="7"/>
  <c r="A54" i="7"/>
  <c r="L53" i="7"/>
  <c r="K53" i="7"/>
  <c r="J53" i="7"/>
  <c r="I53" i="7"/>
  <c r="H53" i="7"/>
  <c r="F53" i="7"/>
  <c r="E53" i="7"/>
  <c r="D53" i="7"/>
  <c r="C53" i="7"/>
  <c r="A53" i="7"/>
  <c r="G55" i="7"/>
  <c r="G54" i="7"/>
  <c r="G53" i="7"/>
  <c r="L49" i="7"/>
  <c r="K49" i="7"/>
  <c r="J49" i="7"/>
  <c r="I49" i="7"/>
  <c r="H49" i="7"/>
  <c r="G49" i="7"/>
  <c r="F49" i="7"/>
  <c r="E49" i="7"/>
  <c r="D49" i="7"/>
  <c r="L48" i="7"/>
  <c r="K48" i="7"/>
  <c r="J48" i="7"/>
  <c r="I48" i="7"/>
  <c r="H48" i="7"/>
  <c r="G48" i="7"/>
  <c r="F48" i="7"/>
  <c r="E48" i="7"/>
  <c r="D48" i="7"/>
  <c r="L47" i="7"/>
  <c r="M47" i="7" s="1"/>
  <c r="N47" i="7" s="1"/>
  <c r="O47" i="7" s="1"/>
  <c r="K47" i="7"/>
  <c r="J47" i="7"/>
  <c r="I47" i="7"/>
  <c r="H47" i="7"/>
  <c r="G47" i="7"/>
  <c r="F47" i="7"/>
  <c r="E47" i="7"/>
  <c r="D47" i="7"/>
  <c r="L46" i="7"/>
  <c r="M46" i="7" s="1"/>
  <c r="N46" i="7" s="1"/>
  <c r="O46" i="7" s="1"/>
  <c r="Q46" i="7" s="1"/>
  <c r="K46" i="7"/>
  <c r="J46" i="7"/>
  <c r="I46" i="7"/>
  <c r="H46" i="7"/>
  <c r="G46" i="7"/>
  <c r="F46" i="7"/>
  <c r="E46" i="7"/>
  <c r="D46" i="7"/>
  <c r="L45" i="7"/>
  <c r="K45" i="7"/>
  <c r="J45" i="7"/>
  <c r="I45" i="7"/>
  <c r="H45" i="7"/>
  <c r="G45" i="7"/>
  <c r="F45" i="7"/>
  <c r="E45" i="7"/>
  <c r="D45" i="7"/>
  <c r="C49" i="7"/>
  <c r="C48" i="7"/>
  <c r="C47" i="7"/>
  <c r="C46" i="7"/>
  <c r="C45" i="7"/>
  <c r="L42" i="7"/>
  <c r="K42" i="7"/>
  <c r="J42" i="7"/>
  <c r="I42" i="7"/>
  <c r="H42" i="7"/>
  <c r="F42" i="7"/>
  <c r="E42" i="7"/>
  <c r="D42" i="7"/>
  <c r="C42" i="7"/>
  <c r="L41" i="7"/>
  <c r="K41" i="7"/>
  <c r="J41" i="7"/>
  <c r="I41" i="7"/>
  <c r="H41" i="7"/>
  <c r="F41" i="7"/>
  <c r="E41" i="7"/>
  <c r="D41" i="7"/>
  <c r="C41" i="7"/>
  <c r="G42" i="7"/>
  <c r="G41" i="7"/>
  <c r="L19" i="7"/>
  <c r="J19" i="7"/>
  <c r="I19" i="7"/>
  <c r="H19" i="7"/>
  <c r="G19" i="7"/>
  <c r="F19" i="7"/>
  <c r="E19" i="7"/>
  <c r="D19" i="7"/>
  <c r="L18" i="7"/>
  <c r="K18" i="7"/>
  <c r="J18" i="7"/>
  <c r="I18" i="7"/>
  <c r="H18" i="7"/>
  <c r="G18" i="7"/>
  <c r="F18" i="7"/>
  <c r="E18" i="7"/>
  <c r="D18" i="7"/>
  <c r="L17" i="7"/>
  <c r="M17" i="7" s="1"/>
  <c r="N17" i="7" s="1"/>
  <c r="O17" i="7" s="1"/>
  <c r="K17" i="7"/>
  <c r="J17" i="7"/>
  <c r="I17" i="7"/>
  <c r="H17" i="7"/>
  <c r="G17" i="7"/>
  <c r="F17" i="7"/>
  <c r="E17" i="7"/>
  <c r="D17" i="7"/>
  <c r="L16" i="7"/>
  <c r="K16" i="7"/>
  <c r="J16" i="7"/>
  <c r="I16" i="7"/>
  <c r="H16" i="7"/>
  <c r="G16" i="7"/>
  <c r="F16" i="7"/>
  <c r="E16" i="7"/>
  <c r="D16" i="7"/>
  <c r="L15" i="7"/>
  <c r="K15" i="7"/>
  <c r="J15" i="7"/>
  <c r="I15" i="7"/>
  <c r="H15" i="7"/>
  <c r="G15" i="7"/>
  <c r="F15" i="7"/>
  <c r="E15" i="7"/>
  <c r="D15" i="7"/>
  <c r="C18" i="7"/>
  <c r="C19" i="7"/>
  <c r="C17" i="7"/>
  <c r="C16" i="7"/>
  <c r="C65" i="7" s="1"/>
  <c r="C15" i="7"/>
  <c r="L20" i="7"/>
  <c r="K20" i="7"/>
  <c r="J20" i="7"/>
  <c r="C6" i="12" s="1"/>
  <c r="I20" i="7"/>
  <c r="B6" i="12" s="1"/>
  <c r="H20" i="7"/>
  <c r="G22" i="16" s="1"/>
  <c r="F20" i="7"/>
  <c r="E22" i="16" s="1"/>
  <c r="E20" i="7"/>
  <c r="D22" i="16" s="1"/>
  <c r="D20" i="7"/>
  <c r="C22" i="16" s="1"/>
  <c r="C20" i="7"/>
  <c r="B22" i="16" s="1"/>
  <c r="G20" i="7"/>
  <c r="F22" i="16" s="1"/>
  <c r="A35" i="7"/>
  <c r="E107" i="7" l="1"/>
  <c r="E6" i="12"/>
  <c r="AB127" i="7"/>
  <c r="D6" i="12"/>
  <c r="O7" i="12" s="1"/>
  <c r="AA127" i="7"/>
  <c r="I6" i="12"/>
  <c r="I22" i="16"/>
  <c r="H22" i="16"/>
  <c r="J22" i="16"/>
  <c r="K22" i="16"/>
  <c r="R2" i="14"/>
  <c r="C107" i="7"/>
  <c r="L107" i="7"/>
  <c r="F107" i="7"/>
  <c r="G107" i="7"/>
  <c r="K107" i="7"/>
  <c r="H107" i="7"/>
  <c r="I107" i="7"/>
  <c r="J107" i="7"/>
  <c r="D106" i="7"/>
  <c r="D107" i="7"/>
  <c r="E100" i="7"/>
  <c r="G102" i="7"/>
  <c r="T20" i="7"/>
  <c r="F100" i="7"/>
  <c r="J106" i="7"/>
  <c r="K106" i="7"/>
  <c r="E21" i="7"/>
  <c r="H100" i="7"/>
  <c r="E106" i="7"/>
  <c r="J102" i="7"/>
  <c r="M97" i="7"/>
  <c r="H102" i="7"/>
  <c r="I100" i="7"/>
  <c r="F106" i="7"/>
  <c r="K102" i="7"/>
  <c r="G106" i="7"/>
  <c r="K100" i="7"/>
  <c r="H106" i="7"/>
  <c r="E102" i="7"/>
  <c r="G100" i="7"/>
  <c r="L106" i="7"/>
  <c r="I102" i="7"/>
  <c r="I21" i="7"/>
  <c r="J100" i="7"/>
  <c r="D102" i="7"/>
  <c r="L102" i="7"/>
  <c r="D100" i="7"/>
  <c r="L100" i="7"/>
  <c r="I106" i="7"/>
  <c r="F102" i="7"/>
  <c r="G21" i="7"/>
  <c r="J21" i="7"/>
  <c r="D21" i="7"/>
  <c r="L21" i="7"/>
  <c r="AB128" i="7" s="1"/>
  <c r="H97" i="7"/>
  <c r="I97" i="7"/>
  <c r="F21" i="7"/>
  <c r="H21" i="7"/>
  <c r="K21" i="7"/>
  <c r="AA128" i="7" s="1"/>
  <c r="J111" i="7"/>
  <c r="G38" i="7"/>
  <c r="T53" i="7"/>
  <c r="T41" i="7"/>
  <c r="J97" i="7"/>
  <c r="K97" i="7"/>
  <c r="L97" i="7"/>
  <c r="N97" i="7"/>
  <c r="P98" i="7"/>
  <c r="P97" i="7" s="1"/>
  <c r="O97" i="7"/>
  <c r="I111" i="7"/>
  <c r="T42" i="7"/>
  <c r="T54" i="7"/>
  <c r="J76" i="7"/>
  <c r="O115" i="7"/>
  <c r="P115" i="7"/>
  <c r="M115" i="7"/>
  <c r="N115" i="7"/>
  <c r="M116" i="7"/>
  <c r="N116" i="7" s="1"/>
  <c r="M114" i="7"/>
  <c r="P42" i="7"/>
  <c r="T16" i="8" s="1"/>
  <c r="N21" i="8"/>
  <c r="R53" i="7"/>
  <c r="F9" i="8"/>
  <c r="T45" i="7"/>
  <c r="T49" i="7"/>
  <c r="D9" i="8"/>
  <c r="E9" i="8"/>
  <c r="C9" i="8"/>
  <c r="B9" i="8"/>
  <c r="Q112" i="7"/>
  <c r="T55" i="7"/>
  <c r="T64" i="7"/>
  <c r="R49" i="7"/>
  <c r="H111" i="7"/>
  <c r="Q110" i="7"/>
  <c r="L110" i="7"/>
  <c r="L111" i="7"/>
  <c r="Q111" i="7"/>
  <c r="T48" i="7"/>
  <c r="R64" i="7"/>
  <c r="S45" i="7"/>
  <c r="R55" i="7"/>
  <c r="S48" i="7"/>
  <c r="S54" i="7"/>
  <c r="S64" i="7"/>
  <c r="C66" i="7"/>
  <c r="R41" i="7"/>
  <c r="T46" i="7"/>
  <c r="R45" i="7"/>
  <c r="U16" i="7" s="1"/>
  <c r="R48" i="7"/>
  <c r="S53" i="7"/>
  <c r="R42" i="7"/>
  <c r="S42" i="7"/>
  <c r="D103" i="7"/>
  <c r="H103" i="7"/>
  <c r="L103" i="7"/>
  <c r="S41" i="7"/>
  <c r="R46" i="7"/>
  <c r="S49" i="7"/>
  <c r="R54" i="7"/>
  <c r="S55" i="7"/>
  <c r="C103" i="7"/>
  <c r="S46" i="7"/>
  <c r="R20" i="7"/>
  <c r="F103" i="7"/>
  <c r="J103" i="7"/>
  <c r="P9" i="7"/>
  <c r="G103" i="7"/>
  <c r="K103" i="7"/>
  <c r="P16" i="7"/>
  <c r="P17" i="7"/>
  <c r="P20" i="7"/>
  <c r="E103" i="7"/>
  <c r="P13" i="7"/>
  <c r="P15" i="7"/>
  <c r="I103" i="7"/>
  <c r="S20" i="7"/>
  <c r="G111" i="7"/>
  <c r="K111" i="7"/>
  <c r="K110" i="7"/>
  <c r="J112" i="7"/>
  <c r="H110" i="7"/>
  <c r="I110" i="7"/>
  <c r="L112" i="7"/>
  <c r="E28" i="7"/>
  <c r="I28" i="7"/>
  <c r="G110" i="7"/>
  <c r="C28" i="7"/>
  <c r="J110" i="7"/>
  <c r="I112" i="7"/>
  <c r="H112" i="7"/>
  <c r="F28" i="7"/>
  <c r="J28" i="7"/>
  <c r="E79" i="7"/>
  <c r="J79" i="7"/>
  <c r="C13" i="12" s="1"/>
  <c r="G112" i="7"/>
  <c r="K112" i="7"/>
  <c r="G28" i="7"/>
  <c r="K28" i="7"/>
  <c r="D28" i="7"/>
  <c r="H28" i="7"/>
  <c r="L28" i="7"/>
  <c r="D79" i="7"/>
  <c r="I79" i="7"/>
  <c r="B13" i="12" s="1"/>
  <c r="C79" i="7"/>
  <c r="H79" i="7"/>
  <c r="L79" i="7"/>
  <c r="F79" i="7"/>
  <c r="K79" i="7"/>
  <c r="G79" i="7"/>
  <c r="L65" i="7"/>
  <c r="T65" i="7" s="1"/>
  <c r="E65" i="7"/>
  <c r="E66" i="7" s="1"/>
  <c r="E74" i="7" s="1"/>
  <c r="I65" i="7"/>
  <c r="D65" i="7"/>
  <c r="D66" i="7" s="1"/>
  <c r="D74" i="7" s="1"/>
  <c r="H65" i="7"/>
  <c r="G65" i="7"/>
  <c r="K65" i="7"/>
  <c r="F77" i="7"/>
  <c r="J77" i="7"/>
  <c r="D76" i="7"/>
  <c r="F65" i="7"/>
  <c r="F66" i="7" s="1"/>
  <c r="F74" i="7" s="1"/>
  <c r="J65" i="7"/>
  <c r="D29" i="7"/>
  <c r="H77" i="7"/>
  <c r="G77" i="7"/>
  <c r="K77" i="7"/>
  <c r="G76" i="7"/>
  <c r="F76" i="7"/>
  <c r="E76" i="7"/>
  <c r="C77" i="7"/>
  <c r="I29" i="7"/>
  <c r="E77" i="7"/>
  <c r="I77" i="7"/>
  <c r="C76" i="7"/>
  <c r="H76" i="7"/>
  <c r="L76" i="7"/>
  <c r="K76" i="7"/>
  <c r="I76" i="7"/>
  <c r="L77" i="7"/>
  <c r="D77" i="7"/>
  <c r="E29" i="7"/>
  <c r="G29" i="7"/>
  <c r="F29" i="7"/>
  <c r="K29" i="7"/>
  <c r="G59" i="7"/>
  <c r="C29" i="7"/>
  <c r="E58" i="7"/>
  <c r="J58" i="7"/>
  <c r="D59" i="7"/>
  <c r="I59" i="7"/>
  <c r="H29" i="7"/>
  <c r="J29" i="7"/>
  <c r="I58" i="7"/>
  <c r="D58" i="7"/>
  <c r="L59" i="7"/>
  <c r="G58" i="7"/>
  <c r="L29" i="7"/>
  <c r="K58" i="7"/>
  <c r="J59" i="7"/>
  <c r="H58" i="7"/>
  <c r="L58" i="7"/>
  <c r="F59" i="7"/>
  <c r="K59" i="7"/>
  <c r="F58" i="7"/>
  <c r="E59" i="7"/>
  <c r="H59" i="7"/>
  <c r="C50" i="7"/>
  <c r="G50" i="7"/>
  <c r="K50" i="7"/>
  <c r="E50" i="7"/>
  <c r="I50" i="7"/>
  <c r="C43" i="7"/>
  <c r="D4" i="14" s="1"/>
  <c r="H43" i="7"/>
  <c r="I4" i="14" s="1"/>
  <c r="L43" i="7"/>
  <c r="F50" i="7"/>
  <c r="J50" i="7"/>
  <c r="D50" i="7"/>
  <c r="H50" i="7"/>
  <c r="L50" i="7"/>
  <c r="F43" i="7"/>
  <c r="G4" i="14" s="1"/>
  <c r="K43" i="7"/>
  <c r="L4" i="14" s="1"/>
  <c r="D43" i="7"/>
  <c r="E4" i="14" s="1"/>
  <c r="I43" i="7"/>
  <c r="J4" i="14" s="1"/>
  <c r="G43" i="7"/>
  <c r="H4" i="14" s="1"/>
  <c r="E43" i="7"/>
  <c r="F4" i="14" s="1"/>
  <c r="J43" i="7"/>
  <c r="K4" i="14" s="1"/>
  <c r="J30" i="7"/>
  <c r="C30" i="7"/>
  <c r="D30" i="7"/>
  <c r="H30" i="7"/>
  <c r="L30" i="7"/>
  <c r="E30" i="7"/>
  <c r="I30" i="7"/>
  <c r="F30" i="7"/>
  <c r="G30" i="7"/>
  <c r="K30" i="7"/>
  <c r="D38" i="7"/>
  <c r="F38" i="7"/>
  <c r="K38" i="7"/>
  <c r="H38" i="7"/>
  <c r="I38" i="7"/>
  <c r="E38" i="7"/>
  <c r="J38" i="7"/>
  <c r="L5" i="7"/>
  <c r="L86" i="7" s="1"/>
  <c r="K5" i="7"/>
  <c r="K23" i="7" s="1"/>
  <c r="K85" i="7" s="1"/>
  <c r="J5" i="7"/>
  <c r="J23" i="7" s="1"/>
  <c r="J85" i="7" s="1"/>
  <c r="I5" i="7"/>
  <c r="I23" i="7" s="1"/>
  <c r="I85" i="7" s="1"/>
  <c r="H5" i="7"/>
  <c r="H23" i="7" s="1"/>
  <c r="H85" i="7" s="1"/>
  <c r="G5" i="7"/>
  <c r="G23" i="7" s="1"/>
  <c r="G85" i="7" s="1"/>
  <c r="F5" i="7"/>
  <c r="F23" i="7" s="1"/>
  <c r="F85" i="7" s="1"/>
  <c r="E5" i="7"/>
  <c r="E86" i="7" s="1"/>
  <c r="D23" i="16" s="1"/>
  <c r="D5" i="7"/>
  <c r="D86" i="7" s="1"/>
  <c r="C23" i="16" s="1"/>
  <c r="C5" i="7"/>
  <c r="C88" i="7" s="1"/>
  <c r="L4" i="7"/>
  <c r="K4" i="7"/>
  <c r="J4" i="7"/>
  <c r="I4" i="7"/>
  <c r="R4" i="7" s="1"/>
  <c r="H4" i="7"/>
  <c r="G4" i="7"/>
  <c r="F4" i="7"/>
  <c r="E4" i="7"/>
  <c r="D4" i="7"/>
  <c r="C4" i="7"/>
  <c r="L9" i="7"/>
  <c r="AB123" i="7" s="1"/>
  <c r="K9" i="7"/>
  <c r="AA123" i="7" s="1"/>
  <c r="J9" i="7"/>
  <c r="I9" i="7"/>
  <c r="B3" i="12" s="1"/>
  <c r="H9" i="7"/>
  <c r="F9" i="7"/>
  <c r="E20" i="16" s="1"/>
  <c r="E9" i="7"/>
  <c r="D20" i="16" s="1"/>
  <c r="D9" i="7"/>
  <c r="C20" i="16" s="1"/>
  <c r="C9" i="7"/>
  <c r="B20" i="16" s="1"/>
  <c r="G9" i="7"/>
  <c r="F20" i="16" s="1"/>
  <c r="C3" i="7"/>
  <c r="D3" i="7"/>
  <c r="E3" i="7"/>
  <c r="F3" i="7"/>
  <c r="G3" i="7"/>
  <c r="E13" i="12" l="1"/>
  <c r="P14" i="12" s="1"/>
  <c r="AB133" i="7"/>
  <c r="D13" i="12"/>
  <c r="O14" i="12" s="1"/>
  <c r="AA133" i="7"/>
  <c r="G20" i="16"/>
  <c r="H10" i="7"/>
  <c r="P7" i="12"/>
  <c r="E9" i="12"/>
  <c r="P13" i="12" s="1"/>
  <c r="K23" i="16"/>
  <c r="H20" i="16"/>
  <c r="C3" i="12"/>
  <c r="I20" i="16"/>
  <c r="E3" i="12"/>
  <c r="K20" i="16"/>
  <c r="D3" i="12"/>
  <c r="O3" i="12" s="1"/>
  <c r="O4" i="12" s="1"/>
  <c r="J20" i="16"/>
  <c r="L82" i="7"/>
  <c r="M4" i="14"/>
  <c r="E11" i="12"/>
  <c r="P12" i="12" s="1"/>
  <c r="T8" i="7"/>
  <c r="T4" i="7" s="1"/>
  <c r="S8" i="7"/>
  <c r="S4" i="7" s="1"/>
  <c r="T9" i="7"/>
  <c r="I10" i="7"/>
  <c r="D10" i="7"/>
  <c r="E10" i="7"/>
  <c r="F10" i="7"/>
  <c r="K87" i="7"/>
  <c r="K93" i="7" s="1"/>
  <c r="K10" i="7"/>
  <c r="AA124" i="7" s="1"/>
  <c r="J10" i="7"/>
  <c r="G87" i="7"/>
  <c r="G93" i="7" s="1"/>
  <c r="G10" i="7"/>
  <c r="L10" i="7"/>
  <c r="AB124" i="7" s="1"/>
  <c r="I87" i="7"/>
  <c r="I93" i="7" s="1"/>
  <c r="D82" i="7"/>
  <c r="E81" i="7"/>
  <c r="E82" i="7"/>
  <c r="F81" i="7"/>
  <c r="K82" i="7"/>
  <c r="L81" i="7"/>
  <c r="E15" i="12" s="1"/>
  <c r="H82" i="7"/>
  <c r="I81" i="7"/>
  <c r="B15" i="12" s="1"/>
  <c r="J82" i="7"/>
  <c r="K81" i="7"/>
  <c r="D15" i="12" s="1"/>
  <c r="G82" i="7"/>
  <c r="H81" i="7"/>
  <c r="F82" i="7"/>
  <c r="G81" i="7"/>
  <c r="C82" i="7"/>
  <c r="D81" i="7"/>
  <c r="I82" i="7"/>
  <c r="J81" i="7"/>
  <c r="C15" i="12" s="1"/>
  <c r="M16" i="7"/>
  <c r="V16" i="7"/>
  <c r="W16" i="7" s="1"/>
  <c r="L87" i="7"/>
  <c r="G20" i="8"/>
  <c r="G18" i="8"/>
  <c r="O116" i="7"/>
  <c r="P116" i="7" s="1"/>
  <c r="N114" i="7"/>
  <c r="O114" i="7" s="1"/>
  <c r="F19" i="8"/>
  <c r="G19" i="8" s="1"/>
  <c r="B4" i="8"/>
  <c r="E4" i="8"/>
  <c r="D4" i="8"/>
  <c r="C4" i="8"/>
  <c r="C18" i="8"/>
  <c r="B18" i="8"/>
  <c r="E18" i="8"/>
  <c r="D18" i="8"/>
  <c r="J87" i="7"/>
  <c r="J93" i="7" s="1"/>
  <c r="F4" i="8"/>
  <c r="C19" i="8"/>
  <c r="B19" i="8"/>
  <c r="E19" i="8"/>
  <c r="D19" i="8"/>
  <c r="F18" i="8"/>
  <c r="C11" i="8"/>
  <c r="D11" i="8"/>
  <c r="F11" i="8"/>
  <c r="B11" i="8"/>
  <c r="E88" i="7"/>
  <c r="E11" i="8"/>
  <c r="G88" i="7"/>
  <c r="D88" i="7"/>
  <c r="K88" i="7"/>
  <c r="L88" i="7"/>
  <c r="H88" i="7"/>
  <c r="F88" i="7"/>
  <c r="J88" i="7"/>
  <c r="I88" i="7"/>
  <c r="H87" i="7"/>
  <c r="H93" i="7" s="1"/>
  <c r="S29" i="7"/>
  <c r="R30" i="7"/>
  <c r="U30" i="7" s="1"/>
  <c r="V30" i="7" s="1"/>
  <c r="W30" i="7" s="1"/>
  <c r="S30" i="7"/>
  <c r="T29" i="7"/>
  <c r="T30" i="7"/>
  <c r="T43" i="7"/>
  <c r="R29" i="7"/>
  <c r="C86" i="7"/>
  <c r="T5" i="7"/>
  <c r="T50" i="7"/>
  <c r="R50" i="7"/>
  <c r="S50" i="7"/>
  <c r="R43" i="7"/>
  <c r="S43" i="7"/>
  <c r="S65" i="7"/>
  <c r="R65" i="7"/>
  <c r="P18" i="7"/>
  <c r="P19" i="7" s="1"/>
  <c r="P30" i="7" s="1"/>
  <c r="H80" i="7"/>
  <c r="L80" i="7"/>
  <c r="J60" i="7"/>
  <c r="D92" i="7"/>
  <c r="L92" i="7"/>
  <c r="AB131" i="7" s="1"/>
  <c r="E92" i="7"/>
  <c r="E87" i="7"/>
  <c r="E93" i="7" s="1"/>
  <c r="G86" i="7"/>
  <c r="F87" i="7"/>
  <c r="F93" i="7" s="1"/>
  <c r="F86" i="7"/>
  <c r="C87" i="7"/>
  <c r="J86" i="7"/>
  <c r="H86" i="7"/>
  <c r="D87" i="7"/>
  <c r="D93" i="7" s="1"/>
  <c r="I86" i="7"/>
  <c r="K86" i="7"/>
  <c r="T76" i="7"/>
  <c r="T77" i="7"/>
  <c r="T79" i="7"/>
  <c r="G80" i="7"/>
  <c r="I80" i="7"/>
  <c r="B14" i="12" s="1"/>
  <c r="D80" i="7"/>
  <c r="E80" i="7"/>
  <c r="D68" i="7"/>
  <c r="D72" i="7"/>
  <c r="I69" i="7"/>
  <c r="I72" i="7"/>
  <c r="E68" i="7"/>
  <c r="E72" i="7"/>
  <c r="J31" i="7"/>
  <c r="C7" i="12" s="1"/>
  <c r="J72" i="7"/>
  <c r="J80" i="7"/>
  <c r="C14" i="12" s="1"/>
  <c r="K80" i="7"/>
  <c r="G35" i="7"/>
  <c r="G72" i="7"/>
  <c r="F68" i="7"/>
  <c r="F72" i="7"/>
  <c r="K68" i="7"/>
  <c r="K72" i="7"/>
  <c r="E60" i="7"/>
  <c r="F80" i="7"/>
  <c r="C31" i="7"/>
  <c r="C72" i="7"/>
  <c r="H68" i="7"/>
  <c r="H72" i="7"/>
  <c r="L68" i="7"/>
  <c r="L72" i="7"/>
  <c r="L23" i="7"/>
  <c r="M5" i="7"/>
  <c r="N5" i="7" s="1"/>
  <c r="O5" i="7" s="1"/>
  <c r="M65" i="7"/>
  <c r="G11" i="8" s="1"/>
  <c r="C71" i="7"/>
  <c r="F71" i="7"/>
  <c r="E71" i="7"/>
  <c r="S76" i="7"/>
  <c r="D71" i="7"/>
  <c r="R76" i="7"/>
  <c r="S77" i="7"/>
  <c r="R77" i="7"/>
  <c r="C51" i="7"/>
  <c r="G60" i="7"/>
  <c r="D70" i="7"/>
  <c r="K70" i="7"/>
  <c r="K69" i="7"/>
  <c r="D69" i="7"/>
  <c r="E69" i="7"/>
  <c r="H69" i="7"/>
  <c r="J61" i="7"/>
  <c r="J70" i="7"/>
  <c r="G61" i="7"/>
  <c r="G70" i="7"/>
  <c r="F69" i="7"/>
  <c r="L69" i="7"/>
  <c r="L70" i="7"/>
  <c r="F70" i="7"/>
  <c r="I70" i="7"/>
  <c r="C70" i="7"/>
  <c r="I68" i="7"/>
  <c r="J68" i="7"/>
  <c r="H70" i="7"/>
  <c r="E61" i="7"/>
  <c r="E70" i="7"/>
  <c r="J69" i="7"/>
  <c r="C68" i="7"/>
  <c r="C69" i="7"/>
  <c r="D60" i="7"/>
  <c r="D61" i="7"/>
  <c r="K61" i="7"/>
  <c r="K51" i="7"/>
  <c r="K60" i="7"/>
  <c r="L60" i="7"/>
  <c r="F60" i="7"/>
  <c r="H60" i="7"/>
  <c r="I60" i="7"/>
  <c r="L61" i="7"/>
  <c r="F61" i="7"/>
  <c r="I61" i="7"/>
  <c r="J51" i="7"/>
  <c r="E51" i="7"/>
  <c r="H51" i="7"/>
  <c r="F51" i="7"/>
  <c r="D51" i="7"/>
  <c r="L51" i="7"/>
  <c r="G51" i="7"/>
  <c r="I51" i="7"/>
  <c r="F22" i="7"/>
  <c r="L22" i="7"/>
  <c r="C23" i="7"/>
  <c r="C22" i="7"/>
  <c r="D23" i="7"/>
  <c r="D85" i="7" s="1"/>
  <c r="D22" i="7"/>
  <c r="G22" i="7"/>
  <c r="K22" i="7"/>
  <c r="E22" i="7"/>
  <c r="E23" i="7"/>
  <c r="E85" i="7" s="1"/>
  <c r="I22" i="7"/>
  <c r="B8" i="12" s="1"/>
  <c r="B10" i="12" s="1"/>
  <c r="H22" i="7"/>
  <c r="J22" i="7"/>
  <c r="C8" i="12" s="1"/>
  <c r="C10" i="12" s="1"/>
  <c r="F35" i="7"/>
  <c r="F31" i="7"/>
  <c r="H31" i="7"/>
  <c r="H35" i="7"/>
  <c r="L11" i="7"/>
  <c r="L31" i="7"/>
  <c r="E7" i="12" s="1"/>
  <c r="D35" i="7"/>
  <c r="I35" i="7"/>
  <c r="I31" i="7"/>
  <c r="B7" i="12" s="1"/>
  <c r="K35" i="7"/>
  <c r="K31" i="7"/>
  <c r="D7" i="12" s="1"/>
  <c r="E35" i="7"/>
  <c r="J35" i="7"/>
  <c r="D31" i="7"/>
  <c r="E31" i="7"/>
  <c r="D13" i="7"/>
  <c r="C21" i="16" s="1"/>
  <c r="D11" i="7"/>
  <c r="I13" i="7"/>
  <c r="I11" i="7"/>
  <c r="E13" i="7"/>
  <c r="D21" i="16" s="1"/>
  <c r="E11" i="7"/>
  <c r="J13" i="7"/>
  <c r="J11" i="7"/>
  <c r="G13" i="7"/>
  <c r="F21" i="16" s="1"/>
  <c r="G11" i="7"/>
  <c r="F13" i="7"/>
  <c r="E21" i="16" s="1"/>
  <c r="F11" i="7"/>
  <c r="K13" i="7"/>
  <c r="AA125" i="7" s="1"/>
  <c r="K11" i="7"/>
  <c r="C13" i="7"/>
  <c r="B21" i="16" s="1"/>
  <c r="C11" i="7"/>
  <c r="C26" i="7" s="1"/>
  <c r="H13" i="7"/>
  <c r="G21" i="16" s="1"/>
  <c r="H11" i="7"/>
  <c r="E6" i="7"/>
  <c r="E7" i="7" s="1"/>
  <c r="I6" i="7"/>
  <c r="I7" i="7" s="1"/>
  <c r="F6" i="7"/>
  <c r="F7" i="7" s="1"/>
  <c r="J6" i="7"/>
  <c r="J7" i="7" s="1"/>
  <c r="S5" i="7"/>
  <c r="R5" i="7"/>
  <c r="L13" i="7"/>
  <c r="AB125" i="7" s="1"/>
  <c r="C6" i="7"/>
  <c r="G6" i="7"/>
  <c r="G7" i="7" s="1"/>
  <c r="K6" i="7"/>
  <c r="K7" i="7" s="1"/>
  <c r="D6" i="7"/>
  <c r="D7" i="7" s="1"/>
  <c r="H6" i="7"/>
  <c r="H7" i="7" s="1"/>
  <c r="L6" i="7"/>
  <c r="L7" i="7" s="1"/>
  <c r="E14" i="12" l="1"/>
  <c r="P15" i="12" s="1"/>
  <c r="AB132" i="7"/>
  <c r="D14" i="12"/>
  <c r="O15" i="12" s="1"/>
  <c r="AA132" i="7"/>
  <c r="E8" i="12"/>
  <c r="P8" i="12" s="1"/>
  <c r="AB129" i="7"/>
  <c r="D8" i="12"/>
  <c r="O8" i="12" s="1"/>
  <c r="O9" i="12" s="1"/>
  <c r="AA129" i="7"/>
  <c r="P9" i="12"/>
  <c r="D10" i="12"/>
  <c r="O10" i="12" s="1"/>
  <c r="I3" i="12"/>
  <c r="P3" i="12"/>
  <c r="P4" i="12" s="1"/>
  <c r="H92" i="7"/>
  <c r="G23" i="16"/>
  <c r="D9" i="12"/>
  <c r="O13" i="12" s="1"/>
  <c r="J23" i="16"/>
  <c r="T86" i="7"/>
  <c r="B23" i="16"/>
  <c r="E4" i="12"/>
  <c r="K21" i="16"/>
  <c r="D4" i="12"/>
  <c r="O5" i="12" s="1"/>
  <c r="J21" i="16"/>
  <c r="C9" i="12"/>
  <c r="C11" i="12" s="1"/>
  <c r="I23" i="16"/>
  <c r="B4" i="12"/>
  <c r="H21" i="16"/>
  <c r="B9" i="12"/>
  <c r="B11" i="12" s="1"/>
  <c r="H23" i="16"/>
  <c r="F92" i="7"/>
  <c r="E23" i="16"/>
  <c r="G92" i="7"/>
  <c r="F23" i="16"/>
  <c r="C4" i="12"/>
  <c r="I21" i="16"/>
  <c r="E10" i="12"/>
  <c r="P10" i="12" s="1"/>
  <c r="I8" i="12"/>
  <c r="K92" i="7"/>
  <c r="AA131" i="7" s="1"/>
  <c r="I92" i="7"/>
  <c r="J92" i="7"/>
  <c r="H14" i="7"/>
  <c r="L14" i="7"/>
  <c r="AB126" i="7" s="1"/>
  <c r="I14" i="7"/>
  <c r="D12" i="7"/>
  <c r="D14" i="7"/>
  <c r="H12" i="7"/>
  <c r="F73" i="7"/>
  <c r="F14" i="7"/>
  <c r="G14" i="7"/>
  <c r="J12" i="7"/>
  <c r="J14" i="7"/>
  <c r="M15" i="7" s="1"/>
  <c r="K14" i="7"/>
  <c r="AA126" i="7" s="1"/>
  <c r="E73" i="7"/>
  <c r="E14" i="7"/>
  <c r="E12" i="7"/>
  <c r="K12" i="7"/>
  <c r="L12" i="7"/>
  <c r="F12" i="7"/>
  <c r="I12" i="7"/>
  <c r="S87" i="7"/>
  <c r="N16" i="7"/>
  <c r="O16" i="7" s="1"/>
  <c r="R81" i="7"/>
  <c r="T81" i="7"/>
  <c r="L93" i="7"/>
  <c r="S81" i="7"/>
  <c r="C92" i="7"/>
  <c r="R87" i="7"/>
  <c r="G22" i="8"/>
  <c r="N17" i="8" s="1"/>
  <c r="S7" i="7"/>
  <c r="R7" i="7"/>
  <c r="P114" i="7"/>
  <c r="P104" i="7"/>
  <c r="O104" i="7"/>
  <c r="M104" i="7"/>
  <c r="N104" i="7"/>
  <c r="D73" i="7"/>
  <c r="E6" i="8"/>
  <c r="D6" i="8"/>
  <c r="C6" i="8"/>
  <c r="B6" i="8"/>
  <c r="F6" i="8"/>
  <c r="P5" i="7"/>
  <c r="P6" i="7" s="1"/>
  <c r="N23" i="8"/>
  <c r="M45" i="7"/>
  <c r="M28" i="7" s="1"/>
  <c r="T13" i="7"/>
  <c r="T22" i="7"/>
  <c r="C7" i="7"/>
  <c r="T6" i="7"/>
  <c r="C85" i="7"/>
  <c r="T23" i="7"/>
  <c r="C93" i="7"/>
  <c r="T87" i="7"/>
  <c r="S86" i="7"/>
  <c r="R86" i="7"/>
  <c r="S22" i="7"/>
  <c r="R22" i="7"/>
  <c r="S23" i="7"/>
  <c r="R23" i="7"/>
  <c r="G95" i="7"/>
  <c r="G96" i="7"/>
  <c r="I96" i="7"/>
  <c r="I95" i="7"/>
  <c r="B12" i="12" s="1"/>
  <c r="H96" i="7"/>
  <c r="H95" i="7"/>
  <c r="D96" i="7"/>
  <c r="D95" i="7"/>
  <c r="E96" i="7"/>
  <c r="E95" i="7"/>
  <c r="J96" i="7"/>
  <c r="J95" i="7"/>
  <c r="C12" i="12" s="1"/>
  <c r="L96" i="7"/>
  <c r="L95" i="7"/>
  <c r="E12" i="12" s="1"/>
  <c r="P11" i="12" s="1"/>
  <c r="K95" i="7"/>
  <c r="D12" i="12" s="1"/>
  <c r="O11" i="12" s="1"/>
  <c r="K96" i="7"/>
  <c r="F95" i="7"/>
  <c r="F96" i="7"/>
  <c r="J32" i="7"/>
  <c r="J84" i="7"/>
  <c r="J91" i="7" s="1"/>
  <c r="E84" i="7"/>
  <c r="E91" i="7" s="1"/>
  <c r="F32" i="7"/>
  <c r="F84" i="7"/>
  <c r="F91" i="7" s="1"/>
  <c r="H32" i="7"/>
  <c r="H84" i="7"/>
  <c r="H91" i="7" s="1"/>
  <c r="C84" i="7"/>
  <c r="I32" i="7"/>
  <c r="I84" i="7"/>
  <c r="I91" i="7" s="1"/>
  <c r="G32" i="7"/>
  <c r="G84" i="7"/>
  <c r="G91" i="7" s="1"/>
  <c r="K32" i="7"/>
  <c r="K84" i="7"/>
  <c r="K91" i="7" s="1"/>
  <c r="AA130" i="7" s="1"/>
  <c r="D84" i="7"/>
  <c r="D91" i="7" s="1"/>
  <c r="L84" i="7"/>
  <c r="L85" i="7"/>
  <c r="T80" i="7"/>
  <c r="N65" i="7"/>
  <c r="D32" i="7"/>
  <c r="E32" i="7"/>
  <c r="L32" i="7"/>
  <c r="C27" i="7"/>
  <c r="C73" i="7"/>
  <c r="C32" i="7"/>
  <c r="T70" i="7"/>
  <c r="R31" i="7"/>
  <c r="L27" i="7"/>
  <c r="E5" i="12" s="1"/>
  <c r="P6" i="12" s="1"/>
  <c r="S31" i="7"/>
  <c r="G37" i="7"/>
  <c r="K36" i="7"/>
  <c r="K26" i="7"/>
  <c r="E26" i="7"/>
  <c r="E36" i="7"/>
  <c r="K37" i="7"/>
  <c r="K27" i="7"/>
  <c r="D5" i="12" s="1"/>
  <c r="O6" i="12" s="1"/>
  <c r="E37" i="7"/>
  <c r="E27" i="7"/>
  <c r="F36" i="7"/>
  <c r="F26" i="7"/>
  <c r="J26" i="7"/>
  <c r="J36" i="7"/>
  <c r="I26" i="7"/>
  <c r="I36" i="7"/>
  <c r="L36" i="7"/>
  <c r="L26" i="7"/>
  <c r="H26" i="7"/>
  <c r="H36" i="7"/>
  <c r="G36" i="7"/>
  <c r="G26" i="7"/>
  <c r="D26" i="7"/>
  <c r="D36" i="7"/>
  <c r="H27" i="7"/>
  <c r="H37" i="7"/>
  <c r="D37" i="7"/>
  <c r="D27" i="7"/>
  <c r="F37" i="7"/>
  <c r="F27" i="7"/>
  <c r="J37" i="7"/>
  <c r="J27" i="7"/>
  <c r="C5" i="12" s="1"/>
  <c r="I27" i="7"/>
  <c r="B5" i="12" s="1"/>
  <c r="I37" i="7"/>
  <c r="S6" i="7"/>
  <c r="R6" i="7"/>
  <c r="Z118" i="7" l="1"/>
  <c r="A2" i="7"/>
  <c r="I4" i="12"/>
  <c r="P5" i="12"/>
  <c r="D11" i="12"/>
  <c r="O12" i="12" s="1"/>
  <c r="I9" i="12"/>
  <c r="O6" i="7"/>
  <c r="Q16" i="8"/>
  <c r="M6" i="7"/>
  <c r="N6" i="7"/>
  <c r="T93" i="7"/>
  <c r="S92" i="7"/>
  <c r="R93" i="7"/>
  <c r="N15" i="7"/>
  <c r="O15" i="7" s="1"/>
  <c r="T92" i="7"/>
  <c r="R92" i="7"/>
  <c r="S93" i="7"/>
  <c r="F7" i="8"/>
  <c r="C95" i="7"/>
  <c r="T95" i="7" s="1"/>
  <c r="T7" i="7"/>
  <c r="K13" i="8"/>
  <c r="P13" i="8"/>
  <c r="M13" i="8"/>
  <c r="O13" i="8"/>
  <c r="I13" i="8"/>
  <c r="Q13" i="8"/>
  <c r="J13" i="8"/>
  <c r="N13" i="8"/>
  <c r="G13" i="8"/>
  <c r="H13" i="8"/>
  <c r="L13" i="8"/>
  <c r="N45" i="7"/>
  <c r="N28" i="7" s="1"/>
  <c r="H11" i="8"/>
  <c r="C96" i="7"/>
  <c r="T96" i="7" s="1"/>
  <c r="P7" i="7"/>
  <c r="T26" i="7"/>
  <c r="T85" i="7"/>
  <c r="C91" i="7"/>
  <c r="T84" i="7"/>
  <c r="R95" i="7"/>
  <c r="S95" i="7"/>
  <c r="L91" i="7"/>
  <c r="S84" i="7"/>
  <c r="R84" i="7"/>
  <c r="R96" i="7"/>
  <c r="S85" i="7"/>
  <c r="R85" i="7"/>
  <c r="S96" i="7"/>
  <c r="S32" i="7"/>
  <c r="O65" i="7"/>
  <c r="I11" i="8" s="1"/>
  <c r="R32" i="7"/>
  <c r="U32" i="7" s="1"/>
  <c r="V32" i="7" s="1"/>
  <c r="W32" i="7" s="1"/>
  <c r="T32" i="7"/>
  <c r="R27" i="7"/>
  <c r="U27" i="7" s="1"/>
  <c r="V27" i="7" s="1"/>
  <c r="W27" i="7" s="1"/>
  <c r="R26" i="7"/>
  <c r="S27" i="7"/>
  <c r="S26" i="7"/>
  <c r="C1" i="12" l="1"/>
  <c r="A1" i="8"/>
  <c r="R91" i="7"/>
  <c r="AB130" i="7"/>
  <c r="C1" i="9"/>
  <c r="O45" i="7"/>
  <c r="Q45" i="7" s="1"/>
  <c r="Q65" i="7"/>
  <c r="P96" i="7"/>
  <c r="P95" i="7"/>
  <c r="T91" i="7"/>
  <c r="S91" i="7"/>
  <c r="P22" i="7"/>
  <c r="P91" i="7" s="1"/>
  <c r="U20" i="8" s="1"/>
  <c r="Q21" i="8" l="1"/>
  <c r="U21" i="8"/>
  <c r="Q20" i="8"/>
  <c r="Q22" i="8"/>
  <c r="U22" i="8"/>
  <c r="O28" i="7"/>
  <c r="Q28" i="7" s="1"/>
  <c r="S28" i="7"/>
  <c r="T28" i="7"/>
  <c r="R28" i="7"/>
  <c r="R80" i="7"/>
  <c r="S79" i="7"/>
  <c r="J73" i="7"/>
  <c r="C17" i="12" s="1"/>
  <c r="G66" i="7"/>
  <c r="K66" i="7"/>
  <c r="K74" i="7" s="1"/>
  <c r="G68" i="7"/>
  <c r="T68" i="7" s="1"/>
  <c r="R79" i="7"/>
  <c r="I73" i="7"/>
  <c r="B17" i="12" s="1"/>
  <c r="G69" i="7"/>
  <c r="T69" i="7" s="1"/>
  <c r="H66" i="7"/>
  <c r="H74" i="7" s="1"/>
  <c r="L66" i="7"/>
  <c r="T66" i="7" s="1"/>
  <c r="I66" i="7"/>
  <c r="I74" i="7" s="1"/>
  <c r="G73" i="7"/>
  <c r="K73" i="7"/>
  <c r="D17" i="12" s="1"/>
  <c r="P27" i="7"/>
  <c r="J66" i="7"/>
  <c r="H73" i="7"/>
  <c r="L73" i="7"/>
  <c r="E17" i="12" s="1"/>
  <c r="S80" i="7"/>
  <c r="G31" i="7"/>
  <c r="T31" i="7" s="1"/>
  <c r="H71" i="7"/>
  <c r="G27" i="7"/>
  <c r="P31" i="7"/>
  <c r="J71" i="7"/>
  <c r="C16" i="12" s="1"/>
  <c r="H61" i="7"/>
  <c r="G71" i="7"/>
  <c r="K71" i="7"/>
  <c r="D16" i="12" s="1"/>
  <c r="I71" i="7"/>
  <c r="B16" i="12" s="1"/>
  <c r="P35" i="7"/>
  <c r="L71" i="7"/>
  <c r="E16" i="12" s="1"/>
  <c r="S9" i="7"/>
  <c r="P37" i="7"/>
  <c r="P38" i="7"/>
  <c r="R9" i="7"/>
  <c r="U9" i="7" s="1"/>
  <c r="V9" i="7" s="1"/>
  <c r="W9" i="7" s="1"/>
  <c r="L35" i="7"/>
  <c r="R13" i="7"/>
  <c r="L37" i="7"/>
  <c r="S13" i="7"/>
  <c r="L38" i="7"/>
  <c r="C10" i="8" l="1"/>
  <c r="E10" i="8"/>
  <c r="D10" i="8"/>
  <c r="F10" i="8"/>
  <c r="B10" i="8"/>
  <c r="E8" i="8"/>
  <c r="D8" i="8"/>
  <c r="B8" i="8"/>
  <c r="C8" i="8"/>
  <c r="J74" i="7"/>
  <c r="F12" i="8"/>
  <c r="G74" i="7"/>
  <c r="C12" i="8"/>
  <c r="B12" i="8"/>
  <c r="E12" i="8"/>
  <c r="D12" i="8"/>
  <c r="F5" i="8"/>
  <c r="E5" i="8"/>
  <c r="C5" i="8"/>
  <c r="B5" i="8"/>
  <c r="D5" i="8"/>
  <c r="F8" i="8"/>
  <c r="T27" i="7"/>
  <c r="B7" i="8"/>
  <c r="D7" i="8"/>
  <c r="E7" i="8"/>
  <c r="C7" i="8"/>
  <c r="L74" i="7"/>
  <c r="S66" i="7"/>
  <c r="R66" i="7"/>
  <c r="T73" i="7"/>
  <c r="T71" i="7"/>
  <c r="S70" i="7"/>
  <c r="S69" i="7"/>
  <c r="R69" i="7"/>
  <c r="R71" i="7"/>
  <c r="U71" i="7" s="1"/>
  <c r="V71" i="7" s="1"/>
  <c r="W71" i="7" s="1"/>
  <c r="R68" i="7"/>
  <c r="R70" i="7"/>
  <c r="R73" i="7"/>
  <c r="U73" i="7" s="1"/>
  <c r="V73" i="7" s="1"/>
  <c r="W73" i="7" s="1"/>
  <c r="S68" i="7"/>
  <c r="S71" i="7"/>
  <c r="S73" i="7"/>
  <c r="B6" i="6"/>
  <c r="E1" i="6"/>
  <c r="U3" i="7"/>
  <c r="M99" i="7" l="1"/>
  <c r="M100" i="7" s="1"/>
  <c r="S74" i="7"/>
  <c r="M9" i="7"/>
  <c r="AC123" i="7" s="1"/>
  <c r="P99" i="7"/>
  <c r="O99" i="7"/>
  <c r="N99" i="7"/>
  <c r="N3" i="7"/>
  <c r="G2" i="12" s="1"/>
  <c r="J2" i="12" s="1"/>
  <c r="T74" i="7"/>
  <c r="R74" i="7"/>
  <c r="N100" i="7" l="1"/>
  <c r="F3" i="12"/>
  <c r="Q3" i="12" s="1"/>
  <c r="Q4" i="12" s="1"/>
  <c r="L20" i="16"/>
  <c r="O100" i="7"/>
  <c r="P100" i="7"/>
  <c r="Q99" i="7"/>
  <c r="R99" i="7" s="1"/>
  <c r="M50" i="7"/>
  <c r="M71" i="7" s="1"/>
  <c r="F16" i="12" s="1"/>
  <c r="M10" i="7"/>
  <c r="AC124" i="7" s="1"/>
  <c r="O3" i="7"/>
  <c r="H2" i="12" s="1"/>
  <c r="K2" i="12" s="1"/>
  <c r="V3" i="7"/>
  <c r="G4" i="8"/>
  <c r="N9" i="7"/>
  <c r="AD123" i="7" s="1"/>
  <c r="M72" i="7"/>
  <c r="M13" i="7"/>
  <c r="AC125" i="7" s="1"/>
  <c r="M35" i="7"/>
  <c r="M87" i="7"/>
  <c r="M93" i="7" s="1"/>
  <c r="M101" i="7"/>
  <c r="N54" i="14" s="1"/>
  <c r="M110" i="7"/>
  <c r="O101" i="7"/>
  <c r="P54" i="14" s="1"/>
  <c r="O110" i="7"/>
  <c r="P101" i="7"/>
  <c r="Q54" i="14" s="1"/>
  <c r="P110" i="7"/>
  <c r="N110" i="7"/>
  <c r="N101" i="7"/>
  <c r="O54" i="14" s="1"/>
  <c r="M20" i="16" l="1"/>
  <c r="F4" i="12"/>
  <c r="Q5" i="12" s="1"/>
  <c r="L21" i="16"/>
  <c r="G3" i="12"/>
  <c r="H4" i="8"/>
  <c r="H5" i="8" s="1"/>
  <c r="P102" i="7"/>
  <c r="N102" i="7"/>
  <c r="N10" i="7"/>
  <c r="AD124" i="7" s="1"/>
  <c r="O102" i="7"/>
  <c r="M14" i="7"/>
  <c r="AC126" i="7" s="1"/>
  <c r="G10" i="8"/>
  <c r="M102" i="7"/>
  <c r="W3" i="7"/>
  <c r="G6" i="8"/>
  <c r="G7" i="8" s="1"/>
  <c r="N87" i="7"/>
  <c r="N93" i="7" s="1"/>
  <c r="N50" i="7"/>
  <c r="N71" i="7" s="1"/>
  <c r="G16" i="12" s="1"/>
  <c r="N72" i="7"/>
  <c r="N35" i="7"/>
  <c r="N13" i="7"/>
  <c r="AD125" i="7" s="1"/>
  <c r="O9" i="7"/>
  <c r="AE123" i="7" s="1"/>
  <c r="M27" i="7"/>
  <c r="F5" i="12" s="1"/>
  <c r="Q6" i="12" s="1"/>
  <c r="M37" i="7"/>
  <c r="N111" i="7"/>
  <c r="N105" i="7"/>
  <c r="N107" i="7" s="1"/>
  <c r="N103" i="7"/>
  <c r="O105" i="7"/>
  <c r="O107" i="7" s="1"/>
  <c r="O103" i="7"/>
  <c r="O111" i="7"/>
  <c r="Q101" i="7"/>
  <c r="Q103" i="7" s="1"/>
  <c r="P111" i="7"/>
  <c r="P105" i="7"/>
  <c r="P107" i="7" s="1"/>
  <c r="P103" i="7"/>
  <c r="M111" i="7"/>
  <c r="M105" i="7"/>
  <c r="M103" i="7"/>
  <c r="J3" i="12" l="1"/>
  <c r="R3" i="12"/>
  <c r="R4" i="12" s="1"/>
  <c r="H3" i="12"/>
  <c r="K3" i="12" s="1"/>
  <c r="N20" i="16"/>
  <c r="G4" i="12"/>
  <c r="M21" i="16"/>
  <c r="M106" i="7"/>
  <c r="M107" i="7"/>
  <c r="O35" i="7"/>
  <c r="P112" i="7"/>
  <c r="P106" i="7"/>
  <c r="N112" i="7"/>
  <c r="N106" i="7"/>
  <c r="H10" i="8"/>
  <c r="O10" i="7"/>
  <c r="AE124" i="7" s="1"/>
  <c r="O112" i="7"/>
  <c r="O106" i="7"/>
  <c r="N14" i="7"/>
  <c r="AD126" i="7" s="1"/>
  <c r="O13" i="7"/>
  <c r="AE125" i="7" s="1"/>
  <c r="O50" i="7"/>
  <c r="O71" i="7" s="1"/>
  <c r="H16" i="12" s="1"/>
  <c r="H6" i="8"/>
  <c r="H7" i="8" s="1"/>
  <c r="I4" i="8"/>
  <c r="I5" i="8" s="1"/>
  <c r="J5" i="8" s="1"/>
  <c r="S5" i="8" s="1"/>
  <c r="O87" i="7"/>
  <c r="O93" i="7" s="1"/>
  <c r="O72" i="7"/>
  <c r="N27" i="7"/>
  <c r="G5" i="12" s="1"/>
  <c r="R6" i="12" s="1"/>
  <c r="N37" i="7"/>
  <c r="Q9" i="7"/>
  <c r="R101" i="7"/>
  <c r="R103" i="7"/>
  <c r="M112" i="7"/>
  <c r="Q105" i="7"/>
  <c r="M18" i="7"/>
  <c r="N3" i="14" s="1"/>
  <c r="J4" i="12" l="1"/>
  <c r="R5" i="12"/>
  <c r="H4" i="12"/>
  <c r="K4" i="12" s="1"/>
  <c r="N21" i="16"/>
  <c r="Q13" i="7"/>
  <c r="O37" i="7"/>
  <c r="O14" i="7"/>
  <c r="AE126" i="7" s="1"/>
  <c r="O27" i="7"/>
  <c r="H5" i="12" s="1"/>
  <c r="I6" i="8"/>
  <c r="I7" i="8" s="1"/>
  <c r="J7" i="8" s="1"/>
  <c r="S7" i="8" s="1"/>
  <c r="T7" i="8" s="1"/>
  <c r="O7" i="8" s="1"/>
  <c r="I10" i="8"/>
  <c r="K5" i="8"/>
  <c r="T5" i="8"/>
  <c r="O5" i="8" s="1"/>
  <c r="J4" i="8"/>
  <c r="M19" i="7"/>
  <c r="M77" i="7"/>
  <c r="J10" i="8" l="1"/>
  <c r="K10" i="8" s="1"/>
  <c r="L10" i="8" s="1"/>
  <c r="M10" i="8" s="1"/>
  <c r="N10" i="8" s="1"/>
  <c r="O10" i="8" s="1"/>
  <c r="P10" i="8" s="1"/>
  <c r="Q10" i="8" s="1"/>
  <c r="M30" i="7"/>
  <c r="M64" i="7"/>
  <c r="K7" i="8"/>
  <c r="L7" i="8" s="1"/>
  <c r="M7" i="8" s="1"/>
  <c r="N7" i="8" s="1"/>
  <c r="P7" i="8"/>
  <c r="Q7" i="8" s="1"/>
  <c r="L5" i="8"/>
  <c r="M5" i="8" s="1"/>
  <c r="N5" i="8" s="1"/>
  <c r="P5" i="8" s="1"/>
  <c r="Q5" i="8" s="1"/>
  <c r="J6" i="8"/>
  <c r="N18" i="7"/>
  <c r="O3" i="14" s="1"/>
  <c r="M20" i="7"/>
  <c r="F6" i="12" l="1"/>
  <c r="Q7" i="12" s="1"/>
  <c r="AC127" i="7"/>
  <c r="L22" i="16"/>
  <c r="J11" i="8"/>
  <c r="R105" i="7"/>
  <c r="M21" i="7"/>
  <c r="AC128" i="7" s="1"/>
  <c r="M73" i="7"/>
  <c r="F17" i="12" s="1"/>
  <c r="M66" i="7"/>
  <c r="M74" i="7" s="1"/>
  <c r="N19" i="7"/>
  <c r="K4" i="8"/>
  <c r="L4" i="8" s="1"/>
  <c r="N77" i="7"/>
  <c r="M31" i="7"/>
  <c r="F7" i="12" s="1"/>
  <c r="M22" i="7"/>
  <c r="M38" i="7"/>
  <c r="O18" i="7"/>
  <c r="P3" i="14" s="1"/>
  <c r="F8" i="12" l="1"/>
  <c r="AC129" i="7"/>
  <c r="G8" i="8"/>
  <c r="G9" i="8" s="1"/>
  <c r="G12" i="8" s="1"/>
  <c r="N30" i="7"/>
  <c r="N64" i="7"/>
  <c r="O19" i="7"/>
  <c r="K11" i="8"/>
  <c r="K6" i="8"/>
  <c r="O77" i="7"/>
  <c r="M23" i="7"/>
  <c r="M32" i="7" s="1"/>
  <c r="M84" i="7"/>
  <c r="M91" i="7" s="1"/>
  <c r="AC130" i="7" s="1"/>
  <c r="N20" i="7"/>
  <c r="F10" i="12" l="1"/>
  <c r="Q10" i="12" s="1"/>
  <c r="Q8" i="12"/>
  <c r="Q9" i="12" s="1"/>
  <c r="G6" i="12"/>
  <c r="J6" i="12" s="1"/>
  <c r="AD127" i="7"/>
  <c r="M22" i="16"/>
  <c r="N21" i="7"/>
  <c r="AD128" i="7" s="1"/>
  <c r="N66" i="7"/>
  <c r="N74" i="7" s="1"/>
  <c r="N73" i="7"/>
  <c r="G17" i="12" s="1"/>
  <c r="O30" i="7"/>
  <c r="Q30" i="7" s="1"/>
  <c r="O64" i="7"/>
  <c r="L11" i="8"/>
  <c r="M4" i="8"/>
  <c r="L6" i="8"/>
  <c r="O20" i="7"/>
  <c r="N22" i="7"/>
  <c r="N38" i="7"/>
  <c r="N31" i="7"/>
  <c r="G7" i="12" s="1"/>
  <c r="M85" i="7"/>
  <c r="M41" i="7"/>
  <c r="M42" i="7" s="1"/>
  <c r="M88" i="7" s="1"/>
  <c r="H6" i="12" l="1"/>
  <c r="K6" i="12" s="1"/>
  <c r="AE127" i="7"/>
  <c r="G8" i="12"/>
  <c r="AD129" i="7"/>
  <c r="R7" i="12"/>
  <c r="N22" i="16"/>
  <c r="N23" i="7"/>
  <c r="H8" i="8"/>
  <c r="H9" i="8" s="1"/>
  <c r="H12" i="8" s="1"/>
  <c r="O21" i="7"/>
  <c r="AE128" i="7" s="1"/>
  <c r="Q64" i="7"/>
  <c r="O73" i="7"/>
  <c r="H17" i="12" s="1"/>
  <c r="O66" i="7"/>
  <c r="Q66" i="7" s="1"/>
  <c r="O31" i="7"/>
  <c r="H7" i="12" s="1"/>
  <c r="Q20" i="7"/>
  <c r="O38" i="7"/>
  <c r="O22" i="7"/>
  <c r="M11" i="8"/>
  <c r="M6" i="8"/>
  <c r="N4" i="8"/>
  <c r="M86" i="7"/>
  <c r="M79" i="7"/>
  <c r="N84" i="7"/>
  <c r="N91" i="7" s="1"/>
  <c r="AD130" i="7" s="1"/>
  <c r="R8" i="12" l="1"/>
  <c r="R9" i="12" s="1"/>
  <c r="G10" i="12"/>
  <c r="R10" i="12" s="1"/>
  <c r="J8" i="12"/>
  <c r="F13" i="12"/>
  <c r="Q14" i="12" s="1"/>
  <c r="AC133" i="7"/>
  <c r="H8" i="12"/>
  <c r="AE129" i="7"/>
  <c r="F9" i="12"/>
  <c r="Q13" i="12" s="1"/>
  <c r="L23" i="16"/>
  <c r="O23" i="7"/>
  <c r="O85" i="7" s="1"/>
  <c r="M92" i="7"/>
  <c r="AC131" i="7" s="1"/>
  <c r="I8" i="8"/>
  <c r="J8" i="8" s="1"/>
  <c r="O74" i="7"/>
  <c r="V20" i="8"/>
  <c r="W20" i="8" s="1"/>
  <c r="R20" i="8"/>
  <c r="S20" i="8" s="1"/>
  <c r="O84" i="7"/>
  <c r="O91" i="7" s="1"/>
  <c r="AE130" i="7" s="1"/>
  <c r="N11" i="8"/>
  <c r="O4" i="8"/>
  <c r="N6" i="8"/>
  <c r="N85" i="7"/>
  <c r="N32" i="7"/>
  <c r="N41" i="7"/>
  <c r="N42" i="7" s="1"/>
  <c r="N88" i="7" s="1"/>
  <c r="M76" i="7"/>
  <c r="M7" i="7"/>
  <c r="M29" i="7"/>
  <c r="M43" i="7"/>
  <c r="N4" i="14" s="1"/>
  <c r="H10" i="12" l="1"/>
  <c r="K8" i="12"/>
  <c r="F11" i="12"/>
  <c r="Q12" i="12" s="1"/>
  <c r="I9" i="8"/>
  <c r="I12" i="8" s="1"/>
  <c r="K8" i="8"/>
  <c r="J9" i="8"/>
  <c r="J12" i="8" s="1"/>
  <c r="M81" i="7"/>
  <c r="F15" i="12" s="1"/>
  <c r="O32" i="7"/>
  <c r="O11" i="8"/>
  <c r="O6" i="8"/>
  <c r="P4" i="8"/>
  <c r="M51" i="7"/>
  <c r="M82" i="7"/>
  <c r="O41" i="7"/>
  <c r="O42" i="7" s="1"/>
  <c r="N79" i="7"/>
  <c r="N86" i="7"/>
  <c r="N76" i="7"/>
  <c r="N7" i="7"/>
  <c r="N29" i="7"/>
  <c r="N43" i="7"/>
  <c r="O4" i="14" s="1"/>
  <c r="M95" i="7"/>
  <c r="F12" i="12" s="1"/>
  <c r="Q11" i="12" s="1"/>
  <c r="M96" i="7"/>
  <c r="M80" i="7"/>
  <c r="G13" i="12" l="1"/>
  <c r="R14" i="12" s="1"/>
  <c r="AD133" i="7"/>
  <c r="F14" i="12"/>
  <c r="Q15" i="12" s="1"/>
  <c r="AC132" i="7"/>
  <c r="G9" i="12"/>
  <c r="R13" i="12" s="1"/>
  <c r="M23" i="16"/>
  <c r="J9" i="12"/>
  <c r="G11" i="12"/>
  <c r="R12" i="12" s="1"/>
  <c r="N92" i="7"/>
  <c r="AD131" i="7" s="1"/>
  <c r="L8" i="8"/>
  <c r="K9" i="8"/>
  <c r="K12" i="8" s="1"/>
  <c r="N82" i="7"/>
  <c r="N81" i="7"/>
  <c r="G15" i="12" s="1"/>
  <c r="V22" i="8"/>
  <c r="W22" i="8" s="1"/>
  <c r="R22" i="8"/>
  <c r="S22" i="8" s="1"/>
  <c r="R21" i="8"/>
  <c r="S21" i="8" s="1"/>
  <c r="V21" i="8"/>
  <c r="W21" i="8" s="1"/>
  <c r="O88" i="7"/>
  <c r="Q4" i="8"/>
  <c r="P6" i="8"/>
  <c r="P11" i="8"/>
  <c r="O79" i="7"/>
  <c r="Q41" i="7"/>
  <c r="O86" i="7"/>
  <c r="O43" i="7"/>
  <c r="N51" i="7"/>
  <c r="O7" i="7"/>
  <c r="Q42" i="7"/>
  <c r="O76" i="7"/>
  <c r="O29" i="7"/>
  <c r="Q29" i="7" s="1"/>
  <c r="N95" i="7"/>
  <c r="G12" i="12" s="1"/>
  <c r="R11" i="12" s="1"/>
  <c r="N96" i="7"/>
  <c r="N80" i="7"/>
  <c r="H13" i="12" l="1"/>
  <c r="AE133" i="7"/>
  <c r="G14" i="12"/>
  <c r="R15" i="12" s="1"/>
  <c r="AD132" i="7"/>
  <c r="H9" i="12"/>
  <c r="N23" i="16"/>
  <c r="O82" i="7"/>
  <c r="P4" i="14"/>
  <c r="O92" i="7"/>
  <c r="AE131" i="7" s="1"/>
  <c r="M8" i="8"/>
  <c r="L9" i="8"/>
  <c r="L12" i="8" s="1"/>
  <c r="O81" i="7"/>
  <c r="H15" i="12" s="1"/>
  <c r="Q6" i="8"/>
  <c r="Q11" i="8"/>
  <c r="O51" i="7"/>
  <c r="O80" i="7"/>
  <c r="Q43" i="7"/>
  <c r="O96" i="7"/>
  <c r="O95" i="7"/>
  <c r="H12" i="12" s="1"/>
  <c r="K9" i="12" l="1"/>
  <c r="H11" i="12"/>
  <c r="H14" i="12"/>
  <c r="AE132" i="7"/>
  <c r="N8" i="8"/>
  <c r="M9" i="8"/>
  <c r="M12" i="8" s="1"/>
  <c r="O8" i="8" l="1"/>
  <c r="N9" i="8"/>
  <c r="N12" i="8" s="1"/>
  <c r="P8" i="8" l="1"/>
  <c r="O9" i="8"/>
  <c r="O12" i="8" s="1"/>
  <c r="Q8" i="8" l="1"/>
  <c r="Q9" i="8" s="1"/>
  <c r="Q12" i="8" s="1"/>
  <c r="Q14" i="8" s="1"/>
  <c r="N19" i="8" s="1"/>
  <c r="P9" i="8"/>
  <c r="P12" i="8" s="1"/>
  <c r="N20" i="8" l="1"/>
  <c r="N22" i="8" s="1"/>
  <c r="O19" i="8" l="1"/>
  <c r="N24" i="8"/>
  <c r="R24" i="8" s="1"/>
  <c r="S24" i="8" s="1"/>
  <c r="O21" i="8"/>
  <c r="O20" i="8"/>
  <c r="O22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Sumit Poddar</author>
  </authors>
  <commentList>
    <comment ref="H16" authorId="0" shapeId="0" xr:uid="{C9BD34E9-8009-4FCB-A13C-B665BB560E51}">
      <text>
        <r>
          <rPr>
            <sz val="9"/>
            <color indexed="81"/>
            <rFont val="Tahoma"/>
            <family val="2"/>
          </rPr>
          <t>Cost of Equity = Risk-Free Rate of Return + Beta * (Market Rate of Return - Risk-Free Rate of Return)</t>
        </r>
      </text>
    </comment>
    <comment ref="J22" authorId="0" shapeId="0" xr:uid="{936F17BB-68B9-476E-A86F-0CA849E5D78B}">
      <text>
        <r>
          <rPr>
            <b/>
            <sz val="9"/>
            <color indexed="81"/>
            <rFont val="Tahoma"/>
            <family val="2"/>
          </rPr>
          <t>Sumit Poddar:</t>
        </r>
        <r>
          <rPr>
            <sz val="9"/>
            <color indexed="81"/>
            <rFont val="Tahoma"/>
            <family val="2"/>
          </rPr>
          <t xml:space="preserve">
Increase in interest rates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Sumit Poddar</author>
  </authors>
  <commentList>
    <comment ref="U71" authorId="0" shapeId="0" xr:uid="{D13479F3-CAE1-4856-9DB5-CECCB74F4349}">
      <text>
        <r>
          <rPr>
            <sz val="9"/>
            <color indexed="81"/>
            <rFont val="Tahoma"/>
            <family val="2"/>
          </rPr>
          <t>SP : Change based on Outlook</t>
        </r>
      </text>
    </comment>
    <comment ref="U73" authorId="0" shapeId="0" xr:uid="{33A4EEA0-1CFD-43D1-8F0C-B7E48CE78197}">
      <text>
        <r>
          <rPr>
            <sz val="9"/>
            <color indexed="81"/>
            <rFont val="Tahoma"/>
            <family val="2"/>
          </rPr>
          <t>SP : Change based on Outlook</t>
        </r>
      </text>
    </comment>
  </commentList>
</comments>
</file>

<file path=xl/sharedStrings.xml><?xml version="1.0" encoding="utf-8"?>
<sst xmlns="http://schemas.openxmlformats.org/spreadsheetml/2006/main" count="5363" uniqueCount="5166">
  <si>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</si>
  <si>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</si>
  <si>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</si>
  <si>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</si>
  <si>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</si>
  <si>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</si>
  <si>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</si>
  <si>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</si>
  <si>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</si>
  <si>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</si>
  <si>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</si>
  <si>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</si>
  <si>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</si>
  <si>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</si>
  <si>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</si>
  <si>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</si>
  <si>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</si>
  <si>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</si>
  <si>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</si>
  <si>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</si>
  <si>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</si>
  <si>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</si>
  <si>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</si>
  <si>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</si>
  <si>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</si>
  <si>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</si>
  <si>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</si>
  <si>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</si>
  <si>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</si>
  <si>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</si>
  <si>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</si>
  <si>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</si>
  <si>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</si>
  <si>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</si>
  <si>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</si>
  <si>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</si>
  <si>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</si>
  <si>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</si>
  <si>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You can report any formula errors on the worksheet at:</t>
  </si>
  <si>
    <t>How to use it?</t>
  </si>
  <si>
    <t>EPS</t>
  </si>
  <si>
    <t>LATEST VERSION</t>
  </si>
  <si>
    <t>CURRENT VERSION</t>
  </si>
  <si>
    <t>HBL ENGINEERING LTD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</si>
  <si>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</si>
  <si>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</si>
  <si>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</si>
  <si>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</si>
  <si>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</si>
  <si>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</si>
  <si>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</si>
  <si>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</si>
  <si>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</si>
  <si>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</si>
  <si>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</si>
  <si>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</si>
  <si>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</si>
  <si>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</si>
  <si>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</si>
  <si>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</si>
  <si>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</si>
  <si>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</si>
  <si>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</si>
  <si>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</si>
  <si>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</si>
  <si>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</si>
  <si>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</si>
  <si>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t xml:space="preserve"> screener.feedback@dalal-street.in</t>
  </si>
  <si>
    <t>EBITDA</t>
  </si>
  <si>
    <t>PAT</t>
  </si>
  <si>
    <t>Capital Exp</t>
  </si>
  <si>
    <t>Networth</t>
  </si>
  <si>
    <t>Total Debt</t>
  </si>
  <si>
    <t xml:space="preserve">Debt Equity </t>
  </si>
  <si>
    <t>Interest Coverage</t>
  </si>
  <si>
    <t>Performance Ratios</t>
  </si>
  <si>
    <t>ROE</t>
  </si>
  <si>
    <t>ROCE</t>
  </si>
  <si>
    <t>Working Cap/Sales</t>
  </si>
  <si>
    <t>Receivable Days</t>
  </si>
  <si>
    <t xml:space="preserve">Inventory Days </t>
  </si>
  <si>
    <t>3 Yr 
CAGR</t>
  </si>
  <si>
    <t>5 Yr 
CAGR</t>
  </si>
  <si>
    <t>Revenue</t>
  </si>
  <si>
    <t>Growth - YoY</t>
  </si>
  <si>
    <t xml:space="preserve">PAT Margins </t>
  </si>
  <si>
    <t>OCF/EBITDA</t>
  </si>
  <si>
    <t>FCF/PAT</t>
  </si>
  <si>
    <t>CMP</t>
  </si>
  <si>
    <t>Shree Ganeshaya Namah - TIKONA CAPITAL</t>
  </si>
  <si>
    <t>INR</t>
  </si>
  <si>
    <t>Cr</t>
  </si>
  <si>
    <t xml:space="preserve">Gross Profits </t>
  </si>
  <si>
    <t xml:space="preserve">PAT </t>
  </si>
  <si>
    <t>GPM</t>
  </si>
  <si>
    <t>%</t>
  </si>
  <si>
    <t xml:space="preserve">GP growth </t>
  </si>
  <si>
    <t>PBT</t>
  </si>
  <si>
    <t xml:space="preserve">Tax Rate </t>
  </si>
  <si>
    <t>Depn / Net Assets</t>
  </si>
  <si>
    <t xml:space="preserve">Capital Employed </t>
  </si>
  <si>
    <t>DPS</t>
  </si>
  <si>
    <t xml:space="preserve">Working Capital </t>
  </si>
  <si>
    <t>CHECK</t>
  </si>
  <si>
    <t>Payout Ratio</t>
  </si>
  <si>
    <t xml:space="preserve">Asset Turnover </t>
  </si>
  <si>
    <t>Mcap</t>
  </si>
  <si>
    <t xml:space="preserve">Valuations </t>
  </si>
  <si>
    <t>EV/EBITDA</t>
  </si>
  <si>
    <t>EV/Sales</t>
  </si>
  <si>
    <t>O/s Equity Shares</t>
  </si>
  <si>
    <t>Enterprise Value</t>
  </si>
  <si>
    <t>Mkt Price</t>
  </si>
  <si>
    <t>QUARTERLY</t>
  </si>
  <si>
    <t>YoY Growth</t>
  </si>
  <si>
    <t xml:space="preserve">Tax rate </t>
  </si>
  <si>
    <t>TTM</t>
  </si>
  <si>
    <t xml:space="preserve">Interest /Total Debt </t>
  </si>
  <si>
    <t>EBITDAM</t>
  </si>
  <si>
    <t>RATIOS</t>
  </si>
  <si>
    <t xml:space="preserve">CAPITAL EMPLOYED </t>
  </si>
  <si>
    <t xml:space="preserve">  Other Assets</t>
  </si>
  <si>
    <t xml:space="preserve">  Other Liabilities</t>
  </si>
  <si>
    <t xml:space="preserve">DEPLOYED AS </t>
  </si>
  <si>
    <t xml:space="preserve">CASH FLOWS </t>
  </si>
  <si>
    <t>3 Yr  Proj
CAGR</t>
  </si>
  <si>
    <t>Pledge</t>
  </si>
  <si>
    <t>Managerial Remuneration</t>
  </si>
  <si>
    <t>Auditors Remuneration</t>
  </si>
  <si>
    <t xml:space="preserve"> - Audit Work </t>
  </si>
  <si>
    <t>- Non- Audit Work</t>
  </si>
  <si>
    <t>Board of directors</t>
  </si>
  <si>
    <t>Nos</t>
  </si>
  <si>
    <t>Independent Directors</t>
  </si>
  <si>
    <t>No</t>
  </si>
  <si>
    <t>x</t>
  </si>
  <si>
    <t>Price/Earnings</t>
  </si>
  <si>
    <t>Price/Book</t>
  </si>
  <si>
    <t>Price/Sales</t>
  </si>
  <si>
    <t>2 Yr CAGR</t>
  </si>
  <si>
    <t>Assumptions</t>
  </si>
  <si>
    <t>Capital WIP</t>
  </si>
  <si>
    <t>FCF to Equity</t>
  </si>
  <si>
    <t>CFO</t>
  </si>
  <si>
    <t xml:space="preserve">Working Cap Days </t>
  </si>
  <si>
    <t>OCF/Cap Emp</t>
  </si>
  <si>
    <t>Book Value/share</t>
  </si>
  <si>
    <t>Dividend/share</t>
  </si>
  <si>
    <t>Earnings/share</t>
  </si>
  <si>
    <t xml:space="preserve">Sales/share </t>
  </si>
  <si>
    <t>ROIC</t>
  </si>
  <si>
    <t>Cash/share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</si>
  <si>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</si>
  <si>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</si>
  <si>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</si>
  <si>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</si>
  <si>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</si>
  <si>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</si>
  <si>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</si>
  <si>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</si>
  <si>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</si>
  <si>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FY31</t>
  </si>
  <si>
    <t>FY32</t>
  </si>
  <si>
    <t>Revenues</t>
  </si>
  <si>
    <t>% yoy growth</t>
  </si>
  <si>
    <t>EBITDA margin</t>
  </si>
  <si>
    <t>CFO/EBITDA</t>
  </si>
  <si>
    <t>Fixed asset turns</t>
  </si>
  <si>
    <t>Capex</t>
  </si>
  <si>
    <t>FCFF</t>
  </si>
  <si>
    <t>Discounting factor</t>
  </si>
  <si>
    <t>Terminal value</t>
  </si>
  <si>
    <t>Terminal growth rate</t>
  </si>
  <si>
    <t>NPV</t>
  </si>
  <si>
    <t>WACC calculations</t>
  </si>
  <si>
    <t>Debt:Equity</t>
  </si>
  <si>
    <t>WACC</t>
  </si>
  <si>
    <t>DCF (Rs Cr)</t>
  </si>
  <si>
    <t xml:space="preserve">Beta </t>
  </si>
  <si>
    <t>Cost of Equity</t>
  </si>
  <si>
    <t>Hi</t>
  </si>
  <si>
    <t>Low</t>
  </si>
  <si>
    <t>Median</t>
  </si>
  <si>
    <t>3 year</t>
  </si>
  <si>
    <t>Avg</t>
  </si>
  <si>
    <t xml:space="preserve">10 year </t>
  </si>
  <si>
    <t>NPV of FCFF</t>
  </si>
  <si>
    <t xml:space="preserve">Net (Debt)/Cash </t>
  </si>
  <si>
    <t xml:space="preserve">Discounted Terminal Value </t>
  </si>
  <si>
    <t>Cost of debt</t>
  </si>
  <si>
    <t>Cost of equity</t>
  </si>
  <si>
    <t>Discount rate (WACC Below)</t>
  </si>
  <si>
    <t>forecast</t>
  </si>
  <si>
    <t>Market Return</t>
  </si>
  <si>
    <t>Risk-Free Return</t>
  </si>
  <si>
    <t>DCF Value</t>
  </si>
  <si>
    <t xml:space="preserve">DCF Price </t>
  </si>
  <si>
    <t>4th - 7th</t>
  </si>
  <si>
    <t xml:space="preserve">8th -10th </t>
  </si>
  <si>
    <t xml:space="preserve">DCF Valuations </t>
  </si>
  <si>
    <t>% of value</t>
  </si>
  <si>
    <t xml:space="preserve">Inc in Int Rate </t>
  </si>
  <si>
    <t>PE 3Y</t>
  </si>
  <si>
    <t>EV/E 3Y</t>
  </si>
  <si>
    <t>P/S 3Y</t>
  </si>
  <si>
    <t>PE 5Y</t>
  </si>
  <si>
    <t>EV/E 5Y</t>
  </si>
  <si>
    <t>P/S 5Y</t>
  </si>
  <si>
    <t>High range</t>
  </si>
  <si>
    <t>9Yr 
CAGR</t>
  </si>
  <si>
    <t>DCF</t>
  </si>
  <si>
    <t>Debt</t>
  </si>
  <si>
    <t>Growth (YoY)</t>
  </si>
  <si>
    <t xml:space="preserve">Revenue </t>
  </si>
  <si>
    <t>Growth (QoQ)</t>
  </si>
  <si>
    <t>EBITDA Margin</t>
  </si>
  <si>
    <t xml:space="preserve">PAT Margin </t>
  </si>
  <si>
    <t>BVPS</t>
  </si>
  <si>
    <t>RoE</t>
  </si>
  <si>
    <t>RoCE</t>
  </si>
  <si>
    <t>RoIC</t>
  </si>
  <si>
    <t>PE</t>
  </si>
  <si>
    <t>P/B</t>
  </si>
  <si>
    <t>INR Cr</t>
  </si>
  <si>
    <t>WC Sales %</t>
  </si>
  <si>
    <t>OCF / EBITDA</t>
  </si>
  <si>
    <t>Revenue Qtr</t>
  </si>
  <si>
    <t>EBITDA Qtr</t>
  </si>
  <si>
    <t>EBITDAM Qtr</t>
  </si>
  <si>
    <t>PAT Qtr</t>
  </si>
  <si>
    <t>Revenue Qtr - YoY Growth</t>
  </si>
  <si>
    <t>EBITDA Qtr - YoY Growth</t>
  </si>
  <si>
    <t>PAT Qtr - YoY Growth</t>
  </si>
  <si>
    <t>PAT Qtr Margin</t>
  </si>
  <si>
    <t>PBIT</t>
  </si>
  <si>
    <t xml:space="preserve">SEGMENT REVENUE </t>
  </si>
  <si>
    <t xml:space="preserve">TOTAL </t>
  </si>
  <si>
    <t>SEGMENT CAPITAL EMPLOYED</t>
  </si>
  <si>
    <t>SEGMENT PBIT</t>
  </si>
  <si>
    <t>Others</t>
  </si>
  <si>
    <t>Unallocated</t>
  </si>
  <si>
    <t>DEVIATION</t>
  </si>
  <si>
    <t>Company Name</t>
  </si>
  <si>
    <t>CD_NSE Symbol</t>
  </si>
  <si>
    <t>Accord Code</t>
  </si>
  <si>
    <t>CD_Bloomberg Code</t>
  </si>
  <si>
    <t>CD_ISIN No</t>
  </si>
  <si>
    <t>RELIANCE</t>
  </si>
  <si>
    <t>RIL IN</t>
  </si>
  <si>
    <t>INE002A01018</t>
  </si>
  <si>
    <t>TCS</t>
  </si>
  <si>
    <t>TCS IN</t>
  </si>
  <si>
    <t>INE467B01029</t>
  </si>
  <si>
    <t>HDFCBANK</t>
  </si>
  <si>
    <t>HDFCB IN</t>
  </si>
  <si>
    <t>INE040A01034</t>
  </si>
  <si>
    <t>INFY</t>
  </si>
  <si>
    <t>INFO IN</t>
  </si>
  <si>
    <t>INE009A01021</t>
  </si>
  <si>
    <t>HINDUNILVR</t>
  </si>
  <si>
    <t>HUVR IN</t>
  </si>
  <si>
    <t>INE030A01027</t>
  </si>
  <si>
    <t>ICICIBANK</t>
  </si>
  <si>
    <t>ICICIBC IN</t>
  </si>
  <si>
    <t>INE090A01021</t>
  </si>
  <si>
    <t>HDFC</t>
  </si>
  <si>
    <t>HDFC IN</t>
  </si>
  <si>
    <t>INE001A01036</t>
  </si>
  <si>
    <t>BAJFINANCE</t>
  </si>
  <si>
    <t>BAF IN</t>
  </si>
  <si>
    <t>INE296A01024</t>
  </si>
  <si>
    <t>State Bank Of India</t>
  </si>
  <si>
    <t>SBIN</t>
  </si>
  <si>
    <t>SBIN IN</t>
  </si>
  <si>
    <t>INE062A01020</t>
  </si>
  <si>
    <t>BHARTIARTL</t>
  </si>
  <si>
    <t>BHARTI IN</t>
  </si>
  <si>
    <t>INE397D01024</t>
  </si>
  <si>
    <t>WIPRO</t>
  </si>
  <si>
    <t>WPRO IN</t>
  </si>
  <si>
    <t>INE075A01022</t>
  </si>
  <si>
    <t>KOTAKBANK</t>
  </si>
  <si>
    <t>KMB IN</t>
  </si>
  <si>
    <t>INE237A01028</t>
  </si>
  <si>
    <t>HCLTECH</t>
  </si>
  <si>
    <t>HCLT IN</t>
  </si>
  <si>
    <t>INE860A01027</t>
  </si>
  <si>
    <t>ASIANPAINT</t>
  </si>
  <si>
    <t>APNT IN</t>
  </si>
  <si>
    <t>INE021A01026</t>
  </si>
  <si>
    <t>DMART</t>
  </si>
  <si>
    <t>DMART IN</t>
  </si>
  <si>
    <t>INE192R01011</t>
  </si>
  <si>
    <t>ITC</t>
  </si>
  <si>
    <t>ITC IN</t>
  </si>
  <si>
    <t>INE154A01025</t>
  </si>
  <si>
    <t>LT</t>
  </si>
  <si>
    <t>LT IN</t>
  </si>
  <si>
    <t>INE018A01030</t>
  </si>
  <si>
    <t>BAJAJFINSV</t>
  </si>
  <si>
    <t>BJFIN IN</t>
  </si>
  <si>
    <t>INE918I01018</t>
  </si>
  <si>
    <t>MARUTI</t>
  </si>
  <si>
    <t>MSIL IN</t>
  </si>
  <si>
    <t>INE585B01010</t>
  </si>
  <si>
    <t>ADANIGREEN</t>
  </si>
  <si>
    <t>ADANIGR IN</t>
  </si>
  <si>
    <t>INE364U01010</t>
  </si>
  <si>
    <t>ULTRACEMCO</t>
  </si>
  <si>
    <t>UTCEM IN</t>
  </si>
  <si>
    <t>INE481G01011</t>
  </si>
  <si>
    <t>TITAN</t>
  </si>
  <si>
    <t>TTAN IN</t>
  </si>
  <si>
    <t>INE280A01028</t>
  </si>
  <si>
    <t>AXISBANK</t>
  </si>
  <si>
    <t>AXSB IN</t>
  </si>
  <si>
    <t>INE238A01034</t>
  </si>
  <si>
    <t>SUNPHARMA</t>
  </si>
  <si>
    <t>SUNP IN</t>
  </si>
  <si>
    <t>INE044A01036</t>
  </si>
  <si>
    <t>ADANIENT</t>
  </si>
  <si>
    <t>ADE IN</t>
  </si>
  <si>
    <t>INE423A01024</t>
  </si>
  <si>
    <t>ATGL</t>
  </si>
  <si>
    <t>ATGL IN</t>
  </si>
  <si>
    <t>INE399L01023</t>
  </si>
  <si>
    <t>ADANITRANS</t>
  </si>
  <si>
    <t>ADANIT IN</t>
  </si>
  <si>
    <t>INE931S01010</t>
  </si>
  <si>
    <t>NESTLEIND</t>
  </si>
  <si>
    <t>NEST IN</t>
  </si>
  <si>
    <t>INE239A01016</t>
  </si>
  <si>
    <t>ONGC</t>
  </si>
  <si>
    <t>ONGC IN</t>
  </si>
  <si>
    <t>INE213A01029</t>
  </si>
  <si>
    <t>TECHM</t>
  </si>
  <si>
    <t>TECHM IN</t>
  </si>
  <si>
    <t>INE669C01036</t>
  </si>
  <si>
    <t>TATAMOTORS</t>
  </si>
  <si>
    <t>TTMT IN</t>
  </si>
  <si>
    <t>INE155A01022</t>
  </si>
  <si>
    <t>JSWSTEEL</t>
  </si>
  <si>
    <t>JSTL IN</t>
  </si>
  <si>
    <t>INE019A01038</t>
  </si>
  <si>
    <t>ADANIPORTS</t>
  </si>
  <si>
    <t>ADSEZ IN</t>
  </si>
  <si>
    <t>INE742F01042</t>
  </si>
  <si>
    <t>POWERGRID</t>
  </si>
  <si>
    <t>PWGR IN</t>
  </si>
  <si>
    <t>INE752E01010</t>
  </si>
  <si>
    <t>TATASTEEL</t>
  </si>
  <si>
    <t>TATA IN</t>
  </si>
  <si>
    <t>INE081A01012</t>
  </si>
  <si>
    <t>HINDZINC</t>
  </si>
  <si>
    <t>HZ IN</t>
  </si>
  <si>
    <t>INE267A01025</t>
  </si>
  <si>
    <t>HDFCLIFE</t>
  </si>
  <si>
    <t>HDFCLIFE IN</t>
  </si>
  <si>
    <t>INE795G01014</t>
  </si>
  <si>
    <t>VEDL</t>
  </si>
  <si>
    <t>VEDL IN</t>
  </si>
  <si>
    <t>INE205A01025</t>
  </si>
  <si>
    <t>LTI</t>
  </si>
  <si>
    <t>LTI IN</t>
  </si>
  <si>
    <t>INE214T01019</t>
  </si>
  <si>
    <t>PIDILITIND</t>
  </si>
  <si>
    <t>PIDI IN</t>
  </si>
  <si>
    <t>INE318A01026</t>
  </si>
  <si>
    <t>NTPC</t>
  </si>
  <si>
    <t>NTPC IN</t>
  </si>
  <si>
    <t>INE733E01010</t>
  </si>
  <si>
    <t>DIVISLAB</t>
  </si>
  <si>
    <t>DIVI IN</t>
  </si>
  <si>
    <t>INE361B01024</t>
  </si>
  <si>
    <t>SBILIFE</t>
  </si>
  <si>
    <t>SBILIFE IN</t>
  </si>
  <si>
    <t>INE123W01016</t>
  </si>
  <si>
    <t>GRASIM</t>
  </si>
  <si>
    <t>GRASIM IN</t>
  </si>
  <si>
    <t>INE047A01021</t>
  </si>
  <si>
    <t>IOC</t>
  </si>
  <si>
    <t>IOCL IN</t>
  </si>
  <si>
    <t>INE242A01010</t>
  </si>
  <si>
    <t>ZOMATO</t>
  </si>
  <si>
    <t>ZOMATO IN</t>
  </si>
  <si>
    <t>INE758T01015</t>
  </si>
  <si>
    <t>M&amp;M</t>
  </si>
  <si>
    <t>MM IN</t>
  </si>
  <si>
    <t>INE101A01026</t>
  </si>
  <si>
    <t>HINDALCO</t>
  </si>
  <si>
    <t>HNDL IN</t>
  </si>
  <si>
    <t>INE038A01020</t>
  </si>
  <si>
    <t>NYKAA</t>
  </si>
  <si>
    <t>NYKAA IN</t>
  </si>
  <si>
    <t>INE388Y01029</t>
  </si>
  <si>
    <t>DABUR</t>
  </si>
  <si>
    <t>DABUR IN</t>
  </si>
  <si>
    <t>INE016A01026</t>
  </si>
  <si>
    <t>GODREJCP</t>
  </si>
  <si>
    <t>GCPL IN</t>
  </si>
  <si>
    <t>INE102D01028</t>
  </si>
  <si>
    <t>SHREECEM</t>
  </si>
  <si>
    <t>SRCM IN</t>
  </si>
  <si>
    <t>INE070A01015</t>
  </si>
  <si>
    <t>DLF</t>
  </si>
  <si>
    <t>DLFU IN</t>
  </si>
  <si>
    <t>INE271C01023</t>
  </si>
  <si>
    <t>BAJAJ-AUTO</t>
  </si>
  <si>
    <t>BJAUT IN</t>
  </si>
  <si>
    <t>INE917I01010</t>
  </si>
  <si>
    <t>COALINDIA</t>
  </si>
  <si>
    <t>COAL IN</t>
  </si>
  <si>
    <t>INE522F01014</t>
  </si>
  <si>
    <t>HAVELLS</t>
  </si>
  <si>
    <t>HAVL IN</t>
  </si>
  <si>
    <t>INE176B01034</t>
  </si>
  <si>
    <t>PAYTM</t>
  </si>
  <si>
    <t>PAYTM IN</t>
  </si>
  <si>
    <t>INE982J01020</t>
  </si>
  <si>
    <t>SBICARD</t>
  </si>
  <si>
    <t>SBICARD IN</t>
  </si>
  <si>
    <t>INE018E01016</t>
  </si>
  <si>
    <t>SIEMENS</t>
  </si>
  <si>
    <t>SIEM IN</t>
  </si>
  <si>
    <t>INE003A01024</t>
  </si>
  <si>
    <t>BRITANNIA</t>
  </si>
  <si>
    <t>BRIT IN</t>
  </si>
  <si>
    <t>INE216A01030</t>
  </si>
  <si>
    <t>BPCL</t>
  </si>
  <si>
    <t>BPCL IN</t>
  </si>
  <si>
    <t>INE029A01011</t>
  </si>
  <si>
    <t>ICICIPRULI</t>
  </si>
  <si>
    <t>IPRU IN</t>
  </si>
  <si>
    <t>INE726G01019</t>
  </si>
  <si>
    <t>DRREDDY</t>
  </si>
  <si>
    <t>DRRD IN</t>
  </si>
  <si>
    <t>INE089A01023</t>
  </si>
  <si>
    <t>INDIGO</t>
  </si>
  <si>
    <t>INDIGO IN</t>
  </si>
  <si>
    <t>INE646L01027</t>
  </si>
  <si>
    <t>MINDTREE</t>
  </si>
  <si>
    <t>MTCL IN</t>
  </si>
  <si>
    <t>INE018I01017</t>
  </si>
  <si>
    <t>AMBUJACEM</t>
  </si>
  <si>
    <t>ACEM IN</t>
  </si>
  <si>
    <t>INE079A01024</t>
  </si>
  <si>
    <t>CIPLA</t>
  </si>
  <si>
    <t>CIPLA IN</t>
  </si>
  <si>
    <t>INE059A01026</t>
  </si>
  <si>
    <t>BERGEPAINT</t>
  </si>
  <si>
    <t>BRGR IN</t>
  </si>
  <si>
    <t>INE463A01038</t>
  </si>
  <si>
    <t>SRF</t>
  </si>
  <si>
    <t>SRF IN</t>
  </si>
  <si>
    <t>INE647A01010</t>
  </si>
  <si>
    <t>TATAPOWER</t>
  </si>
  <si>
    <t>TPWR IN</t>
  </si>
  <si>
    <t>INE245A01021</t>
  </si>
  <si>
    <t>NAUKRI</t>
  </si>
  <si>
    <t>INFOE IN</t>
  </si>
  <si>
    <t>INE663F01024</t>
  </si>
  <si>
    <t>APOLLOHOSP</t>
  </si>
  <si>
    <t>APHS IN</t>
  </si>
  <si>
    <t>INE437A01024</t>
  </si>
  <si>
    <t>IRCTC</t>
  </si>
  <si>
    <t>IRCTC IN</t>
  </si>
  <si>
    <t>INE335Y01020</t>
  </si>
  <si>
    <t>MOTHERSUMI</t>
  </si>
  <si>
    <t>MSS IN</t>
  </si>
  <si>
    <t>INE775A01035</t>
  </si>
  <si>
    <t>ICICIGI</t>
  </si>
  <si>
    <t>ICICIGI IN</t>
  </si>
  <si>
    <t>INE765G01017</t>
  </si>
  <si>
    <t>EICHERMOT</t>
  </si>
  <si>
    <t>EIM IN</t>
  </si>
  <si>
    <t>INE066A01021</t>
  </si>
  <si>
    <t>TATACONSUM</t>
  </si>
  <si>
    <t>TATACONS IN</t>
  </si>
  <si>
    <t>INE192A01025</t>
  </si>
  <si>
    <t>INDUSTOWER</t>
  </si>
  <si>
    <t>INDUSTOW IN</t>
  </si>
  <si>
    <t>INE121J01017</t>
  </si>
  <si>
    <t>INDUSINDBK</t>
  </si>
  <si>
    <t>IIB IN</t>
  </si>
  <si>
    <t>INE095A01012</t>
  </si>
  <si>
    <t>MCDOWELL-N</t>
  </si>
  <si>
    <t>UNSP IN</t>
  </si>
  <si>
    <t>INE854D01024</t>
  </si>
  <si>
    <t>MARICO</t>
  </si>
  <si>
    <t>MRCO IN</t>
  </si>
  <si>
    <t>INE196A01026</t>
  </si>
  <si>
    <t>GLAND</t>
  </si>
  <si>
    <t>GLAND IN</t>
  </si>
  <si>
    <t>INE068V01023</t>
  </si>
  <si>
    <t>MPHASIS</t>
  </si>
  <si>
    <t>MPHL IN</t>
  </si>
  <si>
    <t>INE356A01018</t>
  </si>
  <si>
    <t>PEL</t>
  </si>
  <si>
    <t>PIEL IN</t>
  </si>
  <si>
    <t>INE140A01024</t>
  </si>
  <si>
    <t>MUTHOOTFIN</t>
  </si>
  <si>
    <t>MUTH IN</t>
  </si>
  <si>
    <t>INE414G01012</t>
  </si>
  <si>
    <t>GAIL</t>
  </si>
  <si>
    <t>GAIL IN</t>
  </si>
  <si>
    <t>INE129A01019</t>
  </si>
  <si>
    <t>LODHA</t>
  </si>
  <si>
    <t>LODHA IN</t>
  </si>
  <si>
    <t>INE670K01029</t>
  </si>
  <si>
    <t>UPL</t>
  </si>
  <si>
    <t>UPLL IN</t>
  </si>
  <si>
    <t>INE628A01036</t>
  </si>
  <si>
    <t>LTTS</t>
  </si>
  <si>
    <t>LTTS IN</t>
  </si>
  <si>
    <t>INE010V01017</t>
  </si>
  <si>
    <t>BAJAJHLDNG</t>
  </si>
  <si>
    <t>BJHI IN</t>
  </si>
  <si>
    <t>INE118A01012</t>
  </si>
  <si>
    <t>TORNTPHARM</t>
  </si>
  <si>
    <t>TRP IN</t>
  </si>
  <si>
    <t>INE685A01028</t>
  </si>
  <si>
    <t>GODREJPROP</t>
  </si>
  <si>
    <t>GPL IN</t>
  </si>
  <si>
    <t>INE484J01027</t>
  </si>
  <si>
    <t>HDFCAMC</t>
  </si>
  <si>
    <t>HDFCAMC IN</t>
  </si>
  <si>
    <t>INE127D01025</t>
  </si>
  <si>
    <t>IDBI</t>
  </si>
  <si>
    <t>IDBI IN</t>
  </si>
  <si>
    <t>INE008A01015</t>
  </si>
  <si>
    <t>JSWENERGY</t>
  </si>
  <si>
    <t>JSW IN</t>
  </si>
  <si>
    <t>INE121E01018</t>
  </si>
  <si>
    <t>BEL</t>
  </si>
  <si>
    <t>BHE IN</t>
  </si>
  <si>
    <t>INE263A01024</t>
  </si>
  <si>
    <t>PGHH</t>
  </si>
  <si>
    <t>PG IN</t>
  </si>
  <si>
    <t>INE179A01014</t>
  </si>
  <si>
    <t>BOSCHLTD</t>
  </si>
  <si>
    <t>BOS IN</t>
  </si>
  <si>
    <t>INE323A01026</t>
  </si>
  <si>
    <t>HEROMOTOCO</t>
  </si>
  <si>
    <t>HMCL IN</t>
  </si>
  <si>
    <t>INE158A01026</t>
  </si>
  <si>
    <t>CADILAHC</t>
  </si>
  <si>
    <t>CDH IN</t>
  </si>
  <si>
    <t>INE010B01027</t>
  </si>
  <si>
    <t>ABB</t>
  </si>
  <si>
    <t>ABB IN</t>
  </si>
  <si>
    <t>INE117A01022</t>
  </si>
  <si>
    <t>JUBLFOOD</t>
  </si>
  <si>
    <t>JUBI IN</t>
  </si>
  <si>
    <t>INE797F01012</t>
  </si>
  <si>
    <t>STARHEALTH</t>
  </si>
  <si>
    <t>STARHEAL IN</t>
  </si>
  <si>
    <t>INE575P01011</t>
  </si>
  <si>
    <t>PIIND</t>
  </si>
  <si>
    <t>PI IN</t>
  </si>
  <si>
    <t>INE603J01030</t>
  </si>
  <si>
    <t>ASTRAL</t>
  </si>
  <si>
    <t>ASTRA IN</t>
  </si>
  <si>
    <t>INE006I01046</t>
  </si>
  <si>
    <t>SAIL</t>
  </si>
  <si>
    <t>SAIL IN</t>
  </si>
  <si>
    <t>INE114A01011</t>
  </si>
  <si>
    <t>PAGEIND</t>
  </si>
  <si>
    <t>PAG IN</t>
  </si>
  <si>
    <t>INE761H01022</t>
  </si>
  <si>
    <t>GUJGASLTD</t>
  </si>
  <si>
    <t>GUJGA IN</t>
  </si>
  <si>
    <t>INE844O01030</t>
  </si>
  <si>
    <t>BALKRISIND</t>
  </si>
  <si>
    <t>BIL IN</t>
  </si>
  <si>
    <t>INE787D01026</t>
  </si>
  <si>
    <t>POLICYBZR</t>
  </si>
  <si>
    <t>POLICYBZ IN</t>
  </si>
  <si>
    <t>INE417T01026</t>
  </si>
  <si>
    <t>CHOLAFIN</t>
  </si>
  <si>
    <t>CIFC IN</t>
  </si>
  <si>
    <t>INE121A01024</t>
  </si>
  <si>
    <t>BIOCON</t>
  </si>
  <si>
    <t>BIOS IN</t>
  </si>
  <si>
    <t>INE376G01013</t>
  </si>
  <si>
    <t>SONACOMS</t>
  </si>
  <si>
    <t>SONACOMS IN</t>
  </si>
  <si>
    <t>INE073K01018</t>
  </si>
  <si>
    <t>AUROPHARMA</t>
  </si>
  <si>
    <t>ARBP IN</t>
  </si>
  <si>
    <t>INE406A01037</t>
  </si>
  <si>
    <t>Bank Of Baroda</t>
  </si>
  <si>
    <t>BANKBARODA</t>
  </si>
  <si>
    <t>BOB IN</t>
  </si>
  <si>
    <t>INE028A01039</t>
  </si>
  <si>
    <t>HINDPETRO</t>
  </si>
  <si>
    <t>HPCL IN</t>
  </si>
  <si>
    <t>INE094A01015</t>
  </si>
  <si>
    <t>ALKEM</t>
  </si>
  <si>
    <t>ALKEM IN</t>
  </si>
  <si>
    <t>INE540L01014</t>
  </si>
  <si>
    <t>LUPIN</t>
  </si>
  <si>
    <t>LPC IN</t>
  </si>
  <si>
    <t>INE326A01037</t>
  </si>
  <si>
    <t>HAL</t>
  </si>
  <si>
    <t>HNAL IN</t>
  </si>
  <si>
    <t>INE066F01012</t>
  </si>
  <si>
    <t>Punjab National Bank</t>
  </si>
  <si>
    <t>PNB</t>
  </si>
  <si>
    <t>PNB IN</t>
  </si>
  <si>
    <t>INE160A01022</t>
  </si>
  <si>
    <t>UBL</t>
  </si>
  <si>
    <t>UBBL IN</t>
  </si>
  <si>
    <t>INE686F01025</t>
  </si>
  <si>
    <t>BANDHANBNK</t>
  </si>
  <si>
    <t>BANDHAN IN</t>
  </si>
  <si>
    <t>INE545U01014</t>
  </si>
  <si>
    <t>ABBOTINDIA</t>
  </si>
  <si>
    <t>BOOT IN</t>
  </si>
  <si>
    <t>INE358A01014</t>
  </si>
  <si>
    <t>ACC</t>
  </si>
  <si>
    <t>ACC IN</t>
  </si>
  <si>
    <t>INE012A01025</t>
  </si>
  <si>
    <t>MAXHEALTH</t>
  </si>
  <si>
    <t>MAXHEALT IN</t>
  </si>
  <si>
    <t>INE027H01010</t>
  </si>
  <si>
    <t>VOLTAS</t>
  </si>
  <si>
    <t>VOLT IN</t>
  </si>
  <si>
    <t>INE226A01021</t>
  </si>
  <si>
    <t>COLPAL</t>
  </si>
  <si>
    <t>CLGT IN</t>
  </si>
  <si>
    <t>INE259A01022</t>
  </si>
  <si>
    <t>IDEA</t>
  </si>
  <si>
    <t>IDEA IN</t>
  </si>
  <si>
    <t>INE669E01016</t>
  </si>
  <si>
    <t>TATACOMM</t>
  </si>
  <si>
    <t>TCOM IN</t>
  </si>
  <si>
    <t>INE151A01013</t>
  </si>
  <si>
    <t>JINDALSTEL</t>
  </si>
  <si>
    <t>JSP IN</t>
  </si>
  <si>
    <t>INE749A01030</t>
  </si>
  <si>
    <t>ADANIPOWER</t>
  </si>
  <si>
    <t>ADANI IN</t>
  </si>
  <si>
    <t>INE814H01011</t>
  </si>
  <si>
    <t>Indian Overseas Bank</t>
  </si>
  <si>
    <t>IOB</t>
  </si>
  <si>
    <t>IOB IN</t>
  </si>
  <si>
    <t>INE565A01014</t>
  </si>
  <si>
    <t>NMDC</t>
  </si>
  <si>
    <t>NMDC IN</t>
  </si>
  <si>
    <t>INE584A01023</t>
  </si>
  <si>
    <t>VBL</t>
  </si>
  <si>
    <t>VBL IN</t>
  </si>
  <si>
    <t>INE200M01013</t>
  </si>
  <si>
    <t>CONCOR</t>
  </si>
  <si>
    <t>CCRI IN</t>
  </si>
  <si>
    <t>INE111A01025</t>
  </si>
  <si>
    <t>TRENT</t>
  </si>
  <si>
    <t>TRENT IN</t>
  </si>
  <si>
    <t>INE849A01020</t>
  </si>
  <si>
    <t>ASHOKLEY</t>
  </si>
  <si>
    <t>AL IN</t>
  </si>
  <si>
    <t>INE208A01029</t>
  </si>
  <si>
    <t>HONAUT</t>
  </si>
  <si>
    <t>HWA IN</t>
  </si>
  <si>
    <t>INE671A01010</t>
  </si>
  <si>
    <t>AARTIIND</t>
  </si>
  <si>
    <t>ARTO IN</t>
  </si>
  <si>
    <t>INE769A01020</t>
  </si>
  <si>
    <t>POLYCAB</t>
  </si>
  <si>
    <t>POLYCAB IN</t>
  </si>
  <si>
    <t>INE455K01017</t>
  </si>
  <si>
    <t>MINDAIND</t>
  </si>
  <si>
    <t>MNDA IN</t>
  </si>
  <si>
    <t>INE405E01023</t>
  </si>
  <si>
    <t>PERSISTENT</t>
  </si>
  <si>
    <t>PSYS IN</t>
  </si>
  <si>
    <t>INE262H01013</t>
  </si>
  <si>
    <t>TTML</t>
  </si>
  <si>
    <t>TTLS IN</t>
  </si>
  <si>
    <t>INE517B01013</t>
  </si>
  <si>
    <t>DALBHARAT</t>
  </si>
  <si>
    <t>DALBHARA IN</t>
  </si>
  <si>
    <t>INE00R701025</t>
  </si>
  <si>
    <t>TATAELXSI</t>
  </si>
  <si>
    <t>TELX IN</t>
  </si>
  <si>
    <t>INE670A01012</t>
  </si>
  <si>
    <t>COFORGE</t>
  </si>
  <si>
    <t>COFORGE IN</t>
  </si>
  <si>
    <t>INE591G01017</t>
  </si>
  <si>
    <t>OFSS</t>
  </si>
  <si>
    <t>OFSS IN</t>
  </si>
  <si>
    <t>INE881D01027</t>
  </si>
  <si>
    <t>YESBANK</t>
  </si>
  <si>
    <t>YES IN</t>
  </si>
  <si>
    <t>INE528G01035</t>
  </si>
  <si>
    <t>TIINDIA</t>
  </si>
  <si>
    <t>TIINDIA IN</t>
  </si>
  <si>
    <t>INE974X01010</t>
  </si>
  <si>
    <t>IGL</t>
  </si>
  <si>
    <t>IGL IN</t>
  </si>
  <si>
    <t>INE203G01027</t>
  </si>
  <si>
    <t>MFSL</t>
  </si>
  <si>
    <t>MAXF IN</t>
  </si>
  <si>
    <t>INE180A01020</t>
  </si>
  <si>
    <t>DEEPAKNTR</t>
  </si>
  <si>
    <t>DN IN</t>
  </si>
  <si>
    <t>INE288B01029</t>
  </si>
  <si>
    <t>DIXON</t>
  </si>
  <si>
    <t>DIXON IN</t>
  </si>
  <si>
    <t>INE935N01020</t>
  </si>
  <si>
    <t>SRTRANSFIN</t>
  </si>
  <si>
    <t>SHTF IN</t>
  </si>
  <si>
    <t>INE721A01013</t>
  </si>
  <si>
    <t>BHARATFORG</t>
  </si>
  <si>
    <t>BHFC IN</t>
  </si>
  <si>
    <t>INE465A01025</t>
  </si>
  <si>
    <t>PETRONET</t>
  </si>
  <si>
    <t>PLNG IN</t>
  </si>
  <si>
    <t>INE347G01014</t>
  </si>
  <si>
    <t>PFC</t>
  </si>
  <si>
    <t>POWF IN</t>
  </si>
  <si>
    <t>INE134E01011</t>
  </si>
  <si>
    <t>OBEROIRLTY</t>
  </si>
  <si>
    <t>OBER IN</t>
  </si>
  <si>
    <t>INE093I01010</t>
  </si>
  <si>
    <t>RELAXO</t>
  </si>
  <si>
    <t>RLXF IN</t>
  </si>
  <si>
    <t>INE131B01039</t>
  </si>
  <si>
    <t>NHPC</t>
  </si>
  <si>
    <t>NHPC IN</t>
  </si>
  <si>
    <t>INE848E01016</t>
  </si>
  <si>
    <t>AUBANK</t>
  </si>
  <si>
    <t>AUBANK IN</t>
  </si>
  <si>
    <t>INE949L01017</t>
  </si>
  <si>
    <t>ZEEL</t>
  </si>
  <si>
    <t>Z IN</t>
  </si>
  <si>
    <t>INE256A01028</t>
  </si>
  <si>
    <t>KANSAINER</t>
  </si>
  <si>
    <t>KNPL IN</t>
  </si>
  <si>
    <t>INE531A01024</t>
  </si>
  <si>
    <t>MRF</t>
  </si>
  <si>
    <t>MRF IN</t>
  </si>
  <si>
    <t>INE883A01011</t>
  </si>
  <si>
    <t>Union Bank Of India</t>
  </si>
  <si>
    <t>UNIONBANK</t>
  </si>
  <si>
    <t>UNBK IN</t>
  </si>
  <si>
    <t>INE692A01016</t>
  </si>
  <si>
    <t>IRFC</t>
  </si>
  <si>
    <t>IRFC IN</t>
  </si>
  <si>
    <t>INE053F01010</t>
  </si>
  <si>
    <t>LALPATHLAB</t>
  </si>
  <si>
    <t>DLPL IN</t>
  </si>
  <si>
    <t>INE600L01024</t>
  </si>
  <si>
    <t>GLAXO</t>
  </si>
  <si>
    <t>GLXO IN</t>
  </si>
  <si>
    <t>INE159A01016</t>
  </si>
  <si>
    <t>IDFCFIRSTB</t>
  </si>
  <si>
    <t>IDFCFB IN</t>
  </si>
  <si>
    <t>INE092T01019</t>
  </si>
  <si>
    <t>TVSMOTOR</t>
  </si>
  <si>
    <t>TVSL IN</t>
  </si>
  <si>
    <t>INE494B01023</t>
  </si>
  <si>
    <t>ABCAPITAL</t>
  </si>
  <si>
    <t>ABCAP IN</t>
  </si>
  <si>
    <t>INE674K01013</t>
  </si>
  <si>
    <t>LAURUSLABS</t>
  </si>
  <si>
    <t>LAURUS IN</t>
  </si>
  <si>
    <t>INE947Q01028</t>
  </si>
  <si>
    <t>3MINDIA</t>
  </si>
  <si>
    <t>3M IN</t>
  </si>
  <si>
    <t>INE470A01017</t>
  </si>
  <si>
    <t>SUPREMEIND</t>
  </si>
  <si>
    <t>SI IN</t>
  </si>
  <si>
    <t>INE195A01028</t>
  </si>
  <si>
    <t>GMRINFRA</t>
  </si>
  <si>
    <t>GMRI IN</t>
  </si>
  <si>
    <t>INE776C01039</t>
  </si>
  <si>
    <t>HATSUN</t>
  </si>
  <si>
    <t>HTSMF IN</t>
  </si>
  <si>
    <t>INE473B01035</t>
  </si>
  <si>
    <t>TRIDENT</t>
  </si>
  <si>
    <t>TRID IN</t>
  </si>
  <si>
    <t>INE064C01022</t>
  </si>
  <si>
    <t>CROMPTON</t>
  </si>
  <si>
    <t>CROMPTON IN</t>
  </si>
  <si>
    <t>INE299U01018</t>
  </si>
  <si>
    <t>ESCORTS</t>
  </si>
  <si>
    <t>ESC IN</t>
  </si>
  <si>
    <t>INE042A01014</t>
  </si>
  <si>
    <t>SCHAEFFLER</t>
  </si>
  <si>
    <t>SCHFL IN</t>
  </si>
  <si>
    <t>INE513A01014</t>
  </si>
  <si>
    <t>IPCALAB</t>
  </si>
  <si>
    <t>IPCA IN</t>
  </si>
  <si>
    <t>INE571A01020</t>
  </si>
  <si>
    <t>CLEAN</t>
  </si>
  <si>
    <t>CLEAN IN</t>
  </si>
  <si>
    <t>INE227W01023</t>
  </si>
  <si>
    <t>TORNTPOWER</t>
  </si>
  <si>
    <t>TPW IN</t>
  </si>
  <si>
    <t>INE813H01021</t>
  </si>
  <si>
    <t>JKCEMENT</t>
  </si>
  <si>
    <t>JKCE IN</t>
  </si>
  <si>
    <t>INE823G01014</t>
  </si>
  <si>
    <t>ATUL</t>
  </si>
  <si>
    <t>ATLP IN</t>
  </si>
  <si>
    <t>INE100A01010</t>
  </si>
  <si>
    <t>RECLTD</t>
  </si>
  <si>
    <t>RECL IN</t>
  </si>
  <si>
    <t>INE020B01018</t>
  </si>
  <si>
    <t>FLUOROCHEM</t>
  </si>
  <si>
    <t>FLUOROCH IN</t>
  </si>
  <si>
    <t>INE09N301011</t>
  </si>
  <si>
    <t>CUMMINSIND</t>
  </si>
  <si>
    <t>KKC IN</t>
  </si>
  <si>
    <t>INE298A01020</t>
  </si>
  <si>
    <t>CGPOWER</t>
  </si>
  <si>
    <t>CGPOWER IN</t>
  </si>
  <si>
    <t>INE067A01029</t>
  </si>
  <si>
    <t>ISEC</t>
  </si>
  <si>
    <t>ISEC IN</t>
  </si>
  <si>
    <t>INE763G01038</t>
  </si>
  <si>
    <t>RUCHI</t>
  </si>
  <si>
    <t>RSI IN</t>
  </si>
  <si>
    <t>INE619A01035</t>
  </si>
  <si>
    <t>ABFRL</t>
  </si>
  <si>
    <t>ABFRL IN</t>
  </si>
  <si>
    <t>INE647O01011</t>
  </si>
  <si>
    <t>SUNDARMFIN</t>
  </si>
  <si>
    <t>SUF IN</t>
  </si>
  <si>
    <t>INE660A01013</t>
  </si>
  <si>
    <t>APLAPOLLO</t>
  </si>
  <si>
    <t>APAT IN</t>
  </si>
  <si>
    <t>INE702C01027</t>
  </si>
  <si>
    <t>TANLA</t>
  </si>
  <si>
    <t>TANLA IN</t>
  </si>
  <si>
    <t>INE483C01032</t>
  </si>
  <si>
    <t>INDHOTEL</t>
  </si>
  <si>
    <t>IH IN</t>
  </si>
  <si>
    <t>INE053A01029</t>
  </si>
  <si>
    <t>SYNGENE</t>
  </si>
  <si>
    <t>SYNG IN</t>
  </si>
  <si>
    <t>INE398R01022</t>
  </si>
  <si>
    <t>General Insurance Corporation of India</t>
  </si>
  <si>
    <t>GICRE</t>
  </si>
  <si>
    <t>GICRE IN</t>
  </si>
  <si>
    <t>INE481Y01014</t>
  </si>
  <si>
    <t>RAMCOCEM</t>
  </si>
  <si>
    <t>TRCL IN</t>
  </si>
  <si>
    <t>INE331A01037</t>
  </si>
  <si>
    <t>BATAINDIA</t>
  </si>
  <si>
    <t>BATA IN</t>
  </si>
  <si>
    <t>INE176A01028</t>
  </si>
  <si>
    <t>EMAMILTD</t>
  </si>
  <si>
    <t>HMN IN</t>
  </si>
  <si>
    <t>INE548C01032</t>
  </si>
  <si>
    <t>TATACHEM</t>
  </si>
  <si>
    <t>TTCH IN</t>
  </si>
  <si>
    <t>INE092A01019</t>
  </si>
  <si>
    <t>PFIZER</t>
  </si>
  <si>
    <t>PFIZ IN</t>
  </si>
  <si>
    <t>INE182A01018</t>
  </si>
  <si>
    <t>KPRMILL</t>
  </si>
  <si>
    <t>KPR IN</t>
  </si>
  <si>
    <t>INE930H01031</t>
  </si>
  <si>
    <t>IEX</t>
  </si>
  <si>
    <t>IEX IN</t>
  </si>
  <si>
    <t>INE022Q01020</t>
  </si>
  <si>
    <t>NIACL</t>
  </si>
  <si>
    <t>NIACL IN</t>
  </si>
  <si>
    <t>INE470Y01017</t>
  </si>
  <si>
    <t>ENDURANCE</t>
  </si>
  <si>
    <t>ENDU IN</t>
  </si>
  <si>
    <t>INE913H01037</t>
  </si>
  <si>
    <t>WHIRLPOOL</t>
  </si>
  <si>
    <t>WHIRL IN</t>
  </si>
  <si>
    <t>INE716A01013</t>
  </si>
  <si>
    <t>RAJESHEXPO</t>
  </si>
  <si>
    <t>RJEX IN</t>
  </si>
  <si>
    <t>INE343B01030</t>
  </si>
  <si>
    <t>COROMANDEL</t>
  </si>
  <si>
    <t>CRIN IN</t>
  </si>
  <si>
    <t>INE169A01031</t>
  </si>
  <si>
    <t>BAYERCROP</t>
  </si>
  <si>
    <t>BYRCS IN</t>
  </si>
  <si>
    <t>INE462A01022</t>
  </si>
  <si>
    <t>GODREJIND</t>
  </si>
  <si>
    <t>GDSP IN</t>
  </si>
  <si>
    <t>INE233A01035</t>
  </si>
  <si>
    <t>CRISIL</t>
  </si>
  <si>
    <t>CRISIL IN</t>
  </si>
  <si>
    <t>INE007A01025</t>
  </si>
  <si>
    <t>NAM-INDIA</t>
  </si>
  <si>
    <t>NAM IN</t>
  </si>
  <si>
    <t>INE298J01013</t>
  </si>
  <si>
    <t>SOLARINDS</t>
  </si>
  <si>
    <t>SOIL IN</t>
  </si>
  <si>
    <t>INE343H01029</t>
  </si>
  <si>
    <t>FORTIS</t>
  </si>
  <si>
    <t>FORH IN</t>
  </si>
  <si>
    <t>INE061F01013</t>
  </si>
  <si>
    <t>THERMAX</t>
  </si>
  <si>
    <t>TMX IN</t>
  </si>
  <si>
    <t>INE152A01029</t>
  </si>
  <si>
    <t>LINDEINDIA</t>
  </si>
  <si>
    <t>LIIL IN</t>
  </si>
  <si>
    <t>INE473A01011</t>
  </si>
  <si>
    <t>NAVINFLUOR</t>
  </si>
  <si>
    <t>NFIL IN</t>
  </si>
  <si>
    <t>INE048G01026</t>
  </si>
  <si>
    <t>NTSD IN</t>
  </si>
  <si>
    <t>INE166R01015</t>
  </si>
  <si>
    <t>DEVYANI</t>
  </si>
  <si>
    <t>DEVYANI IN</t>
  </si>
  <si>
    <t>INE872J01023</t>
  </si>
  <si>
    <t>GRINDWELL</t>
  </si>
  <si>
    <t>GWN IN</t>
  </si>
  <si>
    <t>INE536A01023</t>
  </si>
  <si>
    <t>LICHSGFIN</t>
  </si>
  <si>
    <t>LICHF IN</t>
  </si>
  <si>
    <t>INE115A01026</t>
  </si>
  <si>
    <t>BHEL</t>
  </si>
  <si>
    <t>BHEL IN</t>
  </si>
  <si>
    <t>INE257A01026</t>
  </si>
  <si>
    <t>OIL</t>
  </si>
  <si>
    <t>OINL IN</t>
  </si>
  <si>
    <t>INE274J01014</t>
  </si>
  <si>
    <t>VINATIORGA</t>
  </si>
  <si>
    <t>VO IN</t>
  </si>
  <si>
    <t>INE410B01037</t>
  </si>
  <si>
    <t>BCG</t>
  </si>
  <si>
    <t>BCG IN</t>
  </si>
  <si>
    <t>INE425B01027</t>
  </si>
  <si>
    <t>AAVAS</t>
  </si>
  <si>
    <t>AAVAS IN</t>
  </si>
  <si>
    <t>INE216P01012</t>
  </si>
  <si>
    <t>INDIAMART</t>
  </si>
  <si>
    <t>INMART IN</t>
  </si>
  <si>
    <t>INE933S01016</t>
  </si>
  <si>
    <t>AJANTPHARM</t>
  </si>
  <si>
    <t>AJP IN</t>
  </si>
  <si>
    <t>INE031B01049</t>
  </si>
  <si>
    <t>KAJARIACER</t>
  </si>
  <si>
    <t>KJC IN</t>
  </si>
  <si>
    <t>INE217B01036</t>
  </si>
  <si>
    <t>SUNTV</t>
  </si>
  <si>
    <t>SUNTV IN</t>
  </si>
  <si>
    <t>INE424H01027</t>
  </si>
  <si>
    <t>L&amp;TFH</t>
  </si>
  <si>
    <t>LTFH IN</t>
  </si>
  <si>
    <t>INE498L01015</t>
  </si>
  <si>
    <t>SUMICHEM</t>
  </si>
  <si>
    <t>SUMICHEM IN</t>
  </si>
  <si>
    <t>INE258G01013</t>
  </si>
  <si>
    <t>HAPPSTMNDS</t>
  </si>
  <si>
    <t>HAPPSTMN IN</t>
  </si>
  <si>
    <t>INE419U01012</t>
  </si>
  <si>
    <t>PRESTIGE</t>
  </si>
  <si>
    <t>PEPL IN</t>
  </si>
  <si>
    <t>INE811K01011</t>
  </si>
  <si>
    <t>Central Bank Of India</t>
  </si>
  <si>
    <t>CENTRALBK</t>
  </si>
  <si>
    <t>CBOI IN</t>
  </si>
  <si>
    <t>INE483A01010</t>
  </si>
  <si>
    <t>SKFINDIA</t>
  </si>
  <si>
    <t>SKF IN</t>
  </si>
  <si>
    <t>INE640A01023</t>
  </si>
  <si>
    <t>NATIONALUM</t>
  </si>
  <si>
    <t>NACL IN</t>
  </si>
  <si>
    <t>INE139A01034</t>
  </si>
  <si>
    <t>SUNDRMFAST</t>
  </si>
  <si>
    <t>SF IN</t>
  </si>
  <si>
    <t>INE387A01021</t>
  </si>
  <si>
    <t>M&amp;MFIN</t>
  </si>
  <si>
    <t>MMFS IN</t>
  </si>
  <si>
    <t>INE774D01024</t>
  </si>
  <si>
    <t>SANOFI</t>
  </si>
  <si>
    <t>SANL IN</t>
  </si>
  <si>
    <t>INE058A01010</t>
  </si>
  <si>
    <t>PHOENIXLTD</t>
  </si>
  <si>
    <t>PHNX IN</t>
  </si>
  <si>
    <t>INE211B01039</t>
  </si>
  <si>
    <t>METROPOLIS</t>
  </si>
  <si>
    <t>METROHL IN</t>
  </si>
  <si>
    <t>INE112L01020</t>
  </si>
  <si>
    <t>Indian Bank</t>
  </si>
  <si>
    <t>INDIANB</t>
  </si>
  <si>
    <t>INBK IN</t>
  </si>
  <si>
    <t>INE562A01011</t>
  </si>
  <si>
    <t>CARBORUNIV</t>
  </si>
  <si>
    <t>CU IN</t>
  </si>
  <si>
    <t>INE120A01034</t>
  </si>
  <si>
    <t>NUVOCO</t>
  </si>
  <si>
    <t>NUVOCO IN</t>
  </si>
  <si>
    <t>INE118D01016</t>
  </si>
  <si>
    <t>FEDERALBNK</t>
  </si>
  <si>
    <t>FB IN</t>
  </si>
  <si>
    <t>INE171A01029</t>
  </si>
  <si>
    <t>GILLETTE</t>
  </si>
  <si>
    <t>GILL IN</t>
  </si>
  <si>
    <t>INE322A01010</t>
  </si>
  <si>
    <t>AIAENG</t>
  </si>
  <si>
    <t>AIAE IN</t>
  </si>
  <si>
    <t>INE212H01026</t>
  </si>
  <si>
    <t>ALKYLAMINE</t>
  </si>
  <si>
    <t>AACL IN</t>
  </si>
  <si>
    <t>INE150B01039</t>
  </si>
  <si>
    <t>GSPL</t>
  </si>
  <si>
    <t>GUJS IN</t>
  </si>
  <si>
    <t>INE246F01010</t>
  </si>
  <si>
    <t>APTUS</t>
  </si>
  <si>
    <t>APTUS IN</t>
  </si>
  <si>
    <t>INE852O01025</t>
  </si>
  <si>
    <t>NATCOPHARM</t>
  </si>
  <si>
    <t>NTCPH IN</t>
  </si>
  <si>
    <t>INE987B01026</t>
  </si>
  <si>
    <t>KIOCL</t>
  </si>
  <si>
    <t>KIOCL IN</t>
  </si>
  <si>
    <t>INE880L01014</t>
  </si>
  <si>
    <t>CHAMBLFERT</t>
  </si>
  <si>
    <t>CHMB IN</t>
  </si>
  <si>
    <t>INE085A01013</t>
  </si>
  <si>
    <t>GRINFRA</t>
  </si>
  <si>
    <t>GRINFRA IN</t>
  </si>
  <si>
    <t>INE201P01022</t>
  </si>
  <si>
    <t>KPITTECH</t>
  </si>
  <si>
    <t>KPITTECH IN</t>
  </si>
  <si>
    <t>INE04I401011</t>
  </si>
  <si>
    <t>WABCOINDIA</t>
  </si>
  <si>
    <t>WIL IN</t>
  </si>
  <si>
    <t>INE342J01019</t>
  </si>
  <si>
    <t>RADICO</t>
  </si>
  <si>
    <t>RDCK IN</t>
  </si>
  <si>
    <t>INE944F01028</t>
  </si>
  <si>
    <t>APLLTD</t>
  </si>
  <si>
    <t>ALPM IN</t>
  </si>
  <si>
    <t>INE901L01018</t>
  </si>
  <si>
    <t>CDSL</t>
  </si>
  <si>
    <t>CDSL IN</t>
  </si>
  <si>
    <t>INE736A01011</t>
  </si>
  <si>
    <t>UCO Bank</t>
  </si>
  <si>
    <t>UCOBANK</t>
  </si>
  <si>
    <t>UCO IN</t>
  </si>
  <si>
    <t>INE691A01018</t>
  </si>
  <si>
    <t>TIMKEN</t>
  </si>
  <si>
    <t>TMKN IN</t>
  </si>
  <si>
    <t>INE325A01013</t>
  </si>
  <si>
    <t>POONAWALLA</t>
  </si>
  <si>
    <t>POONAWAL IN</t>
  </si>
  <si>
    <t>INE511C01022</t>
  </si>
  <si>
    <t>BAJAJELEC</t>
  </si>
  <si>
    <t>BJE IN</t>
  </si>
  <si>
    <t>INE193E01025</t>
  </si>
  <si>
    <t>SFL</t>
  </si>
  <si>
    <t>SFL IN</t>
  </si>
  <si>
    <t>INE916U01025</t>
  </si>
  <si>
    <t>ABSLAMC</t>
  </si>
  <si>
    <t>ABSLAMC IN</t>
  </si>
  <si>
    <t>INE404A01024</t>
  </si>
  <si>
    <t>BSOFT</t>
  </si>
  <si>
    <t>BSOFT IN</t>
  </si>
  <si>
    <t>INE836A01035</t>
  </si>
  <si>
    <t>DCMSHRIRAM</t>
  </si>
  <si>
    <t>DCMS IN</t>
  </si>
  <si>
    <t>INE499A01024</t>
  </si>
  <si>
    <t>BLUEDART</t>
  </si>
  <si>
    <t>BDE IN</t>
  </si>
  <si>
    <t>INE233B01017</t>
  </si>
  <si>
    <t>WELSPUNIND</t>
  </si>
  <si>
    <t>WLSI IN</t>
  </si>
  <si>
    <t>INE192B01031</t>
  </si>
  <si>
    <t>GLENMARK</t>
  </si>
  <si>
    <t>GNP IN</t>
  </si>
  <si>
    <t>INE935A01035</t>
  </si>
  <si>
    <t>AFFLE</t>
  </si>
  <si>
    <t>AFFLE IN</t>
  </si>
  <si>
    <t>INE00WC01027</t>
  </si>
  <si>
    <t>EXIDEIND</t>
  </si>
  <si>
    <t>EXID IN</t>
  </si>
  <si>
    <t>INE302A01020</t>
  </si>
  <si>
    <t>MANAPPURAM</t>
  </si>
  <si>
    <t>MGFL IN</t>
  </si>
  <si>
    <t>INE522D01027</t>
  </si>
  <si>
    <t>MOTILALOFS</t>
  </si>
  <si>
    <t>MOFS IN</t>
  </si>
  <si>
    <t>INE338I01027</t>
  </si>
  <si>
    <t>APOLLOTYRE</t>
  </si>
  <si>
    <t>APTY IN</t>
  </si>
  <si>
    <t>INE438A01022</t>
  </si>
  <si>
    <t>TTKPRESTIG</t>
  </si>
  <si>
    <t>TTKPT IN</t>
  </si>
  <si>
    <t>INE690A01028</t>
  </si>
  <si>
    <t>CENTURYPLY</t>
  </si>
  <si>
    <t>CPBI IN</t>
  </si>
  <si>
    <t>INE348B01021</t>
  </si>
  <si>
    <t>VTL</t>
  </si>
  <si>
    <t>VTEX IN</t>
  </si>
  <si>
    <t>INE825A01012</t>
  </si>
  <si>
    <t>Bank Of Maharashtra</t>
  </si>
  <si>
    <t>MAHABANK</t>
  </si>
  <si>
    <t>BOMH IN</t>
  </si>
  <si>
    <t>INE457A01014</t>
  </si>
  <si>
    <t>UTIAMC</t>
  </si>
  <si>
    <t>UTIAM IN</t>
  </si>
  <si>
    <t>INE094J01016</t>
  </si>
  <si>
    <t>ALOKINDS</t>
  </si>
  <si>
    <t>ALOK IN</t>
  </si>
  <si>
    <t>INE270A01029</t>
  </si>
  <si>
    <t>CAMS</t>
  </si>
  <si>
    <t>CAMS IN</t>
  </si>
  <si>
    <t>INE596I01012</t>
  </si>
  <si>
    <t>JBCHEPHARM</t>
  </si>
  <si>
    <t>JBCP IN</t>
  </si>
  <si>
    <t>INE572A01028</t>
  </si>
  <si>
    <t>FINPIPE</t>
  </si>
  <si>
    <t>FNXP IN</t>
  </si>
  <si>
    <t>INE183A01024</t>
  </si>
  <si>
    <t>IIFLWAM</t>
  </si>
  <si>
    <t>IIFLWAM IN</t>
  </si>
  <si>
    <t>INE466L01020</t>
  </si>
  <si>
    <t>FSL</t>
  </si>
  <si>
    <t>FSOL IN</t>
  </si>
  <si>
    <t>INE684F01012</t>
  </si>
  <si>
    <t>METROBRAND</t>
  </si>
  <si>
    <t>METROBRA IN</t>
  </si>
  <si>
    <t>INE317I01021</t>
  </si>
  <si>
    <t>BASF</t>
  </si>
  <si>
    <t>BASF IN</t>
  </si>
  <si>
    <t>INE373A01013</t>
  </si>
  <si>
    <t>SUVENPHAR</t>
  </si>
  <si>
    <t>SUVENPHA IN</t>
  </si>
  <si>
    <t>INE03QK01018</t>
  </si>
  <si>
    <t>CHOLAHLDNG</t>
  </si>
  <si>
    <t>CHOLAHLD IN</t>
  </si>
  <si>
    <t>INE149A01033</t>
  </si>
  <si>
    <t>CASTROLIND</t>
  </si>
  <si>
    <t>CSTRL IN</t>
  </si>
  <si>
    <t>INE172A01027</t>
  </si>
  <si>
    <t>NH</t>
  </si>
  <si>
    <t>NARH IN</t>
  </si>
  <si>
    <t>INE410P01011</t>
  </si>
  <si>
    <t>HINDCOPPER</t>
  </si>
  <si>
    <t>HCP IN</t>
  </si>
  <si>
    <t>INE531E01026</t>
  </si>
  <si>
    <t>KEC</t>
  </si>
  <si>
    <t>KECI IN</t>
  </si>
  <si>
    <t>INE389H01022</t>
  </si>
  <si>
    <t>MEDPLUS</t>
  </si>
  <si>
    <t>MEDPLUS IN</t>
  </si>
  <si>
    <t>INE804L01022</t>
  </si>
  <si>
    <t>QUESS</t>
  </si>
  <si>
    <t>QUESS IN</t>
  </si>
  <si>
    <t>INE615P01015</t>
  </si>
  <si>
    <t>SHRIRAMCIT</t>
  </si>
  <si>
    <t>SCUF IN</t>
  </si>
  <si>
    <t>INE722A01011</t>
  </si>
  <si>
    <t>CESC</t>
  </si>
  <si>
    <t>CESC IN</t>
  </si>
  <si>
    <t>INE486A01021</t>
  </si>
  <si>
    <t>FINEORG</t>
  </si>
  <si>
    <t>FINEORG IN</t>
  </si>
  <si>
    <t>INE686Y01026</t>
  </si>
  <si>
    <t>SJVN</t>
  </si>
  <si>
    <t>SJVN IN</t>
  </si>
  <si>
    <t>INE002L01015</t>
  </si>
  <si>
    <t>STLTECH</t>
  </si>
  <si>
    <t>SOTL IN</t>
  </si>
  <si>
    <t>INE089C01029</t>
  </si>
  <si>
    <t>ITI</t>
  </si>
  <si>
    <t>ITI IN</t>
  </si>
  <si>
    <t>INE248A01017</t>
  </si>
  <si>
    <t>BIRLACORPN</t>
  </si>
  <si>
    <t>BCORP IN</t>
  </si>
  <si>
    <t>INE340A01012</t>
  </si>
  <si>
    <t>REDINGTON</t>
  </si>
  <si>
    <t>REDI IN</t>
  </si>
  <si>
    <t>INE891D01026</t>
  </si>
  <si>
    <t>BRIGADE</t>
  </si>
  <si>
    <t>BRGD IN</t>
  </si>
  <si>
    <t>INE791I01019</t>
  </si>
  <si>
    <t>ASAHIINDIA</t>
  </si>
  <si>
    <t>AISG IN</t>
  </si>
  <si>
    <t>INE439A01020</t>
  </si>
  <si>
    <t>AMBER</t>
  </si>
  <si>
    <t>AMBER IN</t>
  </si>
  <si>
    <t>INE371P01015</t>
  </si>
  <si>
    <t>ZENSARTECH</t>
  </si>
  <si>
    <t>ZENT IN</t>
  </si>
  <si>
    <t>INE520A01027</t>
  </si>
  <si>
    <t>LUXIND</t>
  </si>
  <si>
    <t>LUX IN</t>
  </si>
  <si>
    <t>INE150G01020</t>
  </si>
  <si>
    <t>HFCL</t>
  </si>
  <si>
    <t>HMFC IN</t>
  </si>
  <si>
    <t>INE548A01028</t>
  </si>
  <si>
    <t>LXCHEM</t>
  </si>
  <si>
    <t>LXCHEM IN</t>
  </si>
  <si>
    <t>INE576O01020</t>
  </si>
  <si>
    <t>CYIENT</t>
  </si>
  <si>
    <t>CYL IN</t>
  </si>
  <si>
    <t>INE136B01020</t>
  </si>
  <si>
    <t>GALAXYSURF</t>
  </si>
  <si>
    <t>GALSURF IN</t>
  </si>
  <si>
    <t>INE600K01018</t>
  </si>
  <si>
    <t>Krishna Institute of Medical Sciences Ltd</t>
  </si>
  <si>
    <t>KIMS</t>
  </si>
  <si>
    <t>KIMS IN</t>
  </si>
  <si>
    <t>INE967H01017</t>
  </si>
  <si>
    <t>ROUTE</t>
  </si>
  <si>
    <t>ROUTE IN</t>
  </si>
  <si>
    <t>INE450U01017</t>
  </si>
  <si>
    <t>POWERINDIA</t>
  </si>
  <si>
    <t>POWERIND IN</t>
  </si>
  <si>
    <t>INE07Y701011</t>
  </si>
  <si>
    <t>AMARAJABAT</t>
  </si>
  <si>
    <t>AMRJ IN</t>
  </si>
  <si>
    <t>INE885A01032</t>
  </si>
  <si>
    <t>BALAMINES</t>
  </si>
  <si>
    <t>BLA IN</t>
  </si>
  <si>
    <t>INE050E01027</t>
  </si>
  <si>
    <t>KEI</t>
  </si>
  <si>
    <t>KEII IN</t>
  </si>
  <si>
    <t>INE878B01027</t>
  </si>
  <si>
    <t>IIFL</t>
  </si>
  <si>
    <t>IIFL IN</t>
  </si>
  <si>
    <t>INE530B01024</t>
  </si>
  <si>
    <t>IBULHSGFIN</t>
  </si>
  <si>
    <t>IHFL IN</t>
  </si>
  <si>
    <t>INE148I01020</t>
  </si>
  <si>
    <t>SAREGAMA</t>
  </si>
  <si>
    <t>SARE IN</t>
  </si>
  <si>
    <t>INE979A01017</t>
  </si>
  <si>
    <t>CENTURYTEX</t>
  </si>
  <si>
    <t>CENT IN</t>
  </si>
  <si>
    <t>INE055A01016</t>
  </si>
  <si>
    <t>GODREJAGRO</t>
  </si>
  <si>
    <t>GOAGRO IN</t>
  </si>
  <si>
    <t>INE850D01014</t>
  </si>
  <si>
    <t>CUB</t>
  </si>
  <si>
    <t>CUBK IN</t>
  </si>
  <si>
    <t>INE491A01021</t>
  </si>
  <si>
    <t>ERIS</t>
  </si>
  <si>
    <t>ERIS IN</t>
  </si>
  <si>
    <t>INE406M01024</t>
  </si>
  <si>
    <t>JSL</t>
  </si>
  <si>
    <t>JDSL IN</t>
  </si>
  <si>
    <t>INE220G01021</t>
  </si>
  <si>
    <t>BLUESTARCO</t>
  </si>
  <si>
    <t>BLSTR IN</t>
  </si>
  <si>
    <t>INE472A01039</t>
  </si>
  <si>
    <t>LATENTVIEW</t>
  </si>
  <si>
    <t>LATENTVI IN</t>
  </si>
  <si>
    <t>INE0I7C01011</t>
  </si>
  <si>
    <t>VGUARD</t>
  </si>
  <si>
    <t>VGRD IN</t>
  </si>
  <si>
    <t>INE951I01027</t>
  </si>
  <si>
    <t>ANGELONE</t>
  </si>
  <si>
    <t>ANGELONE IN</t>
  </si>
  <si>
    <t>INE732I01013</t>
  </si>
  <si>
    <t>NETWORK18</t>
  </si>
  <si>
    <t>NETM IN</t>
  </si>
  <si>
    <t>INE870H01013</t>
  </si>
  <si>
    <t>CREDITACC</t>
  </si>
  <si>
    <t>CREDAG IN</t>
  </si>
  <si>
    <t>INE741K01010</t>
  </si>
  <si>
    <t>INDIGOPNTS</t>
  </si>
  <si>
    <t>INDIGOPN IN</t>
  </si>
  <si>
    <t>INE09VQ01012</t>
  </si>
  <si>
    <t>VAIBHAVGBL</t>
  </si>
  <si>
    <t>VGM IN</t>
  </si>
  <si>
    <t>INE884A01027</t>
  </si>
  <si>
    <t>INTELLECT</t>
  </si>
  <si>
    <t>INDA IN</t>
  </si>
  <si>
    <t>INE306R01017</t>
  </si>
  <si>
    <t>ALLCARGO</t>
  </si>
  <si>
    <t>AGLL IN</t>
  </si>
  <si>
    <t>INE418H01029</t>
  </si>
  <si>
    <t>LAXMIMACH</t>
  </si>
  <si>
    <t>LMW IN</t>
  </si>
  <si>
    <t>INE269B01029</t>
  </si>
  <si>
    <t>DHANI</t>
  </si>
  <si>
    <t>DHANI IN</t>
  </si>
  <si>
    <t>INE274G01010</t>
  </si>
  <si>
    <t>JUBLPHARMA</t>
  </si>
  <si>
    <t>JUBLPHAR IN</t>
  </si>
  <si>
    <t>INE700A01033</t>
  </si>
  <si>
    <t>AKZOINDIA</t>
  </si>
  <si>
    <t>AKZO IN</t>
  </si>
  <si>
    <t>INE133A01011</t>
  </si>
  <si>
    <t>ANURAS</t>
  </si>
  <si>
    <t>ANURAS IN</t>
  </si>
  <si>
    <t>INE930P01018</t>
  </si>
  <si>
    <t>IDFC</t>
  </si>
  <si>
    <t>IDFC IN</t>
  </si>
  <si>
    <t>INE043D01016</t>
  </si>
  <si>
    <t>SONATSOFTW</t>
  </si>
  <si>
    <t>SSOF IN</t>
  </si>
  <si>
    <t>INE269A01021</t>
  </si>
  <si>
    <t>ELGIEQUIP</t>
  </si>
  <si>
    <t>ELEQ IN</t>
  </si>
  <si>
    <t>INE285A01027</t>
  </si>
  <si>
    <t>RATNAMANI</t>
  </si>
  <si>
    <t>RMT IN</t>
  </si>
  <si>
    <t>INE703B01027</t>
  </si>
  <si>
    <t>WESTLIFE</t>
  </si>
  <si>
    <t>WLDL IN</t>
  </si>
  <si>
    <t>INE274F01020</t>
  </si>
  <si>
    <t>CHEMPLASTS</t>
  </si>
  <si>
    <t>CPI IN</t>
  </si>
  <si>
    <t>INE488A01050</t>
  </si>
  <si>
    <t>MASTEK</t>
  </si>
  <si>
    <t>MAST IN</t>
  </si>
  <si>
    <t>INE759A01021</t>
  </si>
  <si>
    <t>CGCL</t>
  </si>
  <si>
    <t>CGCL IN</t>
  </si>
  <si>
    <t>INE180C01026</t>
  </si>
  <si>
    <t>SHYAMMETL</t>
  </si>
  <si>
    <t>SHYAMMET IN</t>
  </si>
  <si>
    <t>INE810G01011</t>
  </si>
  <si>
    <t>JUBLINGREA</t>
  </si>
  <si>
    <t>JUBLINGR IN</t>
  </si>
  <si>
    <t>INE0BY001018</t>
  </si>
  <si>
    <t>RBLBANK</t>
  </si>
  <si>
    <t>RBK IN</t>
  </si>
  <si>
    <t>INE976G01028</t>
  </si>
  <si>
    <t>BSE</t>
  </si>
  <si>
    <t>BSE IN</t>
  </si>
  <si>
    <t>INE118H01025</t>
  </si>
  <si>
    <t>MAHINDCIE</t>
  </si>
  <si>
    <t>MACA IN</t>
  </si>
  <si>
    <t>INE536H01010</t>
  </si>
  <si>
    <t>ASTERDM</t>
  </si>
  <si>
    <t>ASTERDM IN</t>
  </si>
  <si>
    <t>INE914M01019</t>
  </si>
  <si>
    <t>POLYMED</t>
  </si>
  <si>
    <t>PLM IN</t>
  </si>
  <si>
    <t>INE205C01021</t>
  </si>
  <si>
    <t>MAPMYINDIA</t>
  </si>
  <si>
    <t>MAPMYIND IN</t>
  </si>
  <si>
    <t>INE0BV301023</t>
  </si>
  <si>
    <t>MGL</t>
  </si>
  <si>
    <t>MAHGL IN</t>
  </si>
  <si>
    <t>INE002S01010</t>
  </si>
  <si>
    <t>ECLERX</t>
  </si>
  <si>
    <t>ECLX IN</t>
  </si>
  <si>
    <t>INE738I01010</t>
  </si>
  <si>
    <t>PNBHOUSING</t>
  </si>
  <si>
    <t>PNBHOUSI IN</t>
  </si>
  <si>
    <t>INE572E01012</t>
  </si>
  <si>
    <t>SOBHA</t>
  </si>
  <si>
    <t>SOBHA IN</t>
  </si>
  <si>
    <t>INE671H01015</t>
  </si>
  <si>
    <t>GRANULES</t>
  </si>
  <si>
    <t>GRAN IN</t>
  </si>
  <si>
    <t>INE101D01020</t>
  </si>
  <si>
    <t>PGHL</t>
  </si>
  <si>
    <t>PGHL IN</t>
  </si>
  <si>
    <t>INE199A01012</t>
  </si>
  <si>
    <t>MCX</t>
  </si>
  <si>
    <t>MCX IN</t>
  </si>
  <si>
    <t>INE745G01035</t>
  </si>
  <si>
    <t>TCIEXP</t>
  </si>
  <si>
    <t>TCIEXP IN</t>
  </si>
  <si>
    <t>INE586V01016</t>
  </si>
  <si>
    <t>NLCINDIA</t>
  </si>
  <si>
    <t>NLC IN</t>
  </si>
  <si>
    <t>INE589A01014</t>
  </si>
  <si>
    <t>JSLHISAR</t>
  </si>
  <si>
    <t>JSHL IN</t>
  </si>
  <si>
    <t>INE455T01018</t>
  </si>
  <si>
    <t>SUZLON</t>
  </si>
  <si>
    <t>SUEL IN</t>
  </si>
  <si>
    <t>INE040H01021</t>
  </si>
  <si>
    <t>KNRCON</t>
  </si>
  <si>
    <t>KNRC IN</t>
  </si>
  <si>
    <t>INE634I01029</t>
  </si>
  <si>
    <t>FINCABLES</t>
  </si>
  <si>
    <t>FNXC IN</t>
  </si>
  <si>
    <t>INE235A01022</t>
  </si>
  <si>
    <t>GRAPHITE</t>
  </si>
  <si>
    <t>GRIL IN</t>
  </si>
  <si>
    <t>INE371A01025</t>
  </si>
  <si>
    <t>ORIENTELEC</t>
  </si>
  <si>
    <t>ORIENTEL IN</t>
  </si>
  <si>
    <t>INE142Z01019</t>
  </si>
  <si>
    <t>EIDPARRY</t>
  </si>
  <si>
    <t>EID IN</t>
  </si>
  <si>
    <t>INE126A01031</t>
  </si>
  <si>
    <t>HUDCO</t>
  </si>
  <si>
    <t>HUDCO IN</t>
  </si>
  <si>
    <t>INE031A01017</t>
  </si>
  <si>
    <t>FORBESGOK</t>
  </si>
  <si>
    <t>FG IN</t>
  </si>
  <si>
    <t>INE518A01013</t>
  </si>
  <si>
    <t>PVR</t>
  </si>
  <si>
    <t>PVRL IN</t>
  </si>
  <si>
    <t>INE191H01014</t>
  </si>
  <si>
    <t>NBCC</t>
  </si>
  <si>
    <t>NBCC IN</t>
  </si>
  <si>
    <t>INE095N01031</t>
  </si>
  <si>
    <t>HLEGLAS</t>
  </si>
  <si>
    <t>HLEGLAS IN</t>
  </si>
  <si>
    <t>INE461D01010</t>
  </si>
  <si>
    <t>FACT</t>
  </si>
  <si>
    <t>FCT IN</t>
  </si>
  <si>
    <t>INE188A01015</t>
  </si>
  <si>
    <t>SUNCLAYLTD</t>
  </si>
  <si>
    <t>SDC IN</t>
  </si>
  <si>
    <t>INE105A01035</t>
  </si>
  <si>
    <t>BORORENEW</t>
  </si>
  <si>
    <t>BORORENE IN</t>
  </si>
  <si>
    <t>INE666D01022</t>
  </si>
  <si>
    <t>PRINCEPIPE</t>
  </si>
  <si>
    <t>PRINCPIP IN</t>
  </si>
  <si>
    <t>INE689W01016</t>
  </si>
  <si>
    <t>EIHOTEL</t>
  </si>
  <si>
    <t>EIH IN</t>
  </si>
  <si>
    <t>INE230A01023</t>
  </si>
  <si>
    <t>TV18BRDCST</t>
  </si>
  <si>
    <t>TV18 IN</t>
  </si>
  <si>
    <t>INE886H01027</t>
  </si>
  <si>
    <t>VIPIND</t>
  </si>
  <si>
    <t>VIP IN</t>
  </si>
  <si>
    <t>INE054A01027</t>
  </si>
  <si>
    <t>SAPPHIRE</t>
  </si>
  <si>
    <t>SAPPHIRE IN</t>
  </si>
  <si>
    <t>INE806T01012</t>
  </si>
  <si>
    <t>AEGISCHEM</t>
  </si>
  <si>
    <t>AGIS IN</t>
  </si>
  <si>
    <t>INE208C01025</t>
  </si>
  <si>
    <t>MRPL</t>
  </si>
  <si>
    <t>MRPL IN</t>
  </si>
  <si>
    <t>INE103A01014</t>
  </si>
  <si>
    <t>ASTRAZEN</t>
  </si>
  <si>
    <t>ASTR IN</t>
  </si>
  <si>
    <t>INE203A01020</t>
  </si>
  <si>
    <t>AVANTIFEED</t>
  </si>
  <si>
    <t>AVNT IN</t>
  </si>
  <si>
    <t>INE871C01038</t>
  </si>
  <si>
    <t>CANFINHOME</t>
  </si>
  <si>
    <t>CANF IN</t>
  </si>
  <si>
    <t>INE477A01020</t>
  </si>
  <si>
    <t>NAZARA</t>
  </si>
  <si>
    <t>NAZARA IN</t>
  </si>
  <si>
    <t>INE418L01021</t>
  </si>
  <si>
    <t>BBTC</t>
  </si>
  <si>
    <t>BBTC IN</t>
  </si>
  <si>
    <t>INE050A01025</t>
  </si>
  <si>
    <t>IRB</t>
  </si>
  <si>
    <t>IRB IN</t>
  </si>
  <si>
    <t>INE821I01014</t>
  </si>
  <si>
    <t>GLS</t>
  </si>
  <si>
    <t>GLS IN</t>
  </si>
  <si>
    <t>INE03Q201024</t>
  </si>
  <si>
    <t>IBREALEST</t>
  </si>
  <si>
    <t>IBREL IN</t>
  </si>
  <si>
    <t>INE069I01010</t>
  </si>
  <si>
    <t>SUNTECK</t>
  </si>
  <si>
    <t>SRIN IN</t>
  </si>
  <si>
    <t>INE805D01034</t>
  </si>
  <si>
    <t>DELTACORP</t>
  </si>
  <si>
    <t>DELTA IN</t>
  </si>
  <si>
    <t>INE124G01033</t>
  </si>
  <si>
    <t>VMART</t>
  </si>
  <si>
    <t>VMART IN</t>
  </si>
  <si>
    <t>INE665J01013</t>
  </si>
  <si>
    <t>RVNL</t>
  </si>
  <si>
    <t>RVNL IN</t>
  </si>
  <si>
    <t>INE415G01027</t>
  </si>
  <si>
    <t>BDL</t>
  </si>
  <si>
    <t>BDL IN</t>
  </si>
  <si>
    <t>INE171Z01018</t>
  </si>
  <si>
    <t>GMMPFAUDLR</t>
  </si>
  <si>
    <t>GMM IN</t>
  </si>
  <si>
    <t>INE541A01023</t>
  </si>
  <si>
    <t>MTARTECH</t>
  </si>
  <si>
    <t>MTARTECH IN</t>
  </si>
  <si>
    <t>INE864I01014</t>
  </si>
  <si>
    <t>BALRAMCHIN</t>
  </si>
  <si>
    <t>BRCM IN</t>
  </si>
  <si>
    <t>INE119A01028</t>
  </si>
  <si>
    <t>HOMEFIRST</t>
  </si>
  <si>
    <t>HOMEFIRS IN</t>
  </si>
  <si>
    <t>INE481N01025</t>
  </si>
  <si>
    <t>KALYANKJIL</t>
  </si>
  <si>
    <t>KALYANKJ IN</t>
  </si>
  <si>
    <t>INE303R01014</t>
  </si>
  <si>
    <t>PRIVISCL</t>
  </si>
  <si>
    <t>PRIVISCL IN</t>
  </si>
  <si>
    <t>INE959A01019</t>
  </si>
  <si>
    <t>RAIN</t>
  </si>
  <si>
    <t>RINDL IN</t>
  </si>
  <si>
    <t>INE855B01025</t>
  </si>
  <si>
    <t>DBL</t>
  </si>
  <si>
    <t>DBL IN</t>
  </si>
  <si>
    <t>INE917M01012</t>
  </si>
  <si>
    <t>SYMPHONY</t>
  </si>
  <si>
    <t>SYML IN</t>
  </si>
  <si>
    <t>INE225D01027</t>
  </si>
  <si>
    <t>JMFINANCIL</t>
  </si>
  <si>
    <t>JM IN</t>
  </si>
  <si>
    <t>INE780C01023</t>
  </si>
  <si>
    <t>TATAINVEST</t>
  </si>
  <si>
    <t>TICL IN</t>
  </si>
  <si>
    <t>INE672A01018</t>
  </si>
  <si>
    <t>ROSSARI</t>
  </si>
  <si>
    <t>ROSSARI IN</t>
  </si>
  <si>
    <t>INE02A801020</t>
  </si>
  <si>
    <t>HGS</t>
  </si>
  <si>
    <t>HGSL IN</t>
  </si>
  <si>
    <t>INE170I01016</t>
  </si>
  <si>
    <t>MMTC</t>
  </si>
  <si>
    <t>MMTC IN</t>
  </si>
  <si>
    <t>INE123F01029</t>
  </si>
  <si>
    <t>JUSTDIAL</t>
  </si>
  <si>
    <t>JUST IN</t>
  </si>
  <si>
    <t>INE599M01018</t>
  </si>
  <si>
    <t>EDELWEISS</t>
  </si>
  <si>
    <t>EDEL IN</t>
  </si>
  <si>
    <t>INE532F01054</t>
  </si>
  <si>
    <t>PNCINFRA</t>
  </si>
  <si>
    <t>PNCL IN</t>
  </si>
  <si>
    <t>INE195J01029</t>
  </si>
  <si>
    <t>KHL IN</t>
  </si>
  <si>
    <t>INE411F01010</t>
  </si>
  <si>
    <t>SPARC</t>
  </si>
  <si>
    <t>SPADV IN</t>
  </si>
  <si>
    <t>INE232I01014</t>
  </si>
  <si>
    <t>BEML</t>
  </si>
  <si>
    <t>BEML IN</t>
  </si>
  <si>
    <t>INE258A01016</t>
  </si>
  <si>
    <t>EQUITASBNK</t>
  </si>
  <si>
    <t>EQUITASB IN</t>
  </si>
  <si>
    <t>INE063P01018</t>
  </si>
  <si>
    <t>GNFC</t>
  </si>
  <si>
    <t>GNFC IN</t>
  </si>
  <si>
    <t>INE113A01013</t>
  </si>
  <si>
    <t>JKLAKSHMI</t>
  </si>
  <si>
    <t>JKLC IN</t>
  </si>
  <si>
    <t>INE786A01032</t>
  </si>
  <si>
    <t>PRSMJOHNSN</t>
  </si>
  <si>
    <t>PRSMJ IN</t>
  </si>
  <si>
    <t>INE010A01011</t>
  </si>
  <si>
    <t>RTNINDIA</t>
  </si>
  <si>
    <t>RATI IN</t>
  </si>
  <si>
    <t>INE834M01019</t>
  </si>
  <si>
    <t>GARFIBRES</t>
  </si>
  <si>
    <t>GTFL IN</t>
  </si>
  <si>
    <t>INE276A01018</t>
  </si>
  <si>
    <t>SIS</t>
  </si>
  <si>
    <t>SECIS IN</t>
  </si>
  <si>
    <t>INE285J01028</t>
  </si>
  <si>
    <t>TEAMLEASE</t>
  </si>
  <si>
    <t>TEAM IN</t>
  </si>
  <si>
    <t>INE985S01024</t>
  </si>
  <si>
    <t>RENUKA</t>
  </si>
  <si>
    <t>SHRS IN</t>
  </si>
  <si>
    <t>INE087H01022</t>
  </si>
  <si>
    <t>OLECTRA</t>
  </si>
  <si>
    <t>OLECTRA IN</t>
  </si>
  <si>
    <t>INE260D01016</t>
  </si>
  <si>
    <t>HIKAL</t>
  </si>
  <si>
    <t>HKCI IN</t>
  </si>
  <si>
    <t>INE475B01022</t>
  </si>
  <si>
    <t>SUPPETRO</t>
  </si>
  <si>
    <t>SPPT IN</t>
  </si>
  <si>
    <t>INE663A01017</t>
  </si>
  <si>
    <t>NIITLTD</t>
  </si>
  <si>
    <t>NIIT IN</t>
  </si>
  <si>
    <t>INE161A01038</t>
  </si>
  <si>
    <t>EPL</t>
  </si>
  <si>
    <t>EPLL IN</t>
  </si>
  <si>
    <t>INE255A01020</t>
  </si>
  <si>
    <t>SCI</t>
  </si>
  <si>
    <t>SCI IN</t>
  </si>
  <si>
    <t>INE109A01011</t>
  </si>
  <si>
    <t>CERA</t>
  </si>
  <si>
    <t>CRS IN</t>
  </si>
  <si>
    <t>INE739E01017</t>
  </si>
  <si>
    <t>CAPLIPOINT</t>
  </si>
  <si>
    <t>CLPL IN</t>
  </si>
  <si>
    <t>INE475E01026</t>
  </si>
  <si>
    <t>RITES</t>
  </si>
  <si>
    <t>RITE IN</t>
  </si>
  <si>
    <t>INE320J01015</t>
  </si>
  <si>
    <t>HEG</t>
  </si>
  <si>
    <t>HEG IN</t>
  </si>
  <si>
    <t>INE545A01016</t>
  </si>
  <si>
    <t>SWSOLAR</t>
  </si>
  <si>
    <t>SWSOLAR IN</t>
  </si>
  <si>
    <t>INE00M201021</t>
  </si>
  <si>
    <t>PRAJIND</t>
  </si>
  <si>
    <t>PRJ IN</t>
  </si>
  <si>
    <t>INE074A01025</t>
  </si>
  <si>
    <t>SUPRAJIT</t>
  </si>
  <si>
    <t>SEL IN</t>
  </si>
  <si>
    <t>INE399C01030</t>
  </si>
  <si>
    <t>INDIACEM</t>
  </si>
  <si>
    <t>ICEM IN</t>
  </si>
  <si>
    <t>INE383A01012</t>
  </si>
  <si>
    <t>RHIM</t>
  </si>
  <si>
    <t>RHIM IN</t>
  </si>
  <si>
    <t>INE743M01012</t>
  </si>
  <si>
    <t>EKI IN</t>
  </si>
  <si>
    <t>INE0CPR01018</t>
  </si>
  <si>
    <t>GODFRYPHLP</t>
  </si>
  <si>
    <t>GP IN</t>
  </si>
  <si>
    <t>INE260B01028</t>
  </si>
  <si>
    <t>CCL</t>
  </si>
  <si>
    <t>CCLP IN</t>
  </si>
  <si>
    <t>INE421D01022</t>
  </si>
  <si>
    <t>POLYPLEX</t>
  </si>
  <si>
    <t>PPC IN</t>
  </si>
  <si>
    <t>INE633B01018</t>
  </si>
  <si>
    <t>GOCOLORS</t>
  </si>
  <si>
    <t>GOCOLORS IN</t>
  </si>
  <si>
    <t>INE0BJS01011</t>
  </si>
  <si>
    <t>TRITURBINE</t>
  </si>
  <si>
    <t>TRIV IN</t>
  </si>
  <si>
    <t>INE152M01016</t>
  </si>
  <si>
    <t>EASEMYTRIP</t>
  </si>
  <si>
    <t>EASEMYTR IN</t>
  </si>
  <si>
    <t>INE07O001018</t>
  </si>
  <si>
    <t>KRBL</t>
  </si>
  <si>
    <t>KRB IN</t>
  </si>
  <si>
    <t>INE001B01026</t>
  </si>
  <si>
    <t>VIJAYA</t>
  </si>
  <si>
    <t>VIJAYA IN</t>
  </si>
  <si>
    <t>INE043W01024</t>
  </si>
  <si>
    <t>TATVA</t>
  </si>
  <si>
    <t>TATVA IN</t>
  </si>
  <si>
    <t>INE0GK401011</t>
  </si>
  <si>
    <t>TCI</t>
  </si>
  <si>
    <t>TRPC IN</t>
  </si>
  <si>
    <t>INE688A01022</t>
  </si>
  <si>
    <t>APOLTRI IN</t>
  </si>
  <si>
    <t>INE919P01029</t>
  </si>
  <si>
    <t>BURGERKING</t>
  </si>
  <si>
    <t>BURGERKI IN</t>
  </si>
  <si>
    <t>INE07T201019</t>
  </si>
  <si>
    <t>JCHAC</t>
  </si>
  <si>
    <t>JCHAC IN</t>
  </si>
  <si>
    <t>INE782A01015</t>
  </si>
  <si>
    <t>MAZDOCK</t>
  </si>
  <si>
    <t>MAZDOCKS IN</t>
  </si>
  <si>
    <t>INE249Z01012</t>
  </si>
  <si>
    <t>KALPATPOWR</t>
  </si>
  <si>
    <t>KPP IN</t>
  </si>
  <si>
    <t>INE220B01022</t>
  </si>
  <si>
    <t>THYROCARE</t>
  </si>
  <si>
    <t>THYROCAR IN</t>
  </si>
  <si>
    <t>INE594H01019</t>
  </si>
  <si>
    <t>TRIVENI</t>
  </si>
  <si>
    <t>TRE IN</t>
  </si>
  <si>
    <t>INE256C01024</t>
  </si>
  <si>
    <t>INFIBEAM</t>
  </si>
  <si>
    <t>INFIBEAM IN</t>
  </si>
  <si>
    <t>INE483S01020</t>
  </si>
  <si>
    <t>GREENPANEL</t>
  </si>
  <si>
    <t>GREENP IN</t>
  </si>
  <si>
    <t>INE08ZM01014</t>
  </si>
  <si>
    <t>RALLIS</t>
  </si>
  <si>
    <t>RALI IN</t>
  </si>
  <si>
    <t>INE613A01020</t>
  </si>
  <si>
    <t>BARBEQUE</t>
  </si>
  <si>
    <t>BARBEQUE IN</t>
  </si>
  <si>
    <t>INE382M01027</t>
  </si>
  <si>
    <t>ESABINDIA</t>
  </si>
  <si>
    <t>ESAB IN</t>
  </si>
  <si>
    <t>INE284A01012</t>
  </si>
  <si>
    <t>JBMA</t>
  </si>
  <si>
    <t>JBMA IN</t>
  </si>
  <si>
    <t>INE927D01028</t>
  </si>
  <si>
    <t>JYOTHYLAB</t>
  </si>
  <si>
    <t>JYL IN</t>
  </si>
  <si>
    <t>INE668F01031</t>
  </si>
  <si>
    <t>VARROC</t>
  </si>
  <si>
    <t>VARROC IN</t>
  </si>
  <si>
    <t>INE665L01035</t>
  </si>
  <si>
    <t>HEIDELBERG</t>
  </si>
  <si>
    <t>HEIM IN</t>
  </si>
  <si>
    <t>INE578A01017</t>
  </si>
  <si>
    <t>FDC</t>
  </si>
  <si>
    <t>FDCLT IN</t>
  </si>
  <si>
    <t>INE258B01022</t>
  </si>
  <si>
    <t>CEATLTD</t>
  </si>
  <si>
    <t>CEAT IN</t>
  </si>
  <si>
    <t>INE482A01020</t>
  </si>
  <si>
    <t>TCNSBRANDS</t>
  </si>
  <si>
    <t>TCNSBR IN</t>
  </si>
  <si>
    <t>INE778U01029</t>
  </si>
  <si>
    <t>GSFC</t>
  </si>
  <si>
    <t>GSFC IN</t>
  </si>
  <si>
    <t>INE026A01025</t>
  </si>
  <si>
    <t>VSTIND</t>
  </si>
  <si>
    <t>VST IN</t>
  </si>
  <si>
    <t>INE710A01016</t>
  </si>
  <si>
    <t>MAHLOG</t>
  </si>
  <si>
    <t>MAHLOG IN</t>
  </si>
  <si>
    <t>INE766P01016</t>
  </si>
  <si>
    <t>ICIL</t>
  </si>
  <si>
    <t>ICNT IN</t>
  </si>
  <si>
    <t>INE483B01026</t>
  </si>
  <si>
    <t>AARTIDRUGS</t>
  </si>
  <si>
    <t>ARTD IN</t>
  </si>
  <si>
    <t>INE767A01016</t>
  </si>
  <si>
    <t>TEJASNET</t>
  </si>
  <si>
    <t>TEJASNET IN</t>
  </si>
  <si>
    <t>INE010J01012</t>
  </si>
  <si>
    <t>GPPL</t>
  </si>
  <si>
    <t>GPPV IN</t>
  </si>
  <si>
    <t>INE517F01014</t>
  </si>
  <si>
    <t>LAOPALA</t>
  </si>
  <si>
    <t>LOG IN</t>
  </si>
  <si>
    <t>INE059D01020</t>
  </si>
  <si>
    <t>CRAFTSMAN</t>
  </si>
  <si>
    <t>CRAFTSMA IN</t>
  </si>
  <si>
    <t>INE00LO01017</t>
  </si>
  <si>
    <t>SHILPAMED</t>
  </si>
  <si>
    <t>SLPA IN</t>
  </si>
  <si>
    <t>INE790G01031</t>
  </si>
  <si>
    <t>BOROLTD</t>
  </si>
  <si>
    <t>BOROLTD IN</t>
  </si>
  <si>
    <t>INE02PY01013</t>
  </si>
  <si>
    <t>WELCORP</t>
  </si>
  <si>
    <t>WLCO IN</t>
  </si>
  <si>
    <t>INE191B01025</t>
  </si>
  <si>
    <t>GUJALKALI</t>
  </si>
  <si>
    <t>GALK IN</t>
  </si>
  <si>
    <t>INE186A01019</t>
  </si>
  <si>
    <t>IFBIND</t>
  </si>
  <si>
    <t>IFBI IN</t>
  </si>
  <si>
    <t>INE559A01017</t>
  </si>
  <si>
    <t>JINDALPOLY</t>
  </si>
  <si>
    <t>JDPF IN</t>
  </si>
  <si>
    <t>INE197D01010</t>
  </si>
  <si>
    <t>RPOWER</t>
  </si>
  <si>
    <t>RPWR IN</t>
  </si>
  <si>
    <t>INE614G01033</t>
  </si>
  <si>
    <t>VAKRANGEE</t>
  </si>
  <si>
    <t>VKI IN</t>
  </si>
  <si>
    <t>INE051B01021</t>
  </si>
  <si>
    <t>DEEPAKFERT</t>
  </si>
  <si>
    <t>DFPC IN</t>
  </si>
  <si>
    <t>INE501A01019</t>
  </si>
  <si>
    <t>JSWHL</t>
  </si>
  <si>
    <t>SWH IN</t>
  </si>
  <si>
    <t>INE824G01012</t>
  </si>
  <si>
    <t>CHALET</t>
  </si>
  <si>
    <t>CHALET IN</t>
  </si>
  <si>
    <t>INE427F01016</t>
  </si>
  <si>
    <t>ISGEC</t>
  </si>
  <si>
    <t>IGSEC IN</t>
  </si>
  <si>
    <t>INE858B01029</t>
  </si>
  <si>
    <t>TEGA</t>
  </si>
  <si>
    <t>TEGA IN</t>
  </si>
  <si>
    <t>INE011K01018</t>
  </si>
  <si>
    <t>BHARATRAS</t>
  </si>
  <si>
    <t>BRSN IN</t>
  </si>
  <si>
    <t>INE838B01013</t>
  </si>
  <si>
    <t>COCHINSHIP</t>
  </si>
  <si>
    <t>COCHIN IN</t>
  </si>
  <si>
    <t>INE704P01017</t>
  </si>
  <si>
    <t>JINDWORLD</t>
  </si>
  <si>
    <t>JINW IN</t>
  </si>
  <si>
    <t>INE247D01039</t>
  </si>
  <si>
    <t>JPPOWER</t>
  </si>
  <si>
    <t>JPVL IN</t>
  </si>
  <si>
    <t>INE351F01018</t>
  </si>
  <si>
    <t>PDSMFL</t>
  </si>
  <si>
    <t>PMFL IN</t>
  </si>
  <si>
    <t>INE111Q01013</t>
  </si>
  <si>
    <t>WOCKPHARMA</t>
  </si>
  <si>
    <t>WPL IN</t>
  </si>
  <si>
    <t>INE049B01025</t>
  </si>
  <si>
    <t>GESHIP</t>
  </si>
  <si>
    <t>GESCO IN</t>
  </si>
  <si>
    <t>INE017A01032</t>
  </si>
  <si>
    <t>MOIL</t>
  </si>
  <si>
    <t>MOIL IN</t>
  </si>
  <si>
    <t>INE490G01020</t>
  </si>
  <si>
    <t>MAHSCOOTER</t>
  </si>
  <si>
    <t>MHSC IN</t>
  </si>
  <si>
    <t>INE288A01013</t>
  </si>
  <si>
    <t>INOXLEISUR</t>
  </si>
  <si>
    <t>INOL IN</t>
  </si>
  <si>
    <t>INE312H01016</t>
  </si>
  <si>
    <t>PHILIPCARB</t>
  </si>
  <si>
    <t>PHCB IN</t>
  </si>
  <si>
    <t>INE602A01023</t>
  </si>
  <si>
    <t>NCC</t>
  </si>
  <si>
    <t>NJCC IN</t>
  </si>
  <si>
    <t>INE868B01028</t>
  </si>
  <si>
    <t>GREENLAM</t>
  </si>
  <si>
    <t>GRLM IN</t>
  </si>
  <si>
    <t>INE544R01013</t>
  </si>
  <si>
    <t>IRCON</t>
  </si>
  <si>
    <t>IRCON IN</t>
  </si>
  <si>
    <t>INE962Y01021</t>
  </si>
  <si>
    <t>KSB</t>
  </si>
  <si>
    <t>KSB IN</t>
  </si>
  <si>
    <t>INE999A01015</t>
  </si>
  <si>
    <t>JAMNAAUTO</t>
  </si>
  <si>
    <t>JMNA IN</t>
  </si>
  <si>
    <t>INE039C01032</t>
  </si>
  <si>
    <t>RAYMOND</t>
  </si>
  <si>
    <t>RW IN</t>
  </si>
  <si>
    <t>INE301A01014</t>
  </si>
  <si>
    <t>NESCO</t>
  </si>
  <si>
    <t>NSE IN</t>
  </si>
  <si>
    <t>INE317F01035</t>
  </si>
  <si>
    <t>SPICEJET</t>
  </si>
  <si>
    <t>SJET IN</t>
  </si>
  <si>
    <t>INE285B01017</t>
  </si>
  <si>
    <t>RELIGARE</t>
  </si>
  <si>
    <t>RELG IN</t>
  </si>
  <si>
    <t>INE621H01010</t>
  </si>
  <si>
    <t>STAR</t>
  </si>
  <si>
    <t>STR IN</t>
  </si>
  <si>
    <t>INE939A01011</t>
  </si>
  <si>
    <t>RCF</t>
  </si>
  <si>
    <t>RCF IN</t>
  </si>
  <si>
    <t>INE027A01015</t>
  </si>
  <si>
    <t>INDOCO</t>
  </si>
  <si>
    <t>INDR IN</t>
  </si>
  <si>
    <t>INE873D01024</t>
  </si>
  <si>
    <t>HNDFDS</t>
  </si>
  <si>
    <t>HFD IN</t>
  </si>
  <si>
    <t>INE254N01018</t>
  </si>
  <si>
    <t>SEQUENT</t>
  </si>
  <si>
    <t>SEQ IN</t>
  </si>
  <si>
    <t>INE807F01027</t>
  </si>
  <si>
    <t>RATEGAIN</t>
  </si>
  <si>
    <t>RATEGAIN IN</t>
  </si>
  <si>
    <t>INE0CLI01024</t>
  </si>
  <si>
    <t>CSBBANK</t>
  </si>
  <si>
    <t>CSBBANK IN</t>
  </si>
  <si>
    <t>INE679A01013</t>
  </si>
  <si>
    <t>NEWGEN</t>
  </si>
  <si>
    <t>NEWGEN IN</t>
  </si>
  <si>
    <t>INE619B01017</t>
  </si>
  <si>
    <t>MINDACORP</t>
  </si>
  <si>
    <t>MDA IN</t>
  </si>
  <si>
    <t>INE842C01021</t>
  </si>
  <si>
    <t>TATACOFFEE</t>
  </si>
  <si>
    <t>TCO IN</t>
  </si>
  <si>
    <t>INE493A01027</t>
  </si>
  <si>
    <t>ENGINERSIN</t>
  </si>
  <si>
    <t>ENGR IN</t>
  </si>
  <si>
    <t>INE510A01028</t>
  </si>
  <si>
    <t>SANSERA</t>
  </si>
  <si>
    <t>SANSERA IN</t>
  </si>
  <si>
    <t>INE953O01021</t>
  </si>
  <si>
    <t>VRLLOG</t>
  </si>
  <si>
    <t>VRLL IN</t>
  </si>
  <si>
    <t>INE366I01010</t>
  </si>
  <si>
    <t>RSYSTEMS</t>
  </si>
  <si>
    <t>RSYS IN</t>
  </si>
  <si>
    <t>INE411H01032</t>
  </si>
  <si>
    <t>SUDARSCHEM</t>
  </si>
  <si>
    <t>SCHI IN</t>
  </si>
  <si>
    <t>INE659A01023</t>
  </si>
  <si>
    <t>KENNAMET</t>
  </si>
  <si>
    <t>KNM IN</t>
  </si>
  <si>
    <t>INE717A01029</t>
  </si>
  <si>
    <t>CARTRADE</t>
  </si>
  <si>
    <t>CARTRADE IN</t>
  </si>
  <si>
    <t>INE290S01011</t>
  </si>
  <si>
    <t>NEOGEN</t>
  </si>
  <si>
    <t>NEOGEN IN</t>
  </si>
  <si>
    <t>INE136S01016</t>
  </si>
  <si>
    <t>HGINFRA</t>
  </si>
  <si>
    <t>HGINFRA IN</t>
  </si>
  <si>
    <t>INE926X01010</t>
  </si>
  <si>
    <t>HATHWAY</t>
  </si>
  <si>
    <t>HATH IN</t>
  </si>
  <si>
    <t>INE982F01036</t>
  </si>
  <si>
    <t>STARCEMENT</t>
  </si>
  <si>
    <t>STRCEM IN</t>
  </si>
  <si>
    <t>INE460H01021</t>
  </si>
  <si>
    <t>EQUITAS</t>
  </si>
  <si>
    <t>EQUITAS IN</t>
  </si>
  <si>
    <t>INE988K01017</t>
  </si>
  <si>
    <t>DATAPATTNS</t>
  </si>
  <si>
    <t>DATAPATT IN</t>
  </si>
  <si>
    <t>INE0IX101010</t>
  </si>
  <si>
    <t>MHRIL</t>
  </si>
  <si>
    <t>MHRL IN</t>
  </si>
  <si>
    <t>INE998I01010</t>
  </si>
  <si>
    <t>NOCIL</t>
  </si>
  <si>
    <t>NOCIL IN</t>
  </si>
  <si>
    <t>INE163A01018</t>
  </si>
  <si>
    <t>GAEL</t>
  </si>
  <si>
    <t>GAEX IN</t>
  </si>
  <si>
    <t>INE036B01030</t>
  </si>
  <si>
    <t>VENKEYS</t>
  </si>
  <si>
    <t>WH IN</t>
  </si>
  <si>
    <t>INE398A01010</t>
  </si>
  <si>
    <t>RAILTEL</t>
  </si>
  <si>
    <t>RAILTEL IN</t>
  </si>
  <si>
    <t>INE0DD101019</t>
  </si>
  <si>
    <t>UFLEX</t>
  </si>
  <si>
    <t>UFLX IN</t>
  </si>
  <si>
    <t>INE516A01017</t>
  </si>
  <si>
    <t>SOLARA</t>
  </si>
  <si>
    <t>SOLARA IN</t>
  </si>
  <si>
    <t>INE624Z01016</t>
  </si>
  <si>
    <t>MANINFRA</t>
  </si>
  <si>
    <t>MINF IN</t>
  </si>
  <si>
    <t>INE949H01023</t>
  </si>
  <si>
    <t>SHOPERSTOP</t>
  </si>
  <si>
    <t>SHOP IN</t>
  </si>
  <si>
    <t>INE498B01024</t>
  </si>
  <si>
    <t>SWANENERGY</t>
  </si>
  <si>
    <t>SWAN IN</t>
  </si>
  <si>
    <t>INE665A01038</t>
  </si>
  <si>
    <t>GDL</t>
  </si>
  <si>
    <t>GDPL IN</t>
  </si>
  <si>
    <t>INE852F01015</t>
  </si>
  <si>
    <t>IPL</t>
  </si>
  <si>
    <t>IPL IN</t>
  </si>
  <si>
    <t>INE0D6701023</t>
  </si>
  <si>
    <t>INGERRAND</t>
  </si>
  <si>
    <t>INGR IN</t>
  </si>
  <si>
    <t>INE177A01018</t>
  </si>
  <si>
    <t>NILKAMAL</t>
  </si>
  <si>
    <t>NILK IN</t>
  </si>
  <si>
    <t>INE310A01015</t>
  </si>
  <si>
    <t>ARVINDFASN</t>
  </si>
  <si>
    <t>ARVINDFA IN</t>
  </si>
  <si>
    <t>INE955V01021</t>
  </si>
  <si>
    <t>ADVENZYMES</t>
  </si>
  <si>
    <t>ADVENZY IN</t>
  </si>
  <si>
    <t>INE837H01020</t>
  </si>
  <si>
    <t>DISHTV</t>
  </si>
  <si>
    <t>DITV IN</t>
  </si>
  <si>
    <t>INE836F01026</t>
  </si>
  <si>
    <t>HEMIPROP</t>
  </si>
  <si>
    <t>HEMIPROP IN</t>
  </si>
  <si>
    <t>INE0AJG01018</t>
  </si>
  <si>
    <t>LEMONTREE</t>
  </si>
  <si>
    <t>LEMONTRE IN</t>
  </si>
  <si>
    <t>INE970X01018</t>
  </si>
  <si>
    <t>SOMANYCERA</t>
  </si>
  <si>
    <t>SOMC IN</t>
  </si>
  <si>
    <t>INE355A01028</t>
  </si>
  <si>
    <t>KARURVYSYA</t>
  </si>
  <si>
    <t>KVB IN</t>
  </si>
  <si>
    <t>INE036D01028</t>
  </si>
  <si>
    <t>AMIORG</t>
  </si>
  <si>
    <t>AMIORG IN</t>
  </si>
  <si>
    <t>INE00FF01017</t>
  </si>
  <si>
    <t>MASFIN</t>
  </si>
  <si>
    <t>MASFIN IN</t>
  </si>
  <si>
    <t>INE348L01012</t>
  </si>
  <si>
    <t>IFCI</t>
  </si>
  <si>
    <t>IFCI IN</t>
  </si>
  <si>
    <t>INE039A01010</t>
  </si>
  <si>
    <t>GHCL</t>
  </si>
  <si>
    <t>GHCL IN</t>
  </si>
  <si>
    <t>INE539A01019</t>
  </si>
  <si>
    <t>RTNPOWER</t>
  </si>
  <si>
    <t>RTPOW IN</t>
  </si>
  <si>
    <t>INE399K01017</t>
  </si>
  <si>
    <t>JKTYRE</t>
  </si>
  <si>
    <t>JKI IN</t>
  </si>
  <si>
    <t>INE573A01042</t>
  </si>
  <si>
    <t>GLOBUSSPR</t>
  </si>
  <si>
    <t>GBSL IN</t>
  </si>
  <si>
    <t>INE615I01010</t>
  </si>
  <si>
    <t>MAHLIFE</t>
  </si>
  <si>
    <t>MLIFE IN</t>
  </si>
  <si>
    <t>INE813A01018</t>
  </si>
  <si>
    <t>GRMO IN</t>
  </si>
  <si>
    <t>INE192H01020</t>
  </si>
  <si>
    <t>GPIL</t>
  </si>
  <si>
    <t>GODPI IN</t>
  </si>
  <si>
    <t>INE177H01021</t>
  </si>
  <si>
    <t>JKPAPER</t>
  </si>
  <si>
    <t>JKPAPER IN</t>
  </si>
  <si>
    <t>INE789E01012</t>
  </si>
  <si>
    <t>RGVS IN</t>
  </si>
  <si>
    <t>INE969C01022</t>
  </si>
  <si>
    <t>TARSONS</t>
  </si>
  <si>
    <t>TARSONS IN</t>
  </si>
  <si>
    <t>INE144Z01023</t>
  </si>
  <si>
    <t>HMT</t>
  </si>
  <si>
    <t>HMT IN</t>
  </si>
  <si>
    <t>INE262A01018</t>
  </si>
  <si>
    <t>SHAREINDIA</t>
  </si>
  <si>
    <t>SISLTD IN</t>
  </si>
  <si>
    <t>INE932X01018</t>
  </si>
  <si>
    <t>DHANUKA</t>
  </si>
  <si>
    <t>DAGRI IN</t>
  </si>
  <si>
    <t>INE435G01025</t>
  </si>
  <si>
    <t>STLL IN</t>
  </si>
  <si>
    <t>INE325D01017</t>
  </si>
  <si>
    <t>HIL</t>
  </si>
  <si>
    <t>HIL IN</t>
  </si>
  <si>
    <t>INE557A01011</t>
  </si>
  <si>
    <t>MAHSEAMLES</t>
  </si>
  <si>
    <t>MHS IN</t>
  </si>
  <si>
    <t>INE271B01025</t>
  </si>
  <si>
    <t>J&amp;KBANK</t>
  </si>
  <si>
    <t>JKBK IN</t>
  </si>
  <si>
    <t>INE168A01041</t>
  </si>
  <si>
    <t>MIDHANI</t>
  </si>
  <si>
    <t>MIDHANI IN</t>
  </si>
  <si>
    <t>INE099Z01011</t>
  </si>
  <si>
    <t>NIRLON</t>
  </si>
  <si>
    <t>NIRL IN</t>
  </si>
  <si>
    <t>INE910A01012</t>
  </si>
  <si>
    <t>SURYAROSNI</t>
  </si>
  <si>
    <t>SYR IN</t>
  </si>
  <si>
    <t>INE335A01012</t>
  </si>
  <si>
    <t>ORIENTCEM</t>
  </si>
  <si>
    <t>ORCMNT IN</t>
  </si>
  <si>
    <t>INE876N01018</t>
  </si>
  <si>
    <t>TASTYBITE</t>
  </si>
  <si>
    <t>TSTY IN</t>
  </si>
  <si>
    <t>INE488B01017</t>
  </si>
  <si>
    <t>ICRA</t>
  </si>
  <si>
    <t>ICRA IN</t>
  </si>
  <si>
    <t>INE725G01011</t>
  </si>
  <si>
    <t>GET&amp;D</t>
  </si>
  <si>
    <t>GETD IN</t>
  </si>
  <si>
    <t>INE200A01026</t>
  </si>
  <si>
    <t>TATASTLLP</t>
  </si>
  <si>
    <t>TATASLPL IN</t>
  </si>
  <si>
    <t>INE674A01014</t>
  </si>
  <si>
    <t>BANARISUG</t>
  </si>
  <si>
    <t>BNRI IN</t>
  </si>
  <si>
    <t>INE459A01010</t>
  </si>
  <si>
    <t>RUPA</t>
  </si>
  <si>
    <t>RUPA IN</t>
  </si>
  <si>
    <t>INE895B01021</t>
  </si>
  <si>
    <t>LLOYDMETAL</t>
  </si>
  <si>
    <t>LYDM IN</t>
  </si>
  <si>
    <t>INE281B01032</t>
  </si>
  <si>
    <t>Dodla Dairy Ltd</t>
  </si>
  <si>
    <t>DODLA</t>
  </si>
  <si>
    <t>DODLA IN</t>
  </si>
  <si>
    <t>INE021O01019</t>
  </si>
  <si>
    <t>PURVA</t>
  </si>
  <si>
    <t>PURVA IN</t>
  </si>
  <si>
    <t>INE323I01011</t>
  </si>
  <si>
    <t>FINOPB</t>
  </si>
  <si>
    <t>FINOPB IN</t>
  </si>
  <si>
    <t>INE02NC01014</t>
  </si>
  <si>
    <t>GREAVESCOT</t>
  </si>
  <si>
    <t>GRV IN</t>
  </si>
  <si>
    <t>INE224A01026</t>
  </si>
  <si>
    <t>INDOSTAR</t>
  </si>
  <si>
    <t>INDOSTAR IN</t>
  </si>
  <si>
    <t>INE896L01010</t>
  </si>
  <si>
    <t>JINDALSAW</t>
  </si>
  <si>
    <t>JSAW IN</t>
  </si>
  <si>
    <t>INE324A01024</t>
  </si>
  <si>
    <t>UJJIVANSFB</t>
  </si>
  <si>
    <t>UJJIVANS IN</t>
  </si>
  <si>
    <t>INE551W01018</t>
  </si>
  <si>
    <t>HCG</t>
  </si>
  <si>
    <t>HCG IN</t>
  </si>
  <si>
    <t>INE075I01017</t>
  </si>
  <si>
    <t>PTC</t>
  </si>
  <si>
    <t>PTCIN IN</t>
  </si>
  <si>
    <t>INE877F01012</t>
  </si>
  <si>
    <t>KSCL</t>
  </si>
  <si>
    <t>KSCL IN</t>
  </si>
  <si>
    <t>INE455I01029</t>
  </si>
  <si>
    <t>Meghmani Finechem Ltd</t>
  </si>
  <si>
    <t>MFL</t>
  </si>
  <si>
    <t>MEGHFL IN</t>
  </si>
  <si>
    <t>INE071N01016</t>
  </si>
  <si>
    <t>SUPRIYA</t>
  </si>
  <si>
    <t>SUPRIYA IN</t>
  </si>
  <si>
    <t>INE07RO01027</t>
  </si>
  <si>
    <t>STOVEKRAFT</t>
  </si>
  <si>
    <t>STOVEKRA IN</t>
  </si>
  <si>
    <t>INE00IN01015</t>
  </si>
  <si>
    <t>SAGCEM</t>
  </si>
  <si>
    <t>SGC IN</t>
  </si>
  <si>
    <t>INE229C01021</t>
  </si>
  <si>
    <t>HAWKINCOOK</t>
  </si>
  <si>
    <t>HAWK IN</t>
  </si>
  <si>
    <t>INE979B01015</t>
  </si>
  <si>
    <t>DCAL</t>
  </si>
  <si>
    <t>DCAL IN</t>
  </si>
  <si>
    <t>INE385W01011</t>
  </si>
  <si>
    <t>Rolex Rings Ltd</t>
  </si>
  <si>
    <t>ROLEXRINGS</t>
  </si>
  <si>
    <t>ROLEXRIN IN</t>
  </si>
  <si>
    <t>INE645S01016</t>
  </si>
  <si>
    <t>IONEXCHANG</t>
  </si>
  <si>
    <t>ION IN</t>
  </si>
  <si>
    <t>INE570A01014</t>
  </si>
  <si>
    <t>DALMIASUG</t>
  </si>
  <si>
    <t>DCB IN</t>
  </si>
  <si>
    <t>INE495A01022</t>
  </si>
  <si>
    <t>ITDC</t>
  </si>
  <si>
    <t>ITDC IN</t>
  </si>
  <si>
    <t>INE353K01014</t>
  </si>
  <si>
    <t>SHARDACROP</t>
  </si>
  <si>
    <t>SHCR IN</t>
  </si>
  <si>
    <t>INE221J01015</t>
  </si>
  <si>
    <t>SHIL</t>
  </si>
  <si>
    <t>SHILL IN</t>
  </si>
  <si>
    <t>INE05AN01011</t>
  </si>
  <si>
    <t>ARVIND</t>
  </si>
  <si>
    <t>ARVND IN</t>
  </si>
  <si>
    <t>INE034A01011</t>
  </si>
  <si>
    <t>RKFORGE</t>
  </si>
  <si>
    <t>RMKF IN</t>
  </si>
  <si>
    <t>INE399G01015</t>
  </si>
  <si>
    <t>SUBEXLTD</t>
  </si>
  <si>
    <t>SUBX IN</t>
  </si>
  <si>
    <t>INE754A01055</t>
  </si>
  <si>
    <t>APARINDS</t>
  </si>
  <si>
    <t>APR IN</t>
  </si>
  <si>
    <t>INE372A01015</t>
  </si>
  <si>
    <t>GTPL</t>
  </si>
  <si>
    <t>GTPL IN</t>
  </si>
  <si>
    <t>INE869I01013</t>
  </si>
  <si>
    <t>BAJAJCON</t>
  </si>
  <si>
    <t>BAJAJCON IN</t>
  </si>
  <si>
    <t>INE933K01021</t>
  </si>
  <si>
    <t>PARAS</t>
  </si>
  <si>
    <t>PARAS IN</t>
  </si>
  <si>
    <t>INE045601015</t>
  </si>
  <si>
    <t>AUIN IN</t>
  </si>
  <si>
    <t>INE206F01022</t>
  </si>
  <si>
    <t>SPANDANA</t>
  </si>
  <si>
    <t>SPANDANA IN</t>
  </si>
  <si>
    <t>INE572J01011</t>
  </si>
  <si>
    <t>PAUS IN</t>
  </si>
  <si>
    <t>INE111F01016</t>
  </si>
  <si>
    <t>DRBECK</t>
  </si>
  <si>
    <t>EBECK IN</t>
  </si>
  <si>
    <t>INE280B01018</t>
  </si>
  <si>
    <t>ASTEC</t>
  </si>
  <si>
    <t>ASTEL IN</t>
  </si>
  <si>
    <t>INE563J01010</t>
  </si>
  <si>
    <t>RESPONIND</t>
  </si>
  <si>
    <t>RESP IN</t>
  </si>
  <si>
    <t>INE688D01026</t>
  </si>
  <si>
    <t>KGKHOSLA</t>
  </si>
  <si>
    <t>KKPC IN</t>
  </si>
  <si>
    <t>INE811A01020</t>
  </si>
  <si>
    <t>TINPLATE</t>
  </si>
  <si>
    <t>TPC IN</t>
  </si>
  <si>
    <t>INE422C01014</t>
  </si>
  <si>
    <t>KIRLFER</t>
  </si>
  <si>
    <t>KKF IN</t>
  </si>
  <si>
    <t>INE884B01025</t>
  </si>
  <si>
    <t>MOL</t>
  </si>
  <si>
    <t>MEGH IN</t>
  </si>
  <si>
    <t>INE0CT101020</t>
  </si>
  <si>
    <t>MAITHANALL</t>
  </si>
  <si>
    <t>MAIT IN</t>
  </si>
  <si>
    <t>INE683C01011</t>
  </si>
  <si>
    <t>PTIN IN</t>
  </si>
  <si>
    <t>INE596F01018</t>
  </si>
  <si>
    <t>VALIANTORG</t>
  </si>
  <si>
    <t>VORG IN</t>
  </si>
  <si>
    <t>INE565V01010</t>
  </si>
  <si>
    <t>SARDAEN</t>
  </si>
  <si>
    <t>SEML IN</t>
  </si>
  <si>
    <t>INE385C01013</t>
  </si>
  <si>
    <t>ASHOKA</t>
  </si>
  <si>
    <t>ASBL IN</t>
  </si>
  <si>
    <t>INE442H01029</t>
  </si>
  <si>
    <t>PAISALO</t>
  </si>
  <si>
    <t>PAISALO IN</t>
  </si>
  <si>
    <t>INE420C01042</t>
  </si>
  <si>
    <t>BEPL</t>
  </si>
  <si>
    <t>BEPL IN</t>
  </si>
  <si>
    <t>INE922A01025</t>
  </si>
  <si>
    <t>IOLCP</t>
  </si>
  <si>
    <t>ICP IN</t>
  </si>
  <si>
    <t>INE485C01011</t>
  </si>
  <si>
    <t>ALEMBICLTD</t>
  </si>
  <si>
    <t>ALBC IN</t>
  </si>
  <si>
    <t>INE426A01027</t>
  </si>
  <si>
    <t>AHLUCONT</t>
  </si>
  <si>
    <t>AHLU IN</t>
  </si>
  <si>
    <t>INE758C01029</t>
  </si>
  <si>
    <t>USHAMART</t>
  </si>
  <si>
    <t>USM IN</t>
  </si>
  <si>
    <t>INE228A01035</t>
  </si>
  <si>
    <t>INOXWIND</t>
  </si>
  <si>
    <t>INXW IN</t>
  </si>
  <si>
    <t>INE066P01011</t>
  </si>
  <si>
    <t>SEAMECLTD</t>
  </si>
  <si>
    <t>SEAM IN</t>
  </si>
  <si>
    <t>INE497B01018</t>
  </si>
  <si>
    <t>FRETAIL</t>
  </si>
  <si>
    <t>FRETAIL IN</t>
  </si>
  <si>
    <t>INE752P01024</t>
  </si>
  <si>
    <t>KIRLOSBROS</t>
  </si>
  <si>
    <t>KKB IN</t>
  </si>
  <si>
    <t>INE732A01036</t>
  </si>
  <si>
    <t>IIFLSEC</t>
  </si>
  <si>
    <t>IIFLSEC IN</t>
  </si>
  <si>
    <t>INE489L01022</t>
  </si>
  <si>
    <t>AMRUTANJAN</t>
  </si>
  <si>
    <t>ARJN IN</t>
  </si>
  <si>
    <t>INE098F01031</t>
  </si>
  <si>
    <t>BBOX</t>
  </si>
  <si>
    <t>AGC IN</t>
  </si>
  <si>
    <t>INE676A01019</t>
  </si>
  <si>
    <t>TATAMETALI</t>
  </si>
  <si>
    <t>TML IN</t>
  </si>
  <si>
    <t>INE056C01010</t>
  </si>
  <si>
    <t>OPTIEMUS</t>
  </si>
  <si>
    <t>OPIL IN</t>
  </si>
  <si>
    <t>INE350C01017</t>
  </si>
  <si>
    <t>HERANBA</t>
  </si>
  <si>
    <t>HERANBA IN</t>
  </si>
  <si>
    <t>INE694N01015</t>
  </si>
  <si>
    <t>TECHNOE</t>
  </si>
  <si>
    <t>TECHNOE IN</t>
  </si>
  <si>
    <t>INE285K01026</t>
  </si>
  <si>
    <t>SSWL</t>
  </si>
  <si>
    <t>SSW IN</t>
  </si>
  <si>
    <t>INE802C01025</t>
  </si>
  <si>
    <t>ACE</t>
  </si>
  <si>
    <t>ACCE IN</t>
  </si>
  <si>
    <t>INE731H01025</t>
  </si>
  <si>
    <t>COSMOFILMS</t>
  </si>
  <si>
    <t>CFLM IN</t>
  </si>
  <si>
    <t>INE757A01017</t>
  </si>
  <si>
    <t>KIRLOSENG</t>
  </si>
  <si>
    <t>KOEL IN</t>
  </si>
  <si>
    <t>INE146L01010</t>
  </si>
  <si>
    <t>TIDEWATER</t>
  </si>
  <si>
    <t>TWO IN</t>
  </si>
  <si>
    <t>INE484C01030</t>
  </si>
  <si>
    <t>IMFA</t>
  </si>
  <si>
    <t>IMFA IN</t>
  </si>
  <si>
    <t>INE919H01018</t>
  </si>
  <si>
    <t>TVTODAY</t>
  </si>
  <si>
    <t>TVTN IN</t>
  </si>
  <si>
    <t>INE038F01029</t>
  </si>
  <si>
    <t>MOREPENLAB</t>
  </si>
  <si>
    <t>MORE IN</t>
  </si>
  <si>
    <t>INE083A01026</t>
  </si>
  <si>
    <t>HCC</t>
  </si>
  <si>
    <t>HCC IN</t>
  </si>
  <si>
    <t>INE549A01026</t>
  </si>
  <si>
    <t>JPASSOCIAT</t>
  </si>
  <si>
    <t>JPA IN</t>
  </si>
  <si>
    <t>INE455F01025</t>
  </si>
  <si>
    <t>RELINFRA</t>
  </si>
  <si>
    <t>RELI IN</t>
  </si>
  <si>
    <t>INE036A01016</t>
  </si>
  <si>
    <t>SCHNEIDER</t>
  </si>
  <si>
    <t>SCHN IN</t>
  </si>
  <si>
    <t>INE839M01018</t>
  </si>
  <si>
    <t>MAYURUNIQ</t>
  </si>
  <si>
    <t>MUNI IN</t>
  </si>
  <si>
    <t>INE040D01038</t>
  </si>
  <si>
    <t>NFL</t>
  </si>
  <si>
    <t>NFL IN</t>
  </si>
  <si>
    <t>INE870D01012</t>
  </si>
  <si>
    <t>GREENPLY</t>
  </si>
  <si>
    <t>MTLM IN</t>
  </si>
  <si>
    <t>INE461C01038</t>
  </si>
  <si>
    <t>DAAWAT</t>
  </si>
  <si>
    <t>LTFO IN</t>
  </si>
  <si>
    <t>INE818H01020</t>
  </si>
  <si>
    <t>GTLINFRA</t>
  </si>
  <si>
    <t>GTLI IN</t>
  </si>
  <si>
    <t>INE221H01019</t>
  </si>
  <si>
    <t>DCBBANK</t>
  </si>
  <si>
    <t>DCBB IN</t>
  </si>
  <si>
    <t>INE503A01015</t>
  </si>
  <si>
    <t>MARKSANS</t>
  </si>
  <si>
    <t>MRKS IN</t>
  </si>
  <si>
    <t>INE750C01026</t>
  </si>
  <si>
    <t>MTNL</t>
  </si>
  <si>
    <t>MTNL IN</t>
  </si>
  <si>
    <t>INE153A01019</t>
  </si>
  <si>
    <t>GRSE</t>
  </si>
  <si>
    <t>GRSE IN</t>
  </si>
  <si>
    <t>INE382Z01011</t>
  </si>
  <si>
    <t>HINDOILEXP</t>
  </si>
  <si>
    <t>HOE IN</t>
  </si>
  <si>
    <t>INE345A01011</t>
  </si>
  <si>
    <t>BENG IN</t>
  </si>
  <si>
    <t>INE083K01017</t>
  </si>
  <si>
    <t>MOLDTKPAC</t>
  </si>
  <si>
    <t>MTEP IN</t>
  </si>
  <si>
    <t>INE893J01029</t>
  </si>
  <si>
    <t>INDIAGLYCO</t>
  </si>
  <si>
    <t>IGLY IN</t>
  </si>
  <si>
    <t>INE560A01015</t>
  </si>
  <si>
    <t>INEOSSTYRO</t>
  </si>
  <si>
    <t>INEOS IN</t>
  </si>
  <si>
    <t>INE189B01011</t>
  </si>
  <si>
    <t>ANANDRATHI</t>
  </si>
  <si>
    <t>ANANDRAT IN</t>
  </si>
  <si>
    <t>INE463V01026</t>
  </si>
  <si>
    <t>DOLLAR</t>
  </si>
  <si>
    <t>DOLLAR IN</t>
  </si>
  <si>
    <t>INE325C01035</t>
  </si>
  <si>
    <t>GATI</t>
  </si>
  <si>
    <t>GTIC IN</t>
  </si>
  <si>
    <t>INE152B01027</t>
  </si>
  <si>
    <t>OAL</t>
  </si>
  <si>
    <t>OAL IN</t>
  </si>
  <si>
    <t>INE959C01023</t>
  </si>
  <si>
    <t>TIRUMALCHM</t>
  </si>
  <si>
    <t>TMC IN</t>
  </si>
  <si>
    <t>INE338A01024</t>
  </si>
  <si>
    <t>JAYNECOIND</t>
  </si>
  <si>
    <t>NGE IN</t>
  </si>
  <si>
    <t>INE854B01010</t>
  </si>
  <si>
    <t>SUBROS</t>
  </si>
  <si>
    <t>SUBR IN</t>
  </si>
  <si>
    <t>INE287B01021</t>
  </si>
  <si>
    <t>VSTTILLERS</t>
  </si>
  <si>
    <t>VSTT IN</t>
  </si>
  <si>
    <t>INE764D01017</t>
  </si>
  <si>
    <t>SHARDAMOTR</t>
  </si>
  <si>
    <t>SHMO IN</t>
  </si>
  <si>
    <t>INE597I01028</t>
  </si>
  <si>
    <t>BOMDYEING</t>
  </si>
  <si>
    <t>BD IN</t>
  </si>
  <si>
    <t>INE032A01023</t>
  </si>
  <si>
    <t>MSTCLTD</t>
  </si>
  <si>
    <t>MSTCLTD IN</t>
  </si>
  <si>
    <t>INE255X01014</t>
  </si>
  <si>
    <t>GUFICBIO</t>
  </si>
  <si>
    <t>CF IN</t>
  </si>
  <si>
    <t>INE742B01025</t>
  </si>
  <si>
    <t>EKC</t>
  </si>
  <si>
    <t>EKCL IN</t>
  </si>
  <si>
    <t>INE184H01027</t>
  </si>
  <si>
    <t>ATFL</t>
  </si>
  <si>
    <t>ATFL IN</t>
  </si>
  <si>
    <t>INE209A01019</t>
  </si>
  <si>
    <t>TIPSINDLTD</t>
  </si>
  <si>
    <t>TPS IN</t>
  </si>
  <si>
    <t>INE716B01011</t>
  </si>
  <si>
    <t>SMIO IN</t>
  </si>
  <si>
    <t>INE149K01016</t>
  </si>
  <si>
    <t>THOMASCOOK</t>
  </si>
  <si>
    <t>TC IN</t>
  </si>
  <si>
    <t>INE332A01027</t>
  </si>
  <si>
    <t>BESTAGRO</t>
  </si>
  <si>
    <t>SAHYOG IN</t>
  </si>
  <si>
    <t>INE052T01013</t>
  </si>
  <si>
    <t>GMDCLTD</t>
  </si>
  <si>
    <t>GMDC IN</t>
  </si>
  <si>
    <t>INE131A01031</t>
  </si>
  <si>
    <t>KOLTEPATIL</t>
  </si>
  <si>
    <t>KPDL IN</t>
  </si>
  <si>
    <t>INE094I01018</t>
  </si>
  <si>
    <t>ACRYSIL</t>
  </si>
  <si>
    <t>ACRY IN</t>
  </si>
  <si>
    <t>INE482D01024</t>
  </si>
  <si>
    <t>POKARNA</t>
  </si>
  <si>
    <t>POKR IN</t>
  </si>
  <si>
    <t>INE637C01025</t>
  </si>
  <si>
    <t>JAICORPLTD</t>
  </si>
  <si>
    <t>JFI IN</t>
  </si>
  <si>
    <t>INE070D01027</t>
  </si>
  <si>
    <t>GOODYEAR</t>
  </si>
  <si>
    <t>GDYR IN</t>
  </si>
  <si>
    <t>INE533A01012</t>
  </si>
  <si>
    <t>ANANTRAJ</t>
  </si>
  <si>
    <t>ARCP IN</t>
  </si>
  <si>
    <t>INE242C01024</t>
  </si>
  <si>
    <t>HIMATSEIDE</t>
  </si>
  <si>
    <t>HSS IN</t>
  </si>
  <si>
    <t>INE049A01027</t>
  </si>
  <si>
    <t>JTEKTINDIA</t>
  </si>
  <si>
    <t>JTEKT IN</t>
  </si>
  <si>
    <t>INE643A01035</t>
  </si>
  <si>
    <t>AUTOAXLES</t>
  </si>
  <si>
    <t>ATXL IN</t>
  </si>
  <si>
    <t>INE449A01011</t>
  </si>
  <si>
    <t>RAMCOIND</t>
  </si>
  <si>
    <t>RAMCO IN</t>
  </si>
  <si>
    <t>INE614A01028</t>
  </si>
  <si>
    <t>CONFIPET</t>
  </si>
  <si>
    <t>CONF IN</t>
  </si>
  <si>
    <t>INE552D01024</t>
  </si>
  <si>
    <t>BECTORFOOD</t>
  </si>
  <si>
    <t>BECTORS IN</t>
  </si>
  <si>
    <t>INE495P01012</t>
  </si>
  <si>
    <t>VESUVIUS</t>
  </si>
  <si>
    <t>VI IN</t>
  </si>
  <si>
    <t>INE386A01015</t>
  </si>
  <si>
    <t>GULFOILLUB</t>
  </si>
  <si>
    <t>GOLI IN</t>
  </si>
  <si>
    <t>INE635Q01029</t>
  </si>
  <si>
    <t>FILATEX</t>
  </si>
  <si>
    <t>FLTX IN</t>
  </si>
  <si>
    <t>INE816B01027</t>
  </si>
  <si>
    <t>EVEREADY</t>
  </si>
  <si>
    <t>EVRIN IN</t>
  </si>
  <si>
    <t>INE128A01029</t>
  </si>
  <si>
    <t>HESTERBIO</t>
  </si>
  <si>
    <t>HBIO IN</t>
  </si>
  <si>
    <t>INE782E01017</t>
  </si>
  <si>
    <t>ELECON</t>
  </si>
  <si>
    <t>ELCN IN</t>
  </si>
  <si>
    <t>INE205B01023</t>
  </si>
  <si>
    <t>FAIRCHEMOR</t>
  </si>
  <si>
    <t>FAIRORGA IN</t>
  </si>
  <si>
    <t>INE0DNW01011</t>
  </si>
  <si>
    <t>MNVJ IN</t>
  </si>
  <si>
    <t>INE945P01024</t>
  </si>
  <si>
    <t>SHK</t>
  </si>
  <si>
    <t>SHKL IN</t>
  </si>
  <si>
    <t>INE500L01026</t>
  </si>
  <si>
    <t>IGPL</t>
  </si>
  <si>
    <t>IGPL IN</t>
  </si>
  <si>
    <t>INE204A01010</t>
  </si>
  <si>
    <t>KRSNAA</t>
  </si>
  <si>
    <t>KRSNAA IN</t>
  </si>
  <si>
    <t>INE08LI01020</t>
  </si>
  <si>
    <t>APOLLOPIPE</t>
  </si>
  <si>
    <t>APOLP IN</t>
  </si>
  <si>
    <t>INE126J01016</t>
  </si>
  <si>
    <t>JISLJALEQS</t>
  </si>
  <si>
    <t>JI IN</t>
  </si>
  <si>
    <t>INE175A01038</t>
  </si>
  <si>
    <t>BUTTERFLY</t>
  </si>
  <si>
    <t>BGAL IN</t>
  </si>
  <si>
    <t>INE295F01017</t>
  </si>
  <si>
    <t>Media Matrix Worldwide Ltd</t>
  </si>
  <si>
    <t>MMWL</t>
  </si>
  <si>
    <t>GFL IN</t>
  </si>
  <si>
    <t>INE200D01020</t>
  </si>
  <si>
    <t>PILANIINVS</t>
  </si>
  <si>
    <t>PIICL IN</t>
  </si>
  <si>
    <t>INE417C01014</t>
  </si>
  <si>
    <t>ASTRAMICRO</t>
  </si>
  <si>
    <t>ASTM IN</t>
  </si>
  <si>
    <t>INE386C01029</t>
  </si>
  <si>
    <t>PFOCUS</t>
  </si>
  <si>
    <t>PRIF IN</t>
  </si>
  <si>
    <t>INE367G01038</t>
  </si>
  <si>
    <t>RAJRATAN</t>
  </si>
  <si>
    <t>RGW IN</t>
  </si>
  <si>
    <t>INE451D01011</t>
  </si>
  <si>
    <t>GABRIEL</t>
  </si>
  <si>
    <t>GABR IN</t>
  </si>
  <si>
    <t>INE524A01029</t>
  </si>
  <si>
    <t>VOLTAMP</t>
  </si>
  <si>
    <t>VAMP IN</t>
  </si>
  <si>
    <t>INE540H01012</t>
  </si>
  <si>
    <t>GOKEX</t>
  </si>
  <si>
    <t>GEXP IN</t>
  </si>
  <si>
    <t>INE887G01027</t>
  </si>
  <si>
    <t>MATRIMONY</t>
  </si>
  <si>
    <t>MATRIM IN</t>
  </si>
  <si>
    <t>INE866R01028</t>
  </si>
  <si>
    <t>NAVNETEDUL</t>
  </si>
  <si>
    <t>NELI IN</t>
  </si>
  <si>
    <t>INE060A01024</t>
  </si>
  <si>
    <t>SASKEN</t>
  </si>
  <si>
    <t>SASKEN IN</t>
  </si>
  <si>
    <t>INE231F01020</t>
  </si>
  <si>
    <t>DHAMPURSUG</t>
  </si>
  <si>
    <t>DSM IN</t>
  </si>
  <si>
    <t>INE041A01016</t>
  </si>
  <si>
    <t>LGBBROSLTD</t>
  </si>
  <si>
    <t>LGBB IN</t>
  </si>
  <si>
    <t>INE337A01034</t>
  </si>
  <si>
    <t>DEN</t>
  </si>
  <si>
    <t>DEN IN</t>
  </si>
  <si>
    <t>INE947J01015</t>
  </si>
  <si>
    <t>SIYSIL</t>
  </si>
  <si>
    <t>SIYA IN</t>
  </si>
  <si>
    <t>INE076B01028</t>
  </si>
  <si>
    <t>NEULANDLAB</t>
  </si>
  <si>
    <t>NLL IN</t>
  </si>
  <si>
    <t>INE794A01010</t>
  </si>
  <si>
    <t>TIIL</t>
  </si>
  <si>
    <t>TIIL IN</t>
  </si>
  <si>
    <t>INE545H01011</t>
  </si>
  <si>
    <t>GRAVITA</t>
  </si>
  <si>
    <t>GRAV IN</t>
  </si>
  <si>
    <t>INE024L01027</t>
  </si>
  <si>
    <t>BALMLAWRIE</t>
  </si>
  <si>
    <t>BLCL IN</t>
  </si>
  <si>
    <t>INE164A01016</t>
  </si>
  <si>
    <t>SWARAJENG</t>
  </si>
  <si>
    <t>SWE IN</t>
  </si>
  <si>
    <t>INE277A01016</t>
  </si>
  <si>
    <t>SAFARI</t>
  </si>
  <si>
    <t>SII IN</t>
  </si>
  <si>
    <t>INE429E01023</t>
  </si>
  <si>
    <t>BLS</t>
  </si>
  <si>
    <t>BLSIN IN</t>
  </si>
  <si>
    <t>INE153T01027</t>
  </si>
  <si>
    <t>DIAMONDYD</t>
  </si>
  <si>
    <t>DIAMOND IN</t>
  </si>
  <si>
    <t>INE393P01035</t>
  </si>
  <si>
    <t>WABAG</t>
  </si>
  <si>
    <t>VATW IN</t>
  </si>
  <si>
    <t>INE956G01038</t>
  </si>
  <si>
    <t>BAJAJHIND</t>
  </si>
  <si>
    <t>BJH IN</t>
  </si>
  <si>
    <t>INE306A01021</t>
  </si>
  <si>
    <t>NOVARTIND</t>
  </si>
  <si>
    <t>HCBA IN</t>
  </si>
  <si>
    <t>INE234A01025</t>
  </si>
  <si>
    <t>RPSGVENT</t>
  </si>
  <si>
    <t>CESCV IN</t>
  </si>
  <si>
    <t>INE425Y01011</t>
  </si>
  <si>
    <t>Shriram Pistons &amp; Rings Ltd</t>
  </si>
  <si>
    <t>SHRIPISTON</t>
  </si>
  <si>
    <t>SPRL IN</t>
  </si>
  <si>
    <t>INE526E01018</t>
  </si>
  <si>
    <t>KTKBANK</t>
  </si>
  <si>
    <t>KBL IN</t>
  </si>
  <si>
    <t>INE614B01018</t>
  </si>
  <si>
    <t>GARWARPOLY</t>
  </si>
  <si>
    <t>GWPL IN</t>
  </si>
  <si>
    <t>INE291A01017</t>
  </si>
  <si>
    <t>VIDHIING</t>
  </si>
  <si>
    <t>VSFI IN</t>
  </si>
  <si>
    <t>INE632C01026</t>
  </si>
  <si>
    <t>KIRIINDUS</t>
  </si>
  <si>
    <t>KIRI IN</t>
  </si>
  <si>
    <t>INE415I01015</t>
  </si>
  <si>
    <t>ANDHRSUGAR</t>
  </si>
  <si>
    <t>ASG IN</t>
  </si>
  <si>
    <t>INE715B01013</t>
  </si>
  <si>
    <t>SPRT IN</t>
  </si>
  <si>
    <t>INE885H01011</t>
  </si>
  <si>
    <t>MANALIPETC</t>
  </si>
  <si>
    <t>MPCH IN</t>
  </si>
  <si>
    <t>INE201A01024</t>
  </si>
  <si>
    <t>SOUTHBANK</t>
  </si>
  <si>
    <t>SIB IN</t>
  </si>
  <si>
    <t>INE683A01023</t>
  </si>
  <si>
    <t>HERITGFOOD</t>
  </si>
  <si>
    <t>HTFL IN</t>
  </si>
  <si>
    <t>INE978A01027</t>
  </si>
  <si>
    <t>MAXVIL</t>
  </si>
  <si>
    <t>MVIL IN</t>
  </si>
  <si>
    <t>INE154U01015</t>
  </si>
  <si>
    <t>APCOTEXIND</t>
  </si>
  <si>
    <t>APCO IN</t>
  </si>
  <si>
    <t>INE116A01032</t>
  </si>
  <si>
    <t>THANGAMAYL</t>
  </si>
  <si>
    <t>TJL IN</t>
  </si>
  <si>
    <t>INE085J01014</t>
  </si>
  <si>
    <t>NAHARSPING</t>
  </si>
  <si>
    <t>NSM IN</t>
  </si>
  <si>
    <t>INE290A01027</t>
  </si>
  <si>
    <t>HSCL</t>
  </si>
  <si>
    <t>HSCH IN</t>
  </si>
  <si>
    <t>INE019C01026</t>
  </si>
  <si>
    <t>KOVAI</t>
  </si>
  <si>
    <t>KMC IN</t>
  </si>
  <si>
    <t>INE177F01017</t>
  </si>
  <si>
    <t>STYLAMIND</t>
  </si>
  <si>
    <t>SYIL IN</t>
  </si>
  <si>
    <t>INE239C01020</t>
  </si>
  <si>
    <t>EXPLEOSOL</t>
  </si>
  <si>
    <t>EXPLEOSO IN</t>
  </si>
  <si>
    <t>INE201K01015</t>
  </si>
  <si>
    <t>MMFL</t>
  </si>
  <si>
    <t>MMFG IN</t>
  </si>
  <si>
    <t>INE227C01017</t>
  </si>
  <si>
    <t>CARERATING</t>
  </si>
  <si>
    <t>CARE IN</t>
  </si>
  <si>
    <t>INE752H01013</t>
  </si>
  <si>
    <t>MUKANDLTD</t>
  </si>
  <si>
    <t>MUK IN</t>
  </si>
  <si>
    <t>INE304A01026</t>
  </si>
  <si>
    <t>GOLDIAM</t>
  </si>
  <si>
    <t>GLDM IN</t>
  </si>
  <si>
    <t>INE025B01017</t>
  </si>
  <si>
    <t>DPSCLTD</t>
  </si>
  <si>
    <t>DPSC IN</t>
  </si>
  <si>
    <t>INE360C01024</t>
  </si>
  <si>
    <t>HBLPOWER</t>
  </si>
  <si>
    <t>HBPS IN</t>
  </si>
  <si>
    <t>INE292B01021</t>
  </si>
  <si>
    <t>DATAMATICS</t>
  </si>
  <si>
    <t>DATA IN</t>
  </si>
  <si>
    <t>INE365B01017</t>
  </si>
  <si>
    <t>RGL</t>
  </si>
  <si>
    <t>RENGL IN</t>
  </si>
  <si>
    <t>INE722H01016</t>
  </si>
  <si>
    <t>GENUSPOWER</t>
  </si>
  <si>
    <t>GPIN IN</t>
  </si>
  <si>
    <t>INE955D01029</t>
  </si>
  <si>
    <t>ASHIANA</t>
  </si>
  <si>
    <t>ASFI IN</t>
  </si>
  <si>
    <t>INE365D01021</t>
  </si>
  <si>
    <t>GEOJITFSL</t>
  </si>
  <si>
    <t>GEOFSL IN</t>
  </si>
  <si>
    <t>INE007B01023</t>
  </si>
  <si>
    <t>ZENTEC</t>
  </si>
  <si>
    <t>ZEN IN</t>
  </si>
  <si>
    <t>INE251B01027</t>
  </si>
  <si>
    <t>SUNDARMHLD</t>
  </si>
  <si>
    <t>SFHL IN</t>
  </si>
  <si>
    <t>INE202Z01029</t>
  </si>
  <si>
    <t>NACLIND</t>
  </si>
  <si>
    <t>NACLIND IN</t>
  </si>
  <si>
    <t>INE295D01020</t>
  </si>
  <si>
    <t>UNICHEMLAB</t>
  </si>
  <si>
    <t>UL IN</t>
  </si>
  <si>
    <t>INE351A01035</t>
  </si>
  <si>
    <t>PSPPROJECT</t>
  </si>
  <si>
    <t>PSPPL IN</t>
  </si>
  <si>
    <t>INE488V01015</t>
  </si>
  <si>
    <t>PUNJABCHEM</t>
  </si>
  <si>
    <t>PCCP IN</t>
  </si>
  <si>
    <t>INE277B01014</t>
  </si>
  <si>
    <t>NGLF IN</t>
  </si>
  <si>
    <t>INE887E01022</t>
  </si>
  <si>
    <t>FORCEMOT</t>
  </si>
  <si>
    <t>FML IN</t>
  </si>
  <si>
    <t>INE451A01017</t>
  </si>
  <si>
    <t>REPCOHOME</t>
  </si>
  <si>
    <t>REPCO IN</t>
  </si>
  <si>
    <t>INE612J01015</t>
  </si>
  <si>
    <t>SHEP IN</t>
  </si>
  <si>
    <t>INE151G01010</t>
  </si>
  <si>
    <t>GEPIL</t>
  </si>
  <si>
    <t>GEPIL IN</t>
  </si>
  <si>
    <t>INE878A01011</t>
  </si>
  <si>
    <t>PGEL</t>
  </si>
  <si>
    <t>PGEL IN</t>
  </si>
  <si>
    <t>INE457L01011</t>
  </si>
  <si>
    <t>KINGFA</t>
  </si>
  <si>
    <t>KINGFA IN</t>
  </si>
  <si>
    <t>INE473D01015</t>
  </si>
  <si>
    <t>TIMETECHNO</t>
  </si>
  <si>
    <t>TIME IN</t>
  </si>
  <si>
    <t>INE508G01029</t>
  </si>
  <si>
    <t>HUHTAMAKI</t>
  </si>
  <si>
    <t>HUIN IN</t>
  </si>
  <si>
    <t>INE275B01026</t>
  </si>
  <si>
    <t>NELCO</t>
  </si>
  <si>
    <t>NELCO IN</t>
  </si>
  <si>
    <t>INE045B01015</t>
  </si>
  <si>
    <t>MANORAMA IN</t>
  </si>
  <si>
    <t>INE00VM01010</t>
  </si>
  <si>
    <t>NBVENTURES</t>
  </si>
  <si>
    <t>NBVL IN</t>
  </si>
  <si>
    <t>INE725A01022</t>
  </si>
  <si>
    <t>DBCORP</t>
  </si>
  <si>
    <t>DBCL IN</t>
  </si>
  <si>
    <t>INE950I01011</t>
  </si>
  <si>
    <t>ORCHPHARMA</t>
  </si>
  <si>
    <t>ORCP IN</t>
  </si>
  <si>
    <t>INE191A01027</t>
  </si>
  <si>
    <t>SHIVALIK</t>
  </si>
  <si>
    <t>SHVK IN</t>
  </si>
  <si>
    <t>INE788J01021</t>
  </si>
  <si>
    <t>UJJIVAN</t>
  </si>
  <si>
    <t>UJJIVAN IN</t>
  </si>
  <si>
    <t>INE334L01012</t>
  </si>
  <si>
    <t>KCP</t>
  </si>
  <si>
    <t>KCPL IN</t>
  </si>
  <si>
    <t>INE805C01028</t>
  </si>
  <si>
    <t>JAGRAN</t>
  </si>
  <si>
    <t>JAGP IN</t>
  </si>
  <si>
    <t>INE199G01027</t>
  </si>
  <si>
    <t>3IINFOLTD</t>
  </si>
  <si>
    <t>III IN</t>
  </si>
  <si>
    <t>INE748C01038</t>
  </si>
  <si>
    <t>NUCLEUS</t>
  </si>
  <si>
    <t>NCS IN</t>
  </si>
  <si>
    <t>INE096B01018</t>
  </si>
  <si>
    <t>ADFFOODS</t>
  </si>
  <si>
    <t>ADFL IN</t>
  </si>
  <si>
    <t>INE982B01019</t>
  </si>
  <si>
    <t>TVSSRICHAK</t>
  </si>
  <si>
    <t>SRTY IN</t>
  </si>
  <si>
    <t>INE421C01016</t>
  </si>
  <si>
    <t>NRBBEARING</t>
  </si>
  <si>
    <t>NRBBR IN</t>
  </si>
  <si>
    <t>INE349A01021</t>
  </si>
  <si>
    <t>JSWISPL</t>
  </si>
  <si>
    <t>JSWISPL IN</t>
  </si>
  <si>
    <t>INE743C01021</t>
  </si>
  <si>
    <t>SURYODAY</t>
  </si>
  <si>
    <t>SURYODAY IN</t>
  </si>
  <si>
    <t>INE428Q01011</t>
  </si>
  <si>
    <t>JMCPROJECT</t>
  </si>
  <si>
    <t>JMCP IN</t>
  </si>
  <si>
    <t>INE890A01024</t>
  </si>
  <si>
    <t>STEELXIND</t>
  </si>
  <si>
    <t>SEIL IN</t>
  </si>
  <si>
    <t>INE503B01013</t>
  </si>
  <si>
    <t>WSTCSTPAPR</t>
  </si>
  <si>
    <t>WCPM IN</t>
  </si>
  <si>
    <t>INE976A01021</t>
  </si>
  <si>
    <t>LSIL</t>
  </si>
  <si>
    <t>LSILIN IN</t>
  </si>
  <si>
    <t>INE093R01011</t>
  </si>
  <si>
    <t>PANAMAPET</t>
  </si>
  <si>
    <t>PNPC IN</t>
  </si>
  <si>
    <t>INE305C01029</t>
  </si>
  <si>
    <t>CIGNITITEC</t>
  </si>
  <si>
    <t>CIGN IN</t>
  </si>
  <si>
    <t>INE675C01017</t>
  </si>
  <si>
    <t>FCL</t>
  </si>
  <si>
    <t>FTXC IN</t>
  </si>
  <si>
    <t>INE045J01026</t>
  </si>
  <si>
    <t>GOCLCORP</t>
  </si>
  <si>
    <t>GOCL IN</t>
  </si>
  <si>
    <t>INE077F01035</t>
  </si>
  <si>
    <t>MIRZAINT</t>
  </si>
  <si>
    <t>MRZI IN</t>
  </si>
  <si>
    <t>INE771A01026</t>
  </si>
  <si>
    <t>CHENNPETRO</t>
  </si>
  <si>
    <t>MRL IN</t>
  </si>
  <si>
    <t>INE178A01016</t>
  </si>
  <si>
    <t>KOPRAN</t>
  </si>
  <si>
    <t>KOP IN</t>
  </si>
  <si>
    <t>INE082A01010</t>
  </si>
  <si>
    <t>IGARASHI</t>
  </si>
  <si>
    <t>IGM IN</t>
  </si>
  <si>
    <t>INE188B01013</t>
  </si>
  <si>
    <t>CAMLINFINE</t>
  </si>
  <si>
    <t>CFIN IN</t>
  </si>
  <si>
    <t>INE052I01032</t>
  </si>
  <si>
    <t>FIEMIND</t>
  </si>
  <si>
    <t>FIEM IN</t>
  </si>
  <si>
    <t>INE737H01014</t>
  </si>
  <si>
    <t>SOTL</t>
  </si>
  <si>
    <t>STEC IN</t>
  </si>
  <si>
    <t>INE035D01012</t>
  </si>
  <si>
    <t>INDORAMA</t>
  </si>
  <si>
    <t>IRS IN</t>
  </si>
  <si>
    <t>INE156A01020</t>
  </si>
  <si>
    <t>ACCELYA</t>
  </si>
  <si>
    <t>ACCELYA IN</t>
  </si>
  <si>
    <t>INE793A01012</t>
  </si>
  <si>
    <t>APTECHT</t>
  </si>
  <si>
    <t>APTR IN</t>
  </si>
  <si>
    <t>INE266F01018</t>
  </si>
  <si>
    <t>KESORAMIND</t>
  </si>
  <si>
    <t>KSI IN</t>
  </si>
  <si>
    <t>INE087A01019</t>
  </si>
  <si>
    <t>ELECTCAST</t>
  </si>
  <si>
    <t>ELSC IN</t>
  </si>
  <si>
    <t>INE086A01029</t>
  </si>
  <si>
    <t>SASTASUNDR</t>
  </si>
  <si>
    <t>SASV IN</t>
  </si>
  <si>
    <t>INE019J01013</t>
  </si>
  <si>
    <t>SANDHAR</t>
  </si>
  <si>
    <t>SANDHAR IN</t>
  </si>
  <si>
    <t>INE278H01035</t>
  </si>
  <si>
    <t>RAMCOSYS</t>
  </si>
  <si>
    <t>RMCS IN</t>
  </si>
  <si>
    <t>INE246B01019</t>
  </si>
  <si>
    <t>DOLATALGO</t>
  </si>
  <si>
    <t>DLC IN</t>
  </si>
  <si>
    <t>INE966A01022</t>
  </si>
  <si>
    <t>MOSCHIP IN</t>
  </si>
  <si>
    <t>INE935B01025</t>
  </si>
  <si>
    <t>WHEELS</t>
  </si>
  <si>
    <t>WHL IN</t>
  </si>
  <si>
    <t>INE715A01015</t>
  </si>
  <si>
    <t>SHALBY</t>
  </si>
  <si>
    <t>SHALBY IN</t>
  </si>
  <si>
    <t>INE597J01018</t>
  </si>
  <si>
    <t>GALLISPAT</t>
  </si>
  <si>
    <t>GALLIS IN</t>
  </si>
  <si>
    <t>INE528K01029</t>
  </si>
  <si>
    <t>GNA</t>
  </si>
  <si>
    <t>GNA IN</t>
  </si>
  <si>
    <t>INE934S01014</t>
  </si>
  <si>
    <t>RAMKY</t>
  </si>
  <si>
    <t>RMKY IN</t>
  </si>
  <si>
    <t>INE874I01013</t>
  </si>
  <si>
    <t>KIRLOSIND</t>
  </si>
  <si>
    <t>KKIL IN</t>
  </si>
  <si>
    <t>INE250A01039</t>
  </si>
  <si>
    <t>SBCL</t>
  </si>
  <si>
    <t>SBC IN</t>
  </si>
  <si>
    <t>INE386D01027</t>
  </si>
  <si>
    <t>KABRAEXTRU</t>
  </si>
  <si>
    <t>KE IN</t>
  </si>
  <si>
    <t>INE900B01029</t>
  </si>
  <si>
    <t>KKCL</t>
  </si>
  <si>
    <t>KEKC IN</t>
  </si>
  <si>
    <t>INE401H01017</t>
  </si>
  <si>
    <t>SHRIRAMPPS</t>
  </si>
  <si>
    <t>SHRIRAMP IN</t>
  </si>
  <si>
    <t>INE217L01019</t>
  </si>
  <si>
    <t>BFUTILITIE</t>
  </si>
  <si>
    <t>BFUT IN</t>
  </si>
  <si>
    <t>INE243D01012</t>
  </si>
  <si>
    <t>NITINSPIN</t>
  </si>
  <si>
    <t>NSPL IN</t>
  </si>
  <si>
    <t>INE229H01012</t>
  </si>
  <si>
    <t>TARC</t>
  </si>
  <si>
    <t>ANANTRAJ IN</t>
  </si>
  <si>
    <t>INE0EK901012</t>
  </si>
  <si>
    <t>FCONSUMER</t>
  </si>
  <si>
    <t>FCON IN</t>
  </si>
  <si>
    <t>INE220J01025</t>
  </si>
  <si>
    <t>DFMFOODS</t>
  </si>
  <si>
    <t>DFMF IN</t>
  </si>
  <si>
    <t>INE456C01020</t>
  </si>
  <si>
    <t>ASN IN</t>
  </si>
  <si>
    <t>INE194D01017</t>
  </si>
  <si>
    <t>KSL</t>
  </si>
  <si>
    <t>KS IN</t>
  </si>
  <si>
    <t>INE907A01026</t>
  </si>
  <si>
    <t>GMBREW</t>
  </si>
  <si>
    <t>GMBR IN</t>
  </si>
  <si>
    <t>INE075D01018</t>
  </si>
  <si>
    <t>NURECA</t>
  </si>
  <si>
    <t>NURECA IN</t>
  </si>
  <si>
    <t>INE0DSF01015</t>
  </si>
  <si>
    <t>ORISSAMINE</t>
  </si>
  <si>
    <t>OMDC IN</t>
  </si>
  <si>
    <t>INE725E01024</t>
  </si>
  <si>
    <t>PATELENG</t>
  </si>
  <si>
    <t>PEC IN</t>
  </si>
  <si>
    <t>INE244B01030</t>
  </si>
  <si>
    <t>SIRCA</t>
  </si>
  <si>
    <t>SIRCA IN</t>
  </si>
  <si>
    <t>INE792Z01011</t>
  </si>
  <si>
    <t>WELENT</t>
  </si>
  <si>
    <t>WEL IN</t>
  </si>
  <si>
    <t>INE625G01013</t>
  </si>
  <si>
    <t>UGROCAP</t>
  </si>
  <si>
    <t>UGRO IN</t>
  </si>
  <si>
    <t>INE583D01011</t>
  </si>
  <si>
    <t>SANGHIIND</t>
  </si>
  <si>
    <t>SNGI IN</t>
  </si>
  <si>
    <t>INE999B01013</t>
  </si>
  <si>
    <t>PRICOLLTD</t>
  </si>
  <si>
    <t>PRICOL IN</t>
  </si>
  <si>
    <t>INE726V01018</t>
  </si>
  <si>
    <t>HSIL</t>
  </si>
  <si>
    <t>HSI IN</t>
  </si>
  <si>
    <t>INE415A01038</t>
  </si>
  <si>
    <t>CENTRUM</t>
  </si>
  <si>
    <t>CECA IN</t>
  </si>
  <si>
    <t>INE660C01027</t>
  </si>
  <si>
    <t>TI</t>
  </si>
  <si>
    <t>TLNGR IN</t>
  </si>
  <si>
    <t>INE133E01013</t>
  </si>
  <si>
    <t>POWERMECH</t>
  </si>
  <si>
    <t>POWM IN</t>
  </si>
  <si>
    <t>INE211R01019</t>
  </si>
  <si>
    <t>BODALCHEM</t>
  </si>
  <si>
    <t>BODL IN</t>
  </si>
  <si>
    <t>INE338D01028</t>
  </si>
  <si>
    <t>SUTLEJTEX</t>
  </si>
  <si>
    <t>SUTJ IN</t>
  </si>
  <si>
    <t>INE645H01027</t>
  </si>
  <si>
    <t>ITDCEM</t>
  </si>
  <si>
    <t>ITCE IN</t>
  </si>
  <si>
    <t>INE686A01026</t>
  </si>
  <si>
    <t>DWARKESH</t>
  </si>
  <si>
    <t>DSIL IN</t>
  </si>
  <si>
    <t>INE366A01041</t>
  </si>
  <si>
    <t>DYNAMATECH</t>
  </si>
  <si>
    <t>DYTC IN</t>
  </si>
  <si>
    <t>INE221B01012</t>
  </si>
  <si>
    <t>QUICKHEAL</t>
  </si>
  <si>
    <t>QUICKHEA IN</t>
  </si>
  <si>
    <t>INE306L01010</t>
  </si>
  <si>
    <t>ALICON</t>
  </si>
  <si>
    <t>ALIC IN</t>
  </si>
  <si>
    <t>INE062D01024</t>
  </si>
  <si>
    <t>HONDAPOWER</t>
  </si>
  <si>
    <t>HONDAPWR IN</t>
  </si>
  <si>
    <t>INE634A01018</t>
  </si>
  <si>
    <t>CHEMCON</t>
  </si>
  <si>
    <t>CHEMCON IN</t>
  </si>
  <si>
    <t>INE03YM01018</t>
  </si>
  <si>
    <t>INSECTICID</t>
  </si>
  <si>
    <t>INST IN</t>
  </si>
  <si>
    <t>INE070I01018</t>
  </si>
  <si>
    <t>SANGAMIND</t>
  </si>
  <si>
    <t>SNGM IN</t>
  </si>
  <si>
    <t>INE495C01010</t>
  </si>
  <si>
    <t>PRECAM</t>
  </si>
  <si>
    <t>PRECAM IN</t>
  </si>
  <si>
    <t>INE484I01029</t>
  </si>
  <si>
    <t>OMAXE</t>
  </si>
  <si>
    <t>OAXE IN</t>
  </si>
  <si>
    <t>INE800H01010</t>
  </si>
  <si>
    <t>RIIL</t>
  </si>
  <si>
    <t>RIIL IN</t>
  </si>
  <si>
    <t>INE046A01015</t>
  </si>
  <si>
    <t>ANDREWYU</t>
  </si>
  <si>
    <t>ANY IN</t>
  </si>
  <si>
    <t>INE449C01025</t>
  </si>
  <si>
    <t>JTLINFRA</t>
  </si>
  <si>
    <t>JTL IN</t>
  </si>
  <si>
    <t>INE391J01024</t>
  </si>
  <si>
    <t>GRAUWEIL</t>
  </si>
  <si>
    <t>GW IN</t>
  </si>
  <si>
    <t>INE266D01021</t>
  </si>
  <si>
    <t>GREENPOWER</t>
  </si>
  <si>
    <t>OGPL IN</t>
  </si>
  <si>
    <t>INE999K01014</t>
  </si>
  <si>
    <t>KITEX</t>
  </si>
  <si>
    <t>KTG IN</t>
  </si>
  <si>
    <t>INE602G01020</t>
  </si>
  <si>
    <t>VINDHYATEL</t>
  </si>
  <si>
    <t>VT IN</t>
  </si>
  <si>
    <t>INE707A01012</t>
  </si>
  <si>
    <t>PFS</t>
  </si>
  <si>
    <t>PTCIF IN</t>
  </si>
  <si>
    <t>INE560K01014</t>
  </si>
  <si>
    <t>BANCOINDIA</t>
  </si>
  <si>
    <t>BNCO IN</t>
  </si>
  <si>
    <t>INE213C01025</t>
  </si>
  <si>
    <t>TDPOWERSYS</t>
  </si>
  <si>
    <t>TDPS IN</t>
  </si>
  <si>
    <t>INE419M01019</t>
  </si>
  <si>
    <t>GULPOLY</t>
  </si>
  <si>
    <t>GULP IN</t>
  </si>
  <si>
    <t>INE255D01024</t>
  </si>
  <si>
    <t>CANTABIL</t>
  </si>
  <si>
    <t>CANT IN</t>
  </si>
  <si>
    <t>INE068L01016</t>
  </si>
  <si>
    <t>SUNFLAG</t>
  </si>
  <si>
    <t>SUNF IN</t>
  </si>
  <si>
    <t>INE947A01014</t>
  </si>
  <si>
    <t>NXTDIGITAL</t>
  </si>
  <si>
    <t>NXTD IN</t>
  </si>
  <si>
    <t>INE353A01023</t>
  </si>
  <si>
    <t>BFINVEST</t>
  </si>
  <si>
    <t>BFIN IN</t>
  </si>
  <si>
    <t>INE878K01010</t>
  </si>
  <si>
    <t>JKIL</t>
  </si>
  <si>
    <t>JKIL IN</t>
  </si>
  <si>
    <t>INE576I01022</t>
  </si>
  <si>
    <t>YASHO IN</t>
  </si>
  <si>
    <t>INE616Z01012</t>
  </si>
  <si>
    <t>MONTECARLO</t>
  </si>
  <si>
    <t>MOCF IN</t>
  </si>
  <si>
    <t>INE950M01013</t>
  </si>
  <si>
    <t>PANACEABIO</t>
  </si>
  <si>
    <t>PNCB IN</t>
  </si>
  <si>
    <t>INE922B01023</t>
  </si>
  <si>
    <t>SIGACHI</t>
  </si>
  <si>
    <t>SIGACHI IN</t>
  </si>
  <si>
    <t>INE0D0K01014</t>
  </si>
  <si>
    <t>GIPCL</t>
  </si>
  <si>
    <t>GIP IN</t>
  </si>
  <si>
    <t>INE162A01010</t>
  </si>
  <si>
    <t>5PAISA</t>
  </si>
  <si>
    <t>5PAISA IN</t>
  </si>
  <si>
    <t>INE618L01018</t>
  </si>
  <si>
    <t>THEJO</t>
  </si>
  <si>
    <t>THEL IN</t>
  </si>
  <si>
    <t>INE121N01019</t>
  </si>
  <si>
    <t>PNBGILTS</t>
  </si>
  <si>
    <t>PGLT IN</t>
  </si>
  <si>
    <t>INE859A01011</t>
  </si>
  <si>
    <t>SHANKARA</t>
  </si>
  <si>
    <t>SHANKARA IN</t>
  </si>
  <si>
    <t>INE274V01019</t>
  </si>
  <si>
    <t>PCJEWELLER</t>
  </si>
  <si>
    <t>PCJL IN</t>
  </si>
  <si>
    <t>INE785M01013</t>
  </si>
  <si>
    <t>AVTNPL</t>
  </si>
  <si>
    <t>AVTH IN</t>
  </si>
  <si>
    <t>INE488D01021</t>
  </si>
  <si>
    <t>WONDERLA</t>
  </si>
  <si>
    <t>WONH IN</t>
  </si>
  <si>
    <t>INE066O01014</t>
  </si>
  <si>
    <t>TRANSPEK</t>
  </si>
  <si>
    <t>TPI IN</t>
  </si>
  <si>
    <t>INE687A01016</t>
  </si>
  <si>
    <t>PUNALKALI</t>
  </si>
  <si>
    <t>PJAC IN</t>
  </si>
  <si>
    <t>INE607A01014</t>
  </si>
  <si>
    <t>MEDICAMEQ</t>
  </si>
  <si>
    <t>MDCB IN</t>
  </si>
  <si>
    <t>INE646B01010</t>
  </si>
  <si>
    <t>FMGOETZE</t>
  </si>
  <si>
    <t>FMGI IN</t>
  </si>
  <si>
    <t>INE529A01010</t>
  </si>
  <si>
    <t>SPIC</t>
  </si>
  <si>
    <t>SPET IN</t>
  </si>
  <si>
    <t>INE147A01011</t>
  </si>
  <si>
    <t>CAPACITE</t>
  </si>
  <si>
    <t>CAPACITE IN</t>
  </si>
  <si>
    <t>INE264T01014</t>
  </si>
  <si>
    <t>XCHANGING</t>
  </si>
  <si>
    <t>XSL IN</t>
  </si>
  <si>
    <t>INE692G01013</t>
  </si>
  <si>
    <t>PIX IN</t>
  </si>
  <si>
    <t>INE751B01018</t>
  </si>
  <si>
    <t xml:space="preserve">EQUIPPP </t>
  </si>
  <si>
    <t>GFAC IN</t>
  </si>
  <si>
    <t>INE217G01035</t>
  </si>
  <si>
    <t>SUVEN</t>
  </si>
  <si>
    <t>SVLS IN</t>
  </si>
  <si>
    <t>INE495B01038</t>
  </si>
  <si>
    <t>JYOTISTRUC</t>
  </si>
  <si>
    <t>JYS IN</t>
  </si>
  <si>
    <t>INE197A01024</t>
  </si>
  <si>
    <t>BLISSGVS</t>
  </si>
  <si>
    <t>BLIS IN</t>
  </si>
  <si>
    <t>INE416D01022</t>
  </si>
  <si>
    <t>MPSLTD</t>
  </si>
  <si>
    <t>MPS IN</t>
  </si>
  <si>
    <t>INE943D01017</t>
  </si>
  <si>
    <t>PQIF IN</t>
  </si>
  <si>
    <t>INE689M01017</t>
  </si>
  <si>
    <t>LUMAXIND</t>
  </si>
  <si>
    <t>LUMX IN</t>
  </si>
  <si>
    <t>INE162B01018</t>
  </si>
  <si>
    <t>SHANTIGEAR</t>
  </si>
  <si>
    <t>SG IN</t>
  </si>
  <si>
    <t>INE631A01022</t>
  </si>
  <si>
    <t>XPROINDIA</t>
  </si>
  <si>
    <t>XPRO IN</t>
  </si>
  <si>
    <t>INE445C01015</t>
  </si>
  <si>
    <t>UDAICEMENT</t>
  </si>
  <si>
    <t>UCW IN</t>
  </si>
  <si>
    <t>INE225C01029</t>
  </si>
  <si>
    <t>EXCELINDUS</t>
  </si>
  <si>
    <t>EXL IN</t>
  </si>
  <si>
    <t>INE369A01029</t>
  </si>
  <si>
    <t>NATPEROXID</t>
  </si>
  <si>
    <t>NPL IN</t>
  </si>
  <si>
    <t>INE585A01020</t>
  </si>
  <si>
    <t>PARSVNATH</t>
  </si>
  <si>
    <t>PARSV IN</t>
  </si>
  <si>
    <t>INE561H01026</t>
  </si>
  <si>
    <t>DIGISPICE</t>
  </si>
  <si>
    <t>SPCEM IN</t>
  </si>
  <si>
    <t>INE927C01020</t>
  </si>
  <si>
    <t>SJS</t>
  </si>
  <si>
    <t>SJS IN</t>
  </si>
  <si>
    <t>INE284S01014</t>
  </si>
  <si>
    <t>ONMOBILE</t>
  </si>
  <si>
    <t>ONMB IN</t>
  </si>
  <si>
    <t>INE809I01019</t>
  </si>
  <si>
    <t>GANECOS</t>
  </si>
  <si>
    <t>GNPL IN</t>
  </si>
  <si>
    <t>INE845D01014</t>
  </si>
  <si>
    <t>SMSPHARMA</t>
  </si>
  <si>
    <t>SMSPH IN</t>
  </si>
  <si>
    <t>INE812G01025</t>
  </si>
  <si>
    <t>CLNINDIA</t>
  </si>
  <si>
    <t>CLRC IN</t>
  </si>
  <si>
    <t>INE492A01029</t>
  </si>
  <si>
    <t>BHAGERIA</t>
  </si>
  <si>
    <t>BGIN IN</t>
  </si>
  <si>
    <t>INE354C01027</t>
  </si>
  <si>
    <t>LUMAXTECH</t>
  </si>
  <si>
    <t>LMAX IN</t>
  </si>
  <si>
    <t>INE872H01027</t>
  </si>
  <si>
    <t>SHAKTIPUMP</t>
  </si>
  <si>
    <t>SKPI IN</t>
  </si>
  <si>
    <t>INE908D01010</t>
  </si>
  <si>
    <t>AMBIKCO</t>
  </si>
  <si>
    <t>ACML IN</t>
  </si>
  <si>
    <t>INE540G01014</t>
  </si>
  <si>
    <t>DBREALTY</t>
  </si>
  <si>
    <t>DBRL IN</t>
  </si>
  <si>
    <t>INE879I01012</t>
  </si>
  <si>
    <t>RPIL IN</t>
  </si>
  <si>
    <t>INE299D01014</t>
  </si>
  <si>
    <t>RSWM</t>
  </si>
  <si>
    <t>RJS IN</t>
  </si>
  <si>
    <t>INE611A01016</t>
  </si>
  <si>
    <t>IFGLEXPOR</t>
  </si>
  <si>
    <t>IFGLRF IN</t>
  </si>
  <si>
    <t>INE133Y01011</t>
  </si>
  <si>
    <t>BAJAJHCARE</t>
  </si>
  <si>
    <t>BAJAJHEA IN</t>
  </si>
  <si>
    <t>INE411U01027</t>
  </si>
  <si>
    <t>TWL</t>
  </si>
  <si>
    <t>TWL IN</t>
  </si>
  <si>
    <t>INE615H01020</t>
  </si>
  <si>
    <t>BBL</t>
  </si>
  <si>
    <t>BIJL IN</t>
  </si>
  <si>
    <t>INE464A01028</t>
  </si>
  <si>
    <t>SPAL</t>
  </si>
  <si>
    <t>SPAL IN</t>
  </si>
  <si>
    <t>INE212I01016</t>
  </si>
  <si>
    <t>EIHAHOTELS</t>
  </si>
  <si>
    <t>OAH IN</t>
  </si>
  <si>
    <t>INE276C01014</t>
  </si>
  <si>
    <t>RCOM</t>
  </si>
  <si>
    <t>RCOM IN</t>
  </si>
  <si>
    <t>INE330H01018</t>
  </si>
  <si>
    <t>ESTER</t>
  </si>
  <si>
    <t>ESTR IN</t>
  </si>
  <si>
    <t>INE778B01029</t>
  </si>
  <si>
    <t>SAKSOFT</t>
  </si>
  <si>
    <t>SAK IN</t>
  </si>
  <si>
    <t>INE667G01015</t>
  </si>
  <si>
    <t>KDDL</t>
  </si>
  <si>
    <t>KDDL IN</t>
  </si>
  <si>
    <t>INE291D01011</t>
  </si>
  <si>
    <t>PARAGMILK</t>
  </si>
  <si>
    <t>PARAG IN</t>
  </si>
  <si>
    <t>INE883N01014</t>
  </si>
  <si>
    <t>DCW</t>
  </si>
  <si>
    <t>DCW IN</t>
  </si>
  <si>
    <t>INE500A01029</t>
  </si>
  <si>
    <t>GANESHHOUC</t>
  </si>
  <si>
    <t>GHFC IN</t>
  </si>
  <si>
    <t>INE460C01014</t>
  </si>
  <si>
    <t>KMCS IN</t>
  </si>
  <si>
    <t>INE879K01018</t>
  </si>
  <si>
    <t>ELPROINTL</t>
  </si>
  <si>
    <t>ELPR IN</t>
  </si>
  <si>
    <t>INE579B01039</t>
  </si>
  <si>
    <t>URJA</t>
  </si>
  <si>
    <t>UGL IN</t>
  </si>
  <si>
    <t>INE550C01020</t>
  </si>
  <si>
    <t>ULTRMARINE</t>
  </si>
  <si>
    <t>UMP IN</t>
  </si>
  <si>
    <t>INE405A01021</t>
  </si>
  <si>
    <t>BROS IN</t>
  </si>
  <si>
    <t>INE761G01016</t>
  </si>
  <si>
    <t>SHREDIGCEM</t>
  </si>
  <si>
    <t>DIGV IN</t>
  </si>
  <si>
    <t>INE232A01011</t>
  </si>
  <si>
    <t>FLFL</t>
  </si>
  <si>
    <t>FLFL IN</t>
  </si>
  <si>
    <t>INE452O01016</t>
  </si>
  <si>
    <t>VISAKAIND</t>
  </si>
  <si>
    <t>VSKI IN</t>
  </si>
  <si>
    <t>INE392A01013</t>
  </si>
  <si>
    <t>ANDHRAPET</t>
  </si>
  <si>
    <t>ANDP IN</t>
  </si>
  <si>
    <t>INE714B01016</t>
  </si>
  <si>
    <t>MANGLMCEM</t>
  </si>
  <si>
    <t>MGC IN</t>
  </si>
  <si>
    <t>INE347A01017</t>
  </si>
  <si>
    <t>CEREBRAINT</t>
  </si>
  <si>
    <t>CIT IN</t>
  </si>
  <si>
    <t>INE345B01019</t>
  </si>
  <si>
    <t>JETAIRWAYS</t>
  </si>
  <si>
    <t>JETIN IN</t>
  </si>
  <si>
    <t>INE802G01018</t>
  </si>
  <si>
    <t>AJMERA</t>
  </si>
  <si>
    <t>AREAL IN</t>
  </si>
  <si>
    <t>INE298G01027</t>
  </si>
  <si>
    <t>KBCGLOBAL</t>
  </si>
  <si>
    <t>KARDA IN</t>
  </si>
  <si>
    <t>INE278R01034</t>
  </si>
  <si>
    <t>VSSL</t>
  </si>
  <si>
    <t>VSSL IN</t>
  </si>
  <si>
    <t>INE050M01012</t>
  </si>
  <si>
    <t>ANUP</t>
  </si>
  <si>
    <t>ANUP IN</t>
  </si>
  <si>
    <t>INE294Z01018</t>
  </si>
  <si>
    <t>VISHNU</t>
  </si>
  <si>
    <t>VCL IN</t>
  </si>
  <si>
    <t>INE270I01014</t>
  </si>
  <si>
    <t>63MOONS</t>
  </si>
  <si>
    <t>63MOONS IN</t>
  </si>
  <si>
    <t>INE111B01023</t>
  </si>
  <si>
    <t>ZOTA</t>
  </si>
  <si>
    <t>ZOTA IN</t>
  </si>
  <si>
    <t>INE358U01012</t>
  </si>
  <si>
    <t>WENDT</t>
  </si>
  <si>
    <t>WNDT IN</t>
  </si>
  <si>
    <t>INE274C01019</t>
  </si>
  <si>
    <t>INFOBEAN</t>
  </si>
  <si>
    <t>INBT IN</t>
  </si>
  <si>
    <t>INE344S01016</t>
  </si>
  <si>
    <t>TEXRAIL</t>
  </si>
  <si>
    <t>TXMRE IN</t>
  </si>
  <si>
    <t>INE621L01012</t>
  </si>
  <si>
    <t>UNIENTER</t>
  </si>
  <si>
    <t>UPE IN</t>
  </si>
  <si>
    <t>INE037A01022</t>
  </si>
  <si>
    <t>TTKHLTCARE</t>
  </si>
  <si>
    <t>TTKP IN</t>
  </si>
  <si>
    <t>INE910C01018</t>
  </si>
  <si>
    <t>RPGLIFE</t>
  </si>
  <si>
    <t>RPGL IN</t>
  </si>
  <si>
    <t>INE105J01010</t>
  </si>
  <si>
    <t>ISMTLTD</t>
  </si>
  <si>
    <t>ISMT IN</t>
  </si>
  <si>
    <t>INE732F01019</t>
  </si>
  <si>
    <t>IMPAL</t>
  </si>
  <si>
    <t>IMPL IN</t>
  </si>
  <si>
    <t>INE547E01014</t>
  </si>
  <si>
    <t>PRAKASH</t>
  </si>
  <si>
    <t>PKI IN</t>
  </si>
  <si>
    <t>INE603A01013</t>
  </si>
  <si>
    <t>JUBLINDS</t>
  </si>
  <si>
    <t>JIND IN</t>
  </si>
  <si>
    <t>INE645L01011</t>
  </si>
  <si>
    <t>NCLIND</t>
  </si>
  <si>
    <t>NCLI IN</t>
  </si>
  <si>
    <t>INE732C01016</t>
  </si>
  <si>
    <t>SINTEX</t>
  </si>
  <si>
    <t>SINT IN</t>
  </si>
  <si>
    <t>INE429C01035</t>
  </si>
  <si>
    <t>BLAM IN</t>
  </si>
  <si>
    <t>INE011E01029</t>
  </si>
  <si>
    <t>CENTENKA</t>
  </si>
  <si>
    <t>CENK IN</t>
  </si>
  <si>
    <t>INE485A01015</t>
  </si>
  <si>
    <t>VHL</t>
  </si>
  <si>
    <t>VARH IN</t>
  </si>
  <si>
    <t>INE701A01023</t>
  </si>
  <si>
    <t>DHFN IN</t>
  </si>
  <si>
    <t>INE615R01029</t>
  </si>
  <si>
    <t>SGTF IN</t>
  </si>
  <si>
    <t>INE080I01025</t>
  </si>
  <si>
    <t>SESHAPAPER</t>
  </si>
  <si>
    <t>SPB IN</t>
  </si>
  <si>
    <t>INE630A01024</t>
  </si>
  <si>
    <t>REMIMETAL</t>
  </si>
  <si>
    <t>RMG IN</t>
  </si>
  <si>
    <t>INE731F01037</t>
  </si>
  <si>
    <t>OCCL</t>
  </si>
  <si>
    <t>OTCC IN</t>
  </si>
  <si>
    <t>INE321D01016</t>
  </si>
  <si>
    <t>AVADHSUGAR</t>
  </si>
  <si>
    <t>AVADHSUG IN</t>
  </si>
  <si>
    <t>INE349W01017</t>
  </si>
  <si>
    <t>WPI IN</t>
  </si>
  <si>
    <t>INE765D01014</t>
  </si>
  <si>
    <t>TNPETRO</t>
  </si>
  <si>
    <t>TNPP IN</t>
  </si>
  <si>
    <t>INE148A01019</t>
  </si>
  <si>
    <t>GENESYS</t>
  </si>
  <si>
    <t>GENE IN</t>
  </si>
  <si>
    <t>INE727B01026</t>
  </si>
  <si>
    <t>SANGHVIMOV</t>
  </si>
  <si>
    <t>SGM IN</t>
  </si>
  <si>
    <t>INE989A01024</t>
  </si>
  <si>
    <t>CIFL IN</t>
  </si>
  <si>
    <t>INE345H01016</t>
  </si>
  <si>
    <t>SVPGLOB</t>
  </si>
  <si>
    <t>SGVL IN</t>
  </si>
  <si>
    <t>INE308E01029</t>
  </si>
  <si>
    <t>DPABHUSHAN</t>
  </si>
  <si>
    <t>DPAL IN</t>
  </si>
  <si>
    <t>INE266Y01019</t>
  </si>
  <si>
    <t>ADORWELD</t>
  </si>
  <si>
    <t>AWL IN</t>
  </si>
  <si>
    <t>INE045A01017</t>
  </si>
  <si>
    <t>SMLISUZU</t>
  </si>
  <si>
    <t>SM IN</t>
  </si>
  <si>
    <t>INE294B01019</t>
  </si>
  <si>
    <t>SPENCERS</t>
  </si>
  <si>
    <t>SPENCER IN</t>
  </si>
  <si>
    <t>INE020801028</t>
  </si>
  <si>
    <t>GOODLUCK</t>
  </si>
  <si>
    <t>GLIN IN</t>
  </si>
  <si>
    <t>INE127I01024</t>
  </si>
  <si>
    <t>COFFEEDAY</t>
  </si>
  <si>
    <t>CCD IN</t>
  </si>
  <si>
    <t>INE335K01011</t>
  </si>
  <si>
    <t>APEX</t>
  </si>
  <si>
    <t>APEX IN</t>
  </si>
  <si>
    <t>INE346W01013</t>
  </si>
  <si>
    <t>SRIPIPES</t>
  </si>
  <si>
    <t>SRIK IN</t>
  </si>
  <si>
    <t>INE943C01027</t>
  </si>
  <si>
    <t>FOSECOIND</t>
  </si>
  <si>
    <t>FSC IN</t>
  </si>
  <si>
    <t>INE519A01011</t>
  </si>
  <si>
    <t>MISHF IN</t>
  </si>
  <si>
    <t>INE094S01041</t>
  </si>
  <si>
    <t>INDIANHUME</t>
  </si>
  <si>
    <t>INHP IN</t>
  </si>
  <si>
    <t>INE323C01030</t>
  </si>
  <si>
    <t>ASAL</t>
  </si>
  <si>
    <t>ATSA IN</t>
  </si>
  <si>
    <t>INE900C01027</t>
  </si>
  <si>
    <t>MHGA IN</t>
  </si>
  <si>
    <t>INE068B01017</t>
  </si>
  <si>
    <t>ASALCBR</t>
  </si>
  <si>
    <t>AAB IN</t>
  </si>
  <si>
    <t>INE073G01016</t>
  </si>
  <si>
    <t>GOKULAGRO</t>
  </si>
  <si>
    <t>GOKUL IN</t>
  </si>
  <si>
    <t>INE314T01025</t>
  </si>
  <si>
    <t>TEXINFRA</t>
  </si>
  <si>
    <t>TXM IN</t>
  </si>
  <si>
    <t>INE435C01024</t>
  </si>
  <si>
    <t>DREDGECORP</t>
  </si>
  <si>
    <t>DCIL IN</t>
  </si>
  <si>
    <t>INE506A01018</t>
  </si>
  <si>
    <t>ASHAPURMIN</t>
  </si>
  <si>
    <t>ASMN IN</t>
  </si>
  <si>
    <t>INE348A01023</t>
  </si>
  <si>
    <t>ALLSEC</t>
  </si>
  <si>
    <t>ALLT IN</t>
  </si>
  <si>
    <t>INE835G01018</t>
  </si>
  <si>
    <t>VIMTALABS</t>
  </si>
  <si>
    <t>VL IN</t>
  </si>
  <si>
    <t>INE579C01029</t>
  </si>
  <si>
    <t>BALM IN</t>
  </si>
  <si>
    <t>INE525F01017</t>
  </si>
  <si>
    <t>SNC IN</t>
  </si>
  <si>
    <t>INE888C01040</t>
  </si>
  <si>
    <t>SATIA</t>
  </si>
  <si>
    <t>SATIA IN</t>
  </si>
  <si>
    <t>INE170E01023</t>
  </si>
  <si>
    <t>ANDHRAPAP</t>
  </si>
  <si>
    <t>ANHPR IN</t>
  </si>
  <si>
    <t>INE435A01028</t>
  </si>
  <si>
    <t>BMW IN</t>
  </si>
  <si>
    <t>INE374E01021</t>
  </si>
  <si>
    <t>SPTL</t>
  </si>
  <si>
    <t>SINTEX IN</t>
  </si>
  <si>
    <t>INE501W01021</t>
  </si>
  <si>
    <t>TIMEXWATCH</t>
  </si>
  <si>
    <t>TIMX IN</t>
  </si>
  <si>
    <t>INE064A01026</t>
  </si>
  <si>
    <t>CVC IN</t>
  </si>
  <si>
    <t>INE974B01016</t>
  </si>
  <si>
    <t>ARSHIYA</t>
  </si>
  <si>
    <t>ARSL IN</t>
  </si>
  <si>
    <t>INE968D01022</t>
  </si>
  <si>
    <t>ARVSMART</t>
  </si>
  <si>
    <t>ARIL IN</t>
  </si>
  <si>
    <t>INE034S01021</t>
  </si>
  <si>
    <t>SYNF IN</t>
  </si>
  <si>
    <t>INE312C01025</t>
  </si>
  <si>
    <t>KWPL IN</t>
  </si>
  <si>
    <t>INE552U01010</t>
  </si>
  <si>
    <t>EVERESTIND</t>
  </si>
  <si>
    <t>EVI IN</t>
  </si>
  <si>
    <t>INE295A01018</t>
  </si>
  <si>
    <t>THEMISMED</t>
  </si>
  <si>
    <t>TMCH IN</t>
  </si>
  <si>
    <t>INE083B01016</t>
  </si>
  <si>
    <t>RAJPALAYAM</t>
  </si>
  <si>
    <t>RJPM IN</t>
  </si>
  <si>
    <t>INE296E01026</t>
  </si>
  <si>
    <t>SHRIRAMEPC</t>
  </si>
  <si>
    <t>SEPC IN</t>
  </si>
  <si>
    <t>INE964H01014</t>
  </si>
  <si>
    <t>UNIDT</t>
  </si>
  <si>
    <t>UDT IN</t>
  </si>
  <si>
    <t>INE961D01019</t>
  </si>
  <si>
    <t>MANORG</t>
  </si>
  <si>
    <t>MANORG IN</t>
  </si>
  <si>
    <t>INE370D01013</t>
  </si>
  <si>
    <t>RANEHOLDIN</t>
  </si>
  <si>
    <t>RHL IN</t>
  </si>
  <si>
    <t>INE384A01010</t>
  </si>
  <si>
    <t>PRECWIRE</t>
  </si>
  <si>
    <t>PWI IN</t>
  </si>
  <si>
    <t>INE372C01037</t>
  </si>
  <si>
    <t>IWEL</t>
  </si>
  <si>
    <t>IWEL IN</t>
  </si>
  <si>
    <t>INE0FLR01028</t>
  </si>
  <si>
    <t>SUULD</t>
  </si>
  <si>
    <t>SUULD IN</t>
  </si>
  <si>
    <t>INE591Q01016</t>
  </si>
  <si>
    <t>EMAMIPAP</t>
  </si>
  <si>
    <t>EPML IN</t>
  </si>
  <si>
    <t>INE830C01026</t>
  </si>
  <si>
    <t>BINDALAGRO</t>
  </si>
  <si>
    <t>OGL IN</t>
  </si>
  <si>
    <t>INE143A01010</t>
  </si>
  <si>
    <t>ASIANTILES</t>
  </si>
  <si>
    <t>ASIAN IN</t>
  </si>
  <si>
    <t>INE022I01019</t>
  </si>
  <si>
    <t>TNPL</t>
  </si>
  <si>
    <t>TNNP IN</t>
  </si>
  <si>
    <t>INE107A01015</t>
  </si>
  <si>
    <t>FCSSOFT</t>
  </si>
  <si>
    <t>FCS IN</t>
  </si>
  <si>
    <t>INE512B01022</t>
  </si>
  <si>
    <t>AWHCL</t>
  </si>
  <si>
    <t>AWHCL IN</t>
  </si>
  <si>
    <t>INE01BK01022</t>
  </si>
  <si>
    <t>EHF IN</t>
  </si>
  <si>
    <t>INE668G01013</t>
  </si>
  <si>
    <t>UNITECH</t>
  </si>
  <si>
    <t>UT IN</t>
  </si>
  <si>
    <t>INE694A01020</t>
  </si>
  <si>
    <t>RUSHIL</t>
  </si>
  <si>
    <t>RDL IN</t>
  </si>
  <si>
    <t>INE573K01017</t>
  </si>
  <si>
    <t>SMCGLOBAL</t>
  </si>
  <si>
    <t>SMCGLOBA IN</t>
  </si>
  <si>
    <t>INE103C01036</t>
  </si>
  <si>
    <t>BHAGCHEM</t>
  </si>
  <si>
    <t>BCHI IN</t>
  </si>
  <si>
    <t>INE414D01019</t>
  </si>
  <si>
    <t>FERMENTA IN</t>
  </si>
  <si>
    <t>INE225B01021</t>
  </si>
  <si>
    <t>ZEEMEDIA</t>
  </si>
  <si>
    <t>ZEEN IN</t>
  </si>
  <si>
    <t>INE966H01019</t>
  </si>
  <si>
    <t>INDNIPPON</t>
  </si>
  <si>
    <t>INE IN</t>
  </si>
  <si>
    <t>INE092B01025</t>
  </si>
  <si>
    <t>GUF IN</t>
  </si>
  <si>
    <t>INE064L01015</t>
  </si>
  <si>
    <t xml:space="preserve">YAARI </t>
  </si>
  <si>
    <t>YAARII IN</t>
  </si>
  <si>
    <t>INE126M01010</t>
  </si>
  <si>
    <t>GEORGFISCH</t>
  </si>
  <si>
    <t>BMD IN</t>
  </si>
  <si>
    <t>INE131C01011</t>
  </si>
  <si>
    <t>JDP IN</t>
  </si>
  <si>
    <t>INE564J01026</t>
  </si>
  <si>
    <t>RADIOCITY</t>
  </si>
  <si>
    <t>RADIOCIT IN</t>
  </si>
  <si>
    <t>INE919I01024</t>
  </si>
  <si>
    <t>MANGCHEFER</t>
  </si>
  <si>
    <t>MCF IN</t>
  </si>
  <si>
    <t>INE558B01017</t>
  </si>
  <si>
    <t>DVL</t>
  </si>
  <si>
    <t>DVL IN</t>
  </si>
  <si>
    <t>INE477B01010</t>
  </si>
  <si>
    <t>BCLIND</t>
  </si>
  <si>
    <t>BCLIL IN</t>
  </si>
  <si>
    <t>INE412G01016</t>
  </si>
  <si>
    <t>ENIL</t>
  </si>
  <si>
    <t>ENIL IN</t>
  </si>
  <si>
    <t>INE265F01028</t>
  </si>
  <si>
    <t>MAC IN</t>
  </si>
  <si>
    <t>INE435D01014</t>
  </si>
  <si>
    <t>DECCANCE</t>
  </si>
  <si>
    <t>DECM IN</t>
  </si>
  <si>
    <t>INE583C01021</t>
  </si>
  <si>
    <t>NSIL</t>
  </si>
  <si>
    <t>NINV IN</t>
  </si>
  <si>
    <t>INE023A01030</t>
  </si>
  <si>
    <t>TAJGVK</t>
  </si>
  <si>
    <t>TAJG IN</t>
  </si>
  <si>
    <t>INE586B01026</t>
  </si>
  <si>
    <t>GFLLIMITED</t>
  </si>
  <si>
    <t>GFLTD IN</t>
  </si>
  <si>
    <t>INE538A01037</t>
  </si>
  <si>
    <t>INAM IN</t>
  </si>
  <si>
    <t>INE760F01010</t>
  </si>
  <si>
    <t>DCMSRIND</t>
  </si>
  <si>
    <t>DCMSI IN</t>
  </si>
  <si>
    <t>INE843D01027</t>
  </si>
  <si>
    <t>GICHSGFIN</t>
  </si>
  <si>
    <t>GICHF IN</t>
  </si>
  <si>
    <t>INE289B01019</t>
  </si>
  <si>
    <t>AVL IN</t>
  </si>
  <si>
    <t>INE679V01019</t>
  </si>
  <si>
    <t>GMRL IN</t>
  </si>
  <si>
    <t>INE641R01017</t>
  </si>
  <si>
    <t>JAYBARMARU</t>
  </si>
  <si>
    <t>JBM IN</t>
  </si>
  <si>
    <t>INE571B01028</t>
  </si>
  <si>
    <t>KICL</t>
  </si>
  <si>
    <t>KALY IN</t>
  </si>
  <si>
    <t>INE029L01018</t>
  </si>
  <si>
    <t>UNIVPHOTO</t>
  </si>
  <si>
    <t>UNIPHOTO IN</t>
  </si>
  <si>
    <t>INE03V001013</t>
  </si>
  <si>
    <t>RPE IN</t>
  </si>
  <si>
    <t>INE912T01018</t>
  </si>
  <si>
    <t>HEXATRADEX</t>
  </si>
  <si>
    <t>HEXA IN</t>
  </si>
  <si>
    <t>INE750M01017</t>
  </si>
  <si>
    <t>APCL</t>
  </si>
  <si>
    <t>SHZC IN</t>
  </si>
  <si>
    <t>INE071F01012</t>
  </si>
  <si>
    <t>DHARAMSI</t>
  </si>
  <si>
    <t>DMCC IN</t>
  </si>
  <si>
    <t>INE505A01010</t>
  </si>
  <si>
    <t>PGIL</t>
  </si>
  <si>
    <t>PGIL IN</t>
  </si>
  <si>
    <t>INE940H01014</t>
  </si>
  <si>
    <t>NDTV</t>
  </si>
  <si>
    <t>NDTV IN</t>
  </si>
  <si>
    <t>INE155G01029</t>
  </si>
  <si>
    <t>AARTISURF</t>
  </si>
  <si>
    <t>AARTISUR IN</t>
  </si>
  <si>
    <t>INE09EO01013</t>
  </si>
  <si>
    <t>DEEP IN</t>
  </si>
  <si>
    <t>INE00IY01012</t>
  </si>
  <si>
    <t>SKIPPER</t>
  </si>
  <si>
    <t>SKIPPER IN</t>
  </si>
  <si>
    <t>INE439E01022</t>
  </si>
  <si>
    <t>INL IN</t>
  </si>
  <si>
    <t>INE300B01022</t>
  </si>
  <si>
    <t>PITTIENG</t>
  </si>
  <si>
    <t>PITTIENG IN</t>
  </si>
  <si>
    <t>INE450D01021</t>
  </si>
  <si>
    <t>ARMANFIN</t>
  </si>
  <si>
    <t>ARLF IN</t>
  </si>
  <si>
    <t>INE109C01017</t>
  </si>
  <si>
    <t>DYNPRO</t>
  </si>
  <si>
    <t>DYPL IN</t>
  </si>
  <si>
    <t>INE256H01015</t>
  </si>
  <si>
    <t>NAHARPOLY</t>
  </si>
  <si>
    <t>NPFL IN</t>
  </si>
  <si>
    <t>INE308A01027</t>
  </si>
  <si>
    <t>CENTUM</t>
  </si>
  <si>
    <t>CTE IN</t>
  </si>
  <si>
    <t>INE320B01020</t>
  </si>
  <si>
    <t>VLSFINANCE</t>
  </si>
  <si>
    <t>VLS IN</t>
  </si>
  <si>
    <t>INE709A01018</t>
  </si>
  <si>
    <t>GUJTHEMIS</t>
  </si>
  <si>
    <t>GTB IN</t>
  </si>
  <si>
    <t>INE942C01029</t>
  </si>
  <si>
    <t>UTTAMSUGAR</t>
  </si>
  <si>
    <t>UTSM IN</t>
  </si>
  <si>
    <t>INE786F01031</t>
  </si>
  <si>
    <t>LINCOLN</t>
  </si>
  <si>
    <t>LPH IN</t>
  </si>
  <si>
    <t>INE405C01035</t>
  </si>
  <si>
    <t>SALASAR</t>
  </si>
  <si>
    <t>SALASAR IN</t>
  </si>
  <si>
    <t>INE170V01019</t>
  </si>
  <si>
    <t>RDD IN</t>
  </si>
  <si>
    <t>INE986B01036</t>
  </si>
  <si>
    <t>NELCAST</t>
  </si>
  <si>
    <t>NELC IN</t>
  </si>
  <si>
    <t>INE189I01024</t>
  </si>
  <si>
    <t>VJS IN</t>
  </si>
  <si>
    <t>INE362D01010</t>
  </si>
  <si>
    <t>YUKEN</t>
  </si>
  <si>
    <t>YI IN</t>
  </si>
  <si>
    <t>INE384C01016</t>
  </si>
  <si>
    <t>BKST IN</t>
  </si>
  <si>
    <t>INE213D01015</t>
  </si>
  <si>
    <t>ARIHANTSUP</t>
  </si>
  <si>
    <t>ARSU IN</t>
  </si>
  <si>
    <t>INE643K01018</t>
  </si>
  <si>
    <t>SNOWMAN</t>
  </si>
  <si>
    <t>SNLL IN</t>
  </si>
  <si>
    <t>INE734N01019</t>
  </si>
  <si>
    <t>RAC IN</t>
  </si>
  <si>
    <t>INE704B01017</t>
  </si>
  <si>
    <t>FAZETHREE</t>
  </si>
  <si>
    <t>FZT IN</t>
  </si>
  <si>
    <t>INE963C01033</t>
  </si>
  <si>
    <t>INDRAMEDCO</t>
  </si>
  <si>
    <t>IPMC IN</t>
  </si>
  <si>
    <t>INE681B01017</t>
  </si>
  <si>
    <t>SEACOAST IN</t>
  </si>
  <si>
    <t>INE277T01016</t>
  </si>
  <si>
    <t>KUANTUM</t>
  </si>
  <si>
    <t>KAUN IN</t>
  </si>
  <si>
    <t>INE529I01021</t>
  </si>
  <si>
    <t>SUMMITSEC</t>
  </si>
  <si>
    <t>SUMM IN</t>
  </si>
  <si>
    <t>INE519C01017</t>
  </si>
  <si>
    <t>ORIENTHOT</t>
  </si>
  <si>
    <t>OTH IN</t>
  </si>
  <si>
    <t>INE750A01020</t>
  </si>
  <si>
    <t>NIYOGIN IN</t>
  </si>
  <si>
    <t>INE480D01010</t>
  </si>
  <si>
    <t>SCMN IN</t>
  </si>
  <si>
    <t>INE555C01029</t>
  </si>
  <si>
    <t>MIRCELECTR</t>
  </si>
  <si>
    <t>MIRC IN</t>
  </si>
  <si>
    <t>INE831A01028</t>
  </si>
  <si>
    <t>SADBHAV</t>
  </si>
  <si>
    <t>SADE IN</t>
  </si>
  <si>
    <t>INE226H01026</t>
  </si>
  <si>
    <t>NAGAFERT</t>
  </si>
  <si>
    <t>NAGARFER IN</t>
  </si>
  <si>
    <t>INE454M01024</t>
  </si>
  <si>
    <t>KSE</t>
  </si>
  <si>
    <t>KRSE IN</t>
  </si>
  <si>
    <t>INE953E01014</t>
  </si>
  <si>
    <t>TAKE</t>
  </si>
  <si>
    <t>TAKE IN</t>
  </si>
  <si>
    <t>INE142I01023</t>
  </si>
  <si>
    <t>RELTD IN</t>
  </si>
  <si>
    <t>INE206N01018</t>
  </si>
  <si>
    <t>BLKASHYAP</t>
  </si>
  <si>
    <t>KASH IN</t>
  </si>
  <si>
    <t>INE350H01032</t>
  </si>
  <si>
    <t>HLVLTD</t>
  </si>
  <si>
    <t>LELA IN</t>
  </si>
  <si>
    <t>INE102A01024</t>
  </si>
  <si>
    <t>ORIENTPPR</t>
  </si>
  <si>
    <t>OPI IN</t>
  </si>
  <si>
    <t>INE592A01026</t>
  </si>
  <si>
    <t>LIKHITHA</t>
  </si>
  <si>
    <t>LIKHITHA IN</t>
  </si>
  <si>
    <t>INE060901019</t>
  </si>
  <si>
    <t>REPRO</t>
  </si>
  <si>
    <t>REPR IN</t>
  </si>
  <si>
    <t>INE461B01014</t>
  </si>
  <si>
    <t>ANPL IN</t>
  </si>
  <si>
    <t>INE275D01022</t>
  </si>
  <si>
    <t>LYKALABS</t>
  </si>
  <si>
    <t>LYKA IN</t>
  </si>
  <si>
    <t>INE933A01014</t>
  </si>
  <si>
    <t>ASM IN</t>
  </si>
  <si>
    <t>INE867C01010</t>
  </si>
  <si>
    <t>VADILALIND</t>
  </si>
  <si>
    <t>VDI IN</t>
  </si>
  <si>
    <t>INE694D01016</t>
  </si>
  <si>
    <t>GANESHBE</t>
  </si>
  <si>
    <t>GBP IN</t>
  </si>
  <si>
    <t>INE388A01029</t>
  </si>
  <si>
    <t>KRITI</t>
  </si>
  <si>
    <t>KAP IN</t>
  </si>
  <si>
    <t>INE479D01038</t>
  </si>
  <si>
    <t>HCL-INSYS</t>
  </si>
  <si>
    <t>HCLI IN</t>
  </si>
  <si>
    <t>INE236A01020</t>
  </si>
  <si>
    <t>HPAL</t>
  </si>
  <si>
    <t>HPAL IN</t>
  </si>
  <si>
    <t>INE0GSL01016</t>
  </si>
  <si>
    <t>ONWARDTEC</t>
  </si>
  <si>
    <t>ONT IN</t>
  </si>
  <si>
    <t>INE229A01017</t>
  </si>
  <si>
    <t>RBL</t>
  </si>
  <si>
    <t>RABL IN</t>
  </si>
  <si>
    <t>INE244J01017</t>
  </si>
  <si>
    <t>SHREEPUSHK</t>
  </si>
  <si>
    <t>PCFL IN</t>
  </si>
  <si>
    <t>INE712K01011</t>
  </si>
  <si>
    <t>EXXARO</t>
  </si>
  <si>
    <t>EXXARO IN</t>
  </si>
  <si>
    <t>INE0GFE01018</t>
  </si>
  <si>
    <t>BALAJITELE</t>
  </si>
  <si>
    <t>BLJT IN</t>
  </si>
  <si>
    <t>INE794B01026</t>
  </si>
  <si>
    <t>HITECH</t>
  </si>
  <si>
    <t>HITECH IN</t>
  </si>
  <si>
    <t>INE106T01017</t>
  </si>
  <si>
    <t>KANORICHEM</t>
  </si>
  <si>
    <t>KC IN</t>
  </si>
  <si>
    <t>INE138C01024</t>
  </si>
  <si>
    <t>STCINDIA</t>
  </si>
  <si>
    <t>STC IN</t>
  </si>
  <si>
    <t>INE655A01013</t>
  </si>
  <si>
    <t>JAYAGROGN</t>
  </si>
  <si>
    <t>JAO IN</t>
  </si>
  <si>
    <t>INE785A01026</t>
  </si>
  <si>
    <t>DELPHIFX</t>
  </si>
  <si>
    <t>WEIZF IN</t>
  </si>
  <si>
    <t>INE726L01019</t>
  </si>
  <si>
    <t>GALLANTT</t>
  </si>
  <si>
    <t>GALL IN</t>
  </si>
  <si>
    <t>INE297H01019</t>
  </si>
  <si>
    <t>STERTOOLS</t>
  </si>
  <si>
    <t>STRT IN</t>
  </si>
  <si>
    <t>INE334A01023</t>
  </si>
  <si>
    <t>SPAC IN</t>
  </si>
  <si>
    <t>INE498Q01014</t>
  </si>
  <si>
    <t>LOYL IN</t>
  </si>
  <si>
    <t>INE970D01010</t>
  </si>
  <si>
    <t>AURIONPRO</t>
  </si>
  <si>
    <t>AUPS IN</t>
  </si>
  <si>
    <t>INE132H01018</t>
  </si>
  <si>
    <t>SANG IN</t>
  </si>
  <si>
    <t>INE299N01013</t>
  </si>
  <si>
    <t>EWIL IN</t>
  </si>
  <si>
    <t>INE130L01014</t>
  </si>
  <si>
    <t>NAHARCAP</t>
  </si>
  <si>
    <t>NCFS IN</t>
  </si>
  <si>
    <t>INE049I01012</t>
  </si>
  <si>
    <t>NAVKARCORP</t>
  </si>
  <si>
    <t>NACO IN</t>
  </si>
  <si>
    <t>INE278M01019</t>
  </si>
  <si>
    <t>AUTOCORP</t>
  </si>
  <si>
    <t>ACGL IN</t>
  </si>
  <si>
    <t>INE451C01013</t>
  </si>
  <si>
    <t>JAIBALAJI</t>
  </si>
  <si>
    <t>JBIL IN</t>
  </si>
  <si>
    <t>INE091G01018</t>
  </si>
  <si>
    <t>KHAICHEM</t>
  </si>
  <si>
    <t>KCF IN</t>
  </si>
  <si>
    <t>INE745B01028</t>
  </si>
  <si>
    <t>KELLTONTEC</t>
  </si>
  <si>
    <t>KTSL IN</t>
  </si>
  <si>
    <t>INE164B01022</t>
  </si>
  <si>
    <t>HTMEDIA</t>
  </si>
  <si>
    <t>HTML IN</t>
  </si>
  <si>
    <t>INE501G01024</t>
  </si>
  <si>
    <t>KOKUYOCMLN</t>
  </si>
  <si>
    <t>CAMLN IN</t>
  </si>
  <si>
    <t>INE760A01029</t>
  </si>
  <si>
    <t>LANCER IN</t>
  </si>
  <si>
    <t>INE359U01010</t>
  </si>
  <si>
    <t>OBCL IN</t>
  </si>
  <si>
    <t>INE426Z01016</t>
  </si>
  <si>
    <t>OVP IN</t>
  </si>
  <si>
    <t>INE457G01029</t>
  </si>
  <si>
    <t>STEELCAS</t>
  </si>
  <si>
    <t>STLCS IN</t>
  </si>
  <si>
    <t>INE124E01020</t>
  </si>
  <si>
    <t>SATIN</t>
  </si>
  <si>
    <t>SATIN IN</t>
  </si>
  <si>
    <t>INE836B01017</t>
  </si>
  <si>
    <t>CFIS IN</t>
  </si>
  <si>
    <t>INE102B01014</t>
  </si>
  <si>
    <t>DLINKINDIA</t>
  </si>
  <si>
    <t>DLINK IN</t>
  </si>
  <si>
    <t>INE250K01012</t>
  </si>
  <si>
    <t>ORICONENT</t>
  </si>
  <si>
    <t>OTE IN</t>
  </si>
  <si>
    <t>INE730A01022</t>
  </si>
  <si>
    <t>ADSL</t>
  </si>
  <si>
    <t>ALDS IN</t>
  </si>
  <si>
    <t>INE102I01027</t>
  </si>
  <si>
    <t>SHALPAINTS</t>
  </si>
  <si>
    <t>SHP IN</t>
  </si>
  <si>
    <t>INE849C01026</t>
  </si>
  <si>
    <t>NECLIFE</t>
  </si>
  <si>
    <t>NLSC IN</t>
  </si>
  <si>
    <t>INE023H01027</t>
  </si>
  <si>
    <t>VISHAL</t>
  </si>
  <si>
    <t>VIFL IN</t>
  </si>
  <si>
    <t>INE755Q01025</t>
  </si>
  <si>
    <t>HUIL IN</t>
  </si>
  <si>
    <t>INE799B01017</t>
  </si>
  <si>
    <t>WIMPLAST</t>
  </si>
  <si>
    <t>WMP IN</t>
  </si>
  <si>
    <t>INE015B01018</t>
  </si>
  <si>
    <t>KPIGLOBAL</t>
  </si>
  <si>
    <t>KPIG IN</t>
  </si>
  <si>
    <t>INE542W01017</t>
  </si>
  <si>
    <t>RICOAUTO</t>
  </si>
  <si>
    <t>RAI IN</t>
  </si>
  <si>
    <t>INE209B01025</t>
  </si>
  <si>
    <t>PLASTIBLEN</t>
  </si>
  <si>
    <t>PBL IN</t>
  </si>
  <si>
    <t>INE083C01022</t>
  </si>
  <si>
    <t>IFBAGRO</t>
  </si>
  <si>
    <t>IFBA IN</t>
  </si>
  <si>
    <t>INE076C01018</t>
  </si>
  <si>
    <t>IST IN</t>
  </si>
  <si>
    <t>INE684B01029</t>
  </si>
  <si>
    <t>TAALENT IN</t>
  </si>
  <si>
    <t>INE524T01011</t>
  </si>
  <si>
    <t>MUTHOOTCAP</t>
  </si>
  <si>
    <t>MTCS IN</t>
  </si>
  <si>
    <t>INE296G01013</t>
  </si>
  <si>
    <t>FIT IN</t>
  </si>
  <si>
    <t>INE547B01028</t>
  </si>
  <si>
    <t>PROZONINTU</t>
  </si>
  <si>
    <t>PROZONE IN</t>
  </si>
  <si>
    <t>INE195N01013</t>
  </si>
  <si>
    <t>GLOS IN</t>
  </si>
  <si>
    <t>INE350Z01018</t>
  </si>
  <si>
    <t>WINDLAS</t>
  </si>
  <si>
    <t>WINDLAS IN</t>
  </si>
  <si>
    <t>INE0H5O01029</t>
  </si>
  <si>
    <t>JCT</t>
  </si>
  <si>
    <t>JCT IN</t>
  </si>
  <si>
    <t>INE945A01026</t>
  </si>
  <si>
    <t>FLATPROD</t>
  </si>
  <si>
    <t>FPE IN</t>
  </si>
  <si>
    <t>INE515A01019</t>
  </si>
  <si>
    <t>TANFACIND</t>
  </si>
  <si>
    <t>TANF IN</t>
  </si>
  <si>
    <t>INE639B01015</t>
  </si>
  <si>
    <t>SRHHYPOLTD</t>
  </si>
  <si>
    <t>SRAY IN</t>
  </si>
  <si>
    <t>INE917H01012</t>
  </si>
  <si>
    <t>ADVX IN</t>
  </si>
  <si>
    <t>INE767C01012</t>
  </si>
  <si>
    <t>KAMDHENU</t>
  </si>
  <si>
    <t>KAMD IN</t>
  </si>
  <si>
    <t>INE390H01012</t>
  </si>
  <si>
    <t>V2RETAIL</t>
  </si>
  <si>
    <t>VREL IN</t>
  </si>
  <si>
    <t>INE945H01013</t>
  </si>
  <si>
    <t>SANDESH</t>
  </si>
  <si>
    <t>SDSH IN</t>
  </si>
  <si>
    <t>INE583B01015</t>
  </si>
  <si>
    <t>CONTROLPR</t>
  </si>
  <si>
    <t>CTPI IN</t>
  </si>
  <si>
    <t>INE663B01015</t>
  </si>
  <si>
    <t>GPPL IN</t>
  </si>
  <si>
    <t>INE136C01044</t>
  </si>
  <si>
    <t>GAYAPROJ</t>
  </si>
  <si>
    <t>GAYP IN</t>
  </si>
  <si>
    <t>INE336H01023</t>
  </si>
  <si>
    <t>NBIFIN</t>
  </si>
  <si>
    <t>NBI IN</t>
  </si>
  <si>
    <t>INE365I01020</t>
  </si>
  <si>
    <t>MIFL IN</t>
  </si>
  <si>
    <t>INE717C01025</t>
  </si>
  <si>
    <t>RUBFILINTL</t>
  </si>
  <si>
    <t>RBFI IN</t>
  </si>
  <si>
    <t>INE642C01025</t>
  </si>
  <si>
    <t>MANINDS</t>
  </si>
  <si>
    <t>MAN IN</t>
  </si>
  <si>
    <t>INE993A01026</t>
  </si>
  <si>
    <t>KAYA</t>
  </si>
  <si>
    <t>KAYA IN</t>
  </si>
  <si>
    <t>INE587G01015</t>
  </si>
  <si>
    <t>BETA</t>
  </si>
  <si>
    <t>BETADR IN</t>
  </si>
  <si>
    <t>INE351Y01019</t>
  </si>
  <si>
    <t>NDL</t>
  </si>
  <si>
    <t>NAND IN</t>
  </si>
  <si>
    <t>INE875G01030</t>
  </si>
  <si>
    <t>ARTEMISMED</t>
  </si>
  <si>
    <t>ARTMSL IN</t>
  </si>
  <si>
    <t>INE025R01021</t>
  </si>
  <si>
    <t>UNIVCABLES</t>
  </si>
  <si>
    <t>UVC IN</t>
  </si>
  <si>
    <t>INE279A01012</t>
  </si>
  <si>
    <t>RAMAPHOSP</t>
  </si>
  <si>
    <t>RMPH IN</t>
  </si>
  <si>
    <t>INE809A01024</t>
  </si>
  <si>
    <t>RTP IN</t>
  </si>
  <si>
    <t>INE535D01029</t>
  </si>
  <si>
    <t>XELPMOC</t>
  </si>
  <si>
    <t>XELP IN</t>
  </si>
  <si>
    <t>INE01P501012</t>
  </si>
  <si>
    <t>HITECHCORP</t>
  </si>
  <si>
    <t>HTCORP IN</t>
  </si>
  <si>
    <t>INE120D01012</t>
  </si>
  <si>
    <t>SADBHIN</t>
  </si>
  <si>
    <t>SINP IN</t>
  </si>
  <si>
    <t>INE764L01010</t>
  </si>
  <si>
    <t>MUNJALAU</t>
  </si>
  <si>
    <t>GCY IN</t>
  </si>
  <si>
    <t>INE672B01032</t>
  </si>
  <si>
    <t>AGARIND</t>
  </si>
  <si>
    <t>AGAR IN</t>
  </si>
  <si>
    <t>INE204E01012</t>
  </si>
  <si>
    <t>BASML</t>
  </si>
  <si>
    <t>BASM IN</t>
  </si>
  <si>
    <t>INE186H01022</t>
  </si>
  <si>
    <t>MEGASOFT</t>
  </si>
  <si>
    <t>MGSF IN</t>
  </si>
  <si>
    <t>INE933B01012</t>
  </si>
  <si>
    <t>SAHI IN</t>
  </si>
  <si>
    <t>INE280H01015</t>
  </si>
  <si>
    <t>SARLAPOLY</t>
  </si>
  <si>
    <t>SRPL IN</t>
  </si>
  <si>
    <t>INE453D01025</t>
  </si>
  <si>
    <t>TFCILTD</t>
  </si>
  <si>
    <t>TFCI IN</t>
  </si>
  <si>
    <t>INE305A01015</t>
  </si>
  <si>
    <t>VENUSREM</t>
  </si>
  <si>
    <t>VNR IN</t>
  </si>
  <si>
    <t>INE411B01019</t>
  </si>
  <si>
    <t>RML</t>
  </si>
  <si>
    <t>RML IN</t>
  </si>
  <si>
    <t>INE050H01012</t>
  </si>
  <si>
    <t>VISHWARAJ</t>
  </si>
  <si>
    <t>VISHWARA IN</t>
  </si>
  <si>
    <t>INE430N01022</t>
  </si>
  <si>
    <t>SHREYAS</t>
  </si>
  <si>
    <t>SRYS IN</t>
  </si>
  <si>
    <t>INE757B01015</t>
  </si>
  <si>
    <t>MARATHON</t>
  </si>
  <si>
    <t>MNRT IN</t>
  </si>
  <si>
    <t>INE182D01020</t>
  </si>
  <si>
    <t>DCMNVL</t>
  </si>
  <si>
    <t>DCMNVL IN</t>
  </si>
  <si>
    <t>INE08KP01019</t>
  </si>
  <si>
    <t>JASH</t>
  </si>
  <si>
    <t>JASH IN</t>
  </si>
  <si>
    <t>INE039O01011</t>
  </si>
  <si>
    <t>STXC IN</t>
  </si>
  <si>
    <t>INE356B01016</t>
  </si>
  <si>
    <t>VASCONEQ</t>
  </si>
  <si>
    <t>VSCN IN</t>
  </si>
  <si>
    <t>INE893I01013</t>
  </si>
  <si>
    <t>THEINVEST</t>
  </si>
  <si>
    <t>THEINVES IN</t>
  </si>
  <si>
    <t>INE924D01017</t>
  </si>
  <si>
    <t>TBZ</t>
  </si>
  <si>
    <t>TBZL IN</t>
  </si>
  <si>
    <t>INE760L01018</t>
  </si>
  <si>
    <t>ANUH IN</t>
  </si>
  <si>
    <t>INE489G01022</t>
  </si>
  <si>
    <t>KRISHANA</t>
  </si>
  <si>
    <t>KRISHANA IN</t>
  </si>
  <si>
    <t>INE506W01012</t>
  </si>
  <si>
    <t>ROSSELLIND</t>
  </si>
  <si>
    <t>ROST IN</t>
  </si>
  <si>
    <t>INE847C01020</t>
  </si>
  <si>
    <t>MARINE</t>
  </si>
  <si>
    <t>MARINE IN</t>
  </si>
  <si>
    <t>INE01JE01028</t>
  </si>
  <si>
    <t>SREERAYALK</t>
  </si>
  <si>
    <t>TGVSL IN</t>
  </si>
  <si>
    <t>INE284B01028</t>
  </si>
  <si>
    <t>MCIL IN</t>
  </si>
  <si>
    <t>INE599F01020</t>
  </si>
  <si>
    <t>CREATIVE</t>
  </si>
  <si>
    <t>CREATIVE IN</t>
  </si>
  <si>
    <t>INE985W01018</t>
  </si>
  <si>
    <t>CONSOFINVT</t>
  </si>
  <si>
    <t>CDFH IN</t>
  </si>
  <si>
    <t>INE025A01027</t>
  </si>
  <si>
    <t>HMVL</t>
  </si>
  <si>
    <t>HMVL IN</t>
  </si>
  <si>
    <t>INE871K01015</t>
  </si>
  <si>
    <t>FFSL IN</t>
  </si>
  <si>
    <t>INE734I01027</t>
  </si>
  <si>
    <t>ASIANENE</t>
  </si>
  <si>
    <t>AOS IN</t>
  </si>
  <si>
    <t>INE276G01015</t>
  </si>
  <si>
    <t>BGRENERGY</t>
  </si>
  <si>
    <t>BGRL IN</t>
  </si>
  <si>
    <t>INE661I01014</t>
  </si>
  <si>
    <t>3I Infotech Ltd</t>
  </si>
  <si>
    <t>3M India Ltd</t>
  </si>
  <si>
    <t>5Paisa Capital Ltd</t>
  </si>
  <si>
    <t>63 Moons Technologies Ltd</t>
  </si>
  <si>
    <t>Aarti Drugs Ltd</t>
  </si>
  <si>
    <t>Aarti Industries Ltd</t>
  </si>
  <si>
    <t>Aarti Surfactants Ltd</t>
  </si>
  <si>
    <t>Aavas Financiers Ltd</t>
  </si>
  <si>
    <t>ABB India Ltd</t>
  </si>
  <si>
    <t>Abbott India Ltd</t>
  </si>
  <si>
    <t>ACC Ltd</t>
  </si>
  <si>
    <t>Accelya Solutions India Ltd</t>
  </si>
  <si>
    <t>Acrysil Ltd</t>
  </si>
  <si>
    <t>Action Construction Equipment Ltd</t>
  </si>
  <si>
    <t>Adani Enterprises Ltd</t>
  </si>
  <si>
    <t>Adani Green Energy Ltd</t>
  </si>
  <si>
    <t>Adani Ports and Special Economic Zone Ltd</t>
  </si>
  <si>
    <t>Adani Power Ltd</t>
  </si>
  <si>
    <t>Adani Total Gas Ltd</t>
  </si>
  <si>
    <t>Adani Transmission Ltd</t>
  </si>
  <si>
    <t>ADF Foods Ltd</t>
  </si>
  <si>
    <t>Aditya Birla Capital Ltd</t>
  </si>
  <si>
    <t>Aditya Birla Fashion and Retail Ltd</t>
  </si>
  <si>
    <t>Aditya Birla Sun Life AMC Ltd</t>
  </si>
  <si>
    <t>Aditya Vision Ltd</t>
  </si>
  <si>
    <t>Ador Welding Ltd</t>
  </si>
  <si>
    <t>Advanced Enzyme Technologies Ltd</t>
  </si>
  <si>
    <t>Aegis Logistics Ltd</t>
  </si>
  <si>
    <t>Affle (India) Ltd</t>
  </si>
  <si>
    <t>Agarwal Industrial Corporation Ltd</t>
  </si>
  <si>
    <t>Agro Tech Foods Ltd</t>
  </si>
  <si>
    <t>Ahluwalia Contracts (India) Ltd</t>
  </si>
  <si>
    <t>AIA Engineering Ltd</t>
  </si>
  <si>
    <t>Ajanta Pharma Ltd</t>
  </si>
  <si>
    <t>Ajmera Realty &amp; Infra India Ltd</t>
  </si>
  <si>
    <t>Akzo Nobel India Ltd</t>
  </si>
  <si>
    <t>Alembic Ltd</t>
  </si>
  <si>
    <t>Alembic Pharmaceuticals Ltd</t>
  </si>
  <si>
    <t>Alicon Castalloy Ltd</t>
  </si>
  <si>
    <t>Alkem Laboratories Ltd</t>
  </si>
  <si>
    <t>Alkyl Amines Chemicals Ltd</t>
  </si>
  <si>
    <t>Allcargo Logistics Ltd</t>
  </si>
  <si>
    <t>Allied Digital Services Ltd</t>
  </si>
  <si>
    <t>Allsec Technologies Ltd</t>
  </si>
  <si>
    <t>Alok Industries Ltd</t>
  </si>
  <si>
    <t>Amara Raja Batteries Ltd</t>
  </si>
  <si>
    <t>Amber Enterprises India Ltd</t>
  </si>
  <si>
    <t>Ambika Cotton Mills Ltd</t>
  </si>
  <si>
    <t>Ambuja Cements Ltd</t>
  </si>
  <si>
    <t>AMI Organics Ltd</t>
  </si>
  <si>
    <t>Amines &amp; Plasticizers Ltd</t>
  </si>
  <si>
    <t>Amrutanjan Health Care Ltd</t>
  </si>
  <si>
    <t>Anand Rathi Wealth Ltd</t>
  </si>
  <si>
    <t>Anant Raj Ltd</t>
  </si>
  <si>
    <t>Andhra Paper Ltd</t>
  </si>
  <si>
    <t>Andhra Petrochemicals Ltd</t>
  </si>
  <si>
    <t>Andrew Yule &amp; Company Ltd</t>
  </si>
  <si>
    <t>Angel One Ltd</t>
  </si>
  <si>
    <t>Anjani Portland Cement Ltd</t>
  </si>
  <si>
    <t>Antony Waste Handling Cell Ltd</t>
  </si>
  <si>
    <t>Anuh Pharma Ltd</t>
  </si>
  <si>
    <t>Anupam Rasayan India Ltd</t>
  </si>
  <si>
    <t>Apar Industries Ltd</t>
  </si>
  <si>
    <t>Apcotex Industries Ltd</t>
  </si>
  <si>
    <t>Apex Frozen Foods Ltd</t>
  </si>
  <si>
    <t>APL Apollo Tubes Ltd</t>
  </si>
  <si>
    <t>Apollo Hospitals Enterprise Ltd</t>
  </si>
  <si>
    <t>Apollo Pipes Ltd</t>
  </si>
  <si>
    <t>Apollo Tricoat Tubes Ltd</t>
  </si>
  <si>
    <t>Apollo Tyres Ltd</t>
  </si>
  <si>
    <t>Aptech Ltd</t>
  </si>
  <si>
    <t>Aptus Value Housing Finance India Ltd</t>
  </si>
  <si>
    <t>Arihant Superstructures Ltd</t>
  </si>
  <si>
    <t>Arman Financial Services Ltd</t>
  </si>
  <si>
    <t>Arshiya Ltd</t>
  </si>
  <si>
    <t>Artemis Medicare Services Ltd</t>
  </si>
  <si>
    <t>Arvind Fashions Ltd</t>
  </si>
  <si>
    <t>Arvind Ltd</t>
  </si>
  <si>
    <t>Arvind Smartspaces Ltd</t>
  </si>
  <si>
    <t>Asahi India Glass Ltd</t>
  </si>
  <si>
    <t>Ashapura Minechem Ltd</t>
  </si>
  <si>
    <t>Ashiana Housing Ltd</t>
  </si>
  <si>
    <t>Ashok Leyland Ltd</t>
  </si>
  <si>
    <t>Ashoka Buildcon Ltd</t>
  </si>
  <si>
    <t>Asian Energy Services Ltd</t>
  </si>
  <si>
    <t>Asian Granito India Ltd</t>
  </si>
  <si>
    <t>Asian Paints Ltd</t>
  </si>
  <si>
    <t>Asian Star Company Ltd</t>
  </si>
  <si>
    <t>ASM Technologies Ltd</t>
  </si>
  <si>
    <t>Associated Alcohols &amp; Breweries Ltd</t>
  </si>
  <si>
    <t>Astec Lifesciences Ltd</t>
  </si>
  <si>
    <t>Aster DM Healthcare Ltd</t>
  </si>
  <si>
    <t>Astra Microwave Products Ltd</t>
  </si>
  <si>
    <t>Astral Ltd</t>
  </si>
  <si>
    <t>Astrazeneca Pharma India Ltd</t>
  </si>
  <si>
    <t>Atul Ltd</t>
  </si>
  <si>
    <t>AU Small Finance Bank Ltd</t>
  </si>
  <si>
    <t>Aurionpro Solutions Ltd</t>
  </si>
  <si>
    <t>Aurobindo Pharma Ltd</t>
  </si>
  <si>
    <t>Authum Investment &amp; Infrastructure Ltd</t>
  </si>
  <si>
    <t>Automobile Corporation of Goa Ltd</t>
  </si>
  <si>
    <t>Automotive Axles Ltd</t>
  </si>
  <si>
    <t>Automotive Stampings and Assemblies Ltd</t>
  </si>
  <si>
    <t>Avadh Sugar &amp; Energy Ltd</t>
  </si>
  <si>
    <t>Avanti Feeds Ltd</t>
  </si>
  <si>
    <t>Avenue Supermarts Ltd</t>
  </si>
  <si>
    <t>AVT Natural Products Ltd</t>
  </si>
  <si>
    <t>Axis Bank Ltd</t>
  </si>
  <si>
    <t>Axtel Industries Ltd</t>
  </si>
  <si>
    <t>BLKashyap and Sons Ltd</t>
  </si>
  <si>
    <t>Bajaj Auto Ltd</t>
  </si>
  <si>
    <t>Bajaj Consumer Care Ltd</t>
  </si>
  <si>
    <t>Bajaj Electricals Ltd</t>
  </si>
  <si>
    <t>Bajaj Finance Ltd</t>
  </si>
  <si>
    <t>Bajaj Finserv Ltd</t>
  </si>
  <si>
    <t>Bajaj Healthcare Ltd</t>
  </si>
  <si>
    <t>Bajaj Hindusthan Sugar Ltd</t>
  </si>
  <si>
    <t>Bajaj Holdings &amp; Investment Ltd</t>
  </si>
  <si>
    <t>Balaji Amines Ltd</t>
  </si>
  <si>
    <t>Balaji Telefilms Ltd</t>
  </si>
  <si>
    <t>Balkrishna Industries Ltd</t>
  </si>
  <si>
    <t>Balmer Lawrie &amp; Company Ltd</t>
  </si>
  <si>
    <t>Balmer Lawrie Investments Ltd</t>
  </si>
  <si>
    <t>Balrampur Chini Mills Ltd</t>
  </si>
  <si>
    <t>Balu Forge Industries Ltd</t>
  </si>
  <si>
    <t>Banco Products (India) Ltd</t>
  </si>
  <si>
    <t>Bandhan Bank Ltd</t>
  </si>
  <si>
    <t>Bannari Amman Spinning Mills Ltd</t>
  </si>
  <si>
    <t>Bannari Amman Sugars Ltd</t>
  </si>
  <si>
    <t>Barbeque-Nation Hospitality Ltd</t>
  </si>
  <si>
    <t>BASF India Ltd</t>
  </si>
  <si>
    <t>Bata India Ltd</t>
  </si>
  <si>
    <t>Bayer CropScience Ltd</t>
  </si>
  <si>
    <t>BCL Industries Ltd</t>
  </si>
  <si>
    <t>Beekay Steel Industries Ltd</t>
  </si>
  <si>
    <t>BEML Ltd</t>
  </si>
  <si>
    <t>Bengal &amp; Assam Company Ltd</t>
  </si>
  <si>
    <t>Berger Paints India Ltd</t>
  </si>
  <si>
    <t>Best Agrolife Ltd</t>
  </si>
  <si>
    <t>Beta Drugs Ltd</t>
  </si>
  <si>
    <t>BF Investment Ltd</t>
  </si>
  <si>
    <t>BF Utilities Ltd</t>
  </si>
  <si>
    <t>BGR Energy Systems Ltd</t>
  </si>
  <si>
    <t>Bhageria Industries Ltd</t>
  </si>
  <si>
    <t>Bhagiradha Chemicals &amp; Industries Ltd</t>
  </si>
  <si>
    <t>Bhansali Engineering Polymers Ltd</t>
  </si>
  <si>
    <t>Bharat Bijlee Ltd</t>
  </si>
  <si>
    <t>Bharat Dynamics Ltd</t>
  </si>
  <si>
    <t>Bharat Electronics Ltd</t>
  </si>
  <si>
    <t>Bharat Forge Ltd</t>
  </si>
  <si>
    <t>Bharat Heavy Electricals Ltd</t>
  </si>
  <si>
    <t>Bharat Petroleum Corporation Ltd</t>
  </si>
  <si>
    <t>Bharat Rasayan Ltd</t>
  </si>
  <si>
    <t>Bharti Airtel Ltd</t>
  </si>
  <si>
    <t>Biocon Ltd</t>
  </si>
  <si>
    <t>Birla Corporation Ltd</t>
  </si>
  <si>
    <t>Birlasoft Ltd</t>
  </si>
  <si>
    <t>Black Box Ltd</t>
  </si>
  <si>
    <t>Black Rose Industries Ltd</t>
  </si>
  <si>
    <t>Bliss GVS Pharma Ltd</t>
  </si>
  <si>
    <t>BLS International Services Ltd</t>
  </si>
  <si>
    <t>Blue Dart Express Ltd</t>
  </si>
  <si>
    <t>Blue Star Ltd</t>
  </si>
  <si>
    <t>BMW Industries Ltd</t>
  </si>
  <si>
    <t>Bodal Chemicals Ltd</t>
  </si>
  <si>
    <t>Bombay Burmah Trading Corporation Ltd</t>
  </si>
  <si>
    <t>Bombay Dyeing And Manufacturing Company Ltd</t>
  </si>
  <si>
    <t>Borosil Ltd</t>
  </si>
  <si>
    <t>Borosil Renewables Ltd</t>
  </si>
  <si>
    <t>Bosch Ltd</t>
  </si>
  <si>
    <t>Brigade Enterprises Ltd</t>
  </si>
  <si>
    <t>Brightcom Group Ltd</t>
  </si>
  <si>
    <t>Britannia Industries Ltd</t>
  </si>
  <si>
    <t>BSE Ltd</t>
  </si>
  <si>
    <t>Burger King India Ltd</t>
  </si>
  <si>
    <t>Butterfly Gandhimathi Appliances Ltd</t>
  </si>
  <si>
    <t>Cadila Healthcare Ltd</t>
  </si>
  <si>
    <t>Camlin Fine Sciences Ltd</t>
  </si>
  <si>
    <t>Can Fin Homes Ltd</t>
  </si>
  <si>
    <t>Cantabil Retail India Ltd</t>
  </si>
  <si>
    <t>Capacit'e Infraprojects Ltd</t>
  </si>
  <si>
    <t>Capital India Finance Ltd</t>
  </si>
  <si>
    <t>Caplin Point Laboratories Ltd</t>
  </si>
  <si>
    <t>Capri Global Capital Ltd</t>
  </si>
  <si>
    <t>Carborundum Universal Ltd</t>
  </si>
  <si>
    <t>Care Ratings Ltd</t>
  </si>
  <si>
    <t>CarTrade Tech Ltd</t>
  </si>
  <si>
    <t>Castrol India Ltd</t>
  </si>
  <si>
    <t>CCL Products (India) Ltd</t>
  </si>
  <si>
    <t>CE Info Systems Ltd</t>
  </si>
  <si>
    <t>Ceat Ltd</t>
  </si>
  <si>
    <t>Central Depository Services (India) Ltd</t>
  </si>
  <si>
    <t>Centrum Capital Ltd</t>
  </si>
  <si>
    <t>Centum Electronics Ltd</t>
  </si>
  <si>
    <t>Century Enka Ltd</t>
  </si>
  <si>
    <t>Century Plyboards (India) Ltd</t>
  </si>
  <si>
    <t>Century Textiles &amp; Industries Ltd</t>
  </si>
  <si>
    <t>Cera Sanitaryware Ltd</t>
  </si>
  <si>
    <t>Cerebra Integrated Technologies Ltd</t>
  </si>
  <si>
    <t>CESC Ltd</t>
  </si>
  <si>
    <t>CG Power and Industrial Solutions Ltd</t>
  </si>
  <si>
    <t>Chalet Hotels Ltd</t>
  </si>
  <si>
    <t>Chambal Fertilisers and Chemicals Ltd</t>
  </si>
  <si>
    <t>Chemcon Speciality Chemicals Ltd</t>
  </si>
  <si>
    <t>Chemplast Sanmar Ltd</t>
  </si>
  <si>
    <t>Chennai Petroleum Corporation Ltd</t>
  </si>
  <si>
    <t>Cheviot Company Ltd</t>
  </si>
  <si>
    <t>Choice International Ltd</t>
  </si>
  <si>
    <t>Cholamandalam Financial Holdings Ltd</t>
  </si>
  <si>
    <t>Cholamandalam Investment and Finance Company Ltd</t>
  </si>
  <si>
    <t>Cigniti Technologies Ltd</t>
  </si>
  <si>
    <t>Cipla Ltd</t>
  </si>
  <si>
    <t>City Union Bank Ltd</t>
  </si>
  <si>
    <t>Clariant Chemicals (India) Ltd</t>
  </si>
  <si>
    <t>Clean Science And Technology Ltd</t>
  </si>
  <si>
    <t>Coal India Ltd</t>
  </si>
  <si>
    <t>Cochin Shipyard Ltd</t>
  </si>
  <si>
    <t>Coffee Day Enterprises Ltd</t>
  </si>
  <si>
    <t>Coforge Ltd</t>
  </si>
  <si>
    <t>Colgate-Palmolive (India) Ltd</t>
  </si>
  <si>
    <t>Computer Age Management Services Ltd</t>
  </si>
  <si>
    <t>Confidence Petroleum India Ltd</t>
  </si>
  <si>
    <t>Consolidated Finvest &amp; Holdings Ltd</t>
  </si>
  <si>
    <t>Container Corporation Of India Ltd</t>
  </si>
  <si>
    <t>Control Print Ltd</t>
  </si>
  <si>
    <t>Coromandel International Ltd</t>
  </si>
  <si>
    <t>Cosmo Films Ltd</t>
  </si>
  <si>
    <t>Craftsman Automation Ltd</t>
  </si>
  <si>
    <t>Creative Newtech Ltd</t>
  </si>
  <si>
    <t>CreditAccess Grameen Ltd</t>
  </si>
  <si>
    <t>CRISIL Ltd</t>
  </si>
  <si>
    <t>Crompton Greaves Consumer Electricals Ltd</t>
  </si>
  <si>
    <t>CSB Bank Ltd</t>
  </si>
  <si>
    <t>Cummins India Ltd</t>
  </si>
  <si>
    <t>Cyient Ltd</t>
  </si>
  <si>
    <t>DBCorp Ltd</t>
  </si>
  <si>
    <t>DPAbhushan Ltd</t>
  </si>
  <si>
    <t>Dabur India Ltd</t>
  </si>
  <si>
    <t>Dalmia Bharat Ltd</t>
  </si>
  <si>
    <t>Dalmia Bharat Sugar And Industries Ltd</t>
  </si>
  <si>
    <t>Data Patterns (India) Ltd</t>
  </si>
  <si>
    <t>Datamatics Global Services Ltd</t>
  </si>
  <si>
    <t>DB Realty Ltd</t>
  </si>
  <si>
    <t>DCB Bank Ltd</t>
  </si>
  <si>
    <t>DCM Nouvelle Ltd</t>
  </si>
  <si>
    <t>DCM Shriram Industries Ltd</t>
  </si>
  <si>
    <t>DCM Shriram Ltd</t>
  </si>
  <si>
    <t>DCW Ltd</t>
  </si>
  <si>
    <t>Deccan Cements Ltd</t>
  </si>
  <si>
    <t>Deep Polymers Ltd</t>
  </si>
  <si>
    <t>Deepak Fertilisers And Petrochemicals Corporation Ltd</t>
  </si>
  <si>
    <t>Deepak Nitrite Ltd</t>
  </si>
  <si>
    <t>Delphi World Money Ltd</t>
  </si>
  <si>
    <t>Delta Corp Ltd</t>
  </si>
  <si>
    <t>Den Networks Ltd</t>
  </si>
  <si>
    <t>Devyani International Ltd</t>
  </si>
  <si>
    <t>DFM Foods Ltd</t>
  </si>
  <si>
    <t>Dhampur Sugar Mills Ltd</t>
  </si>
  <si>
    <t>Dhani Services Ltd</t>
  </si>
  <si>
    <t>Dhanuka Agritech Ltd</t>
  </si>
  <si>
    <t>Dhanvarsha Finvest Ltd</t>
  </si>
  <si>
    <t>Dharamsi Morarji Chemical Company Ltd</t>
  </si>
  <si>
    <t>Dhunseri Ventures Ltd</t>
  </si>
  <si>
    <t>Digispice Technologies Ltd</t>
  </si>
  <si>
    <t>Dilip Buildcon Ltd</t>
  </si>
  <si>
    <t>Disa India Ltd</t>
  </si>
  <si>
    <t>Dish TV India Ltd</t>
  </si>
  <si>
    <t>Dishman Carbogen Amcis Ltd</t>
  </si>
  <si>
    <t>Divi's Laboratories Ltd</t>
  </si>
  <si>
    <t>Dixon Technologies (India) Ltd</t>
  </si>
  <si>
    <t>DLF Ltd</t>
  </si>
  <si>
    <t>D-Link (India) Ltd</t>
  </si>
  <si>
    <t>Dolat Algotech Ltd</t>
  </si>
  <si>
    <t>Dollar Industries Ltd</t>
  </si>
  <si>
    <t>DrLal Pathlabs Ltd</t>
  </si>
  <si>
    <t>DrReddy's Laboratories Ltd</t>
  </si>
  <si>
    <t>Dredging Corporation Of India Ltd</t>
  </si>
  <si>
    <t>Dwarikesh Sugar Industries Ltd</t>
  </si>
  <si>
    <t>Dynamatic Technologies Ltd</t>
  </si>
  <si>
    <t>Dynemic Products Ltd</t>
  </si>
  <si>
    <t>EID- Parry (India) Ltd</t>
  </si>
  <si>
    <t>Easy Trip Planners Ltd</t>
  </si>
  <si>
    <t>eClerx Services Ltd</t>
  </si>
  <si>
    <t>Edelweiss Financial Services Ltd</t>
  </si>
  <si>
    <t>Eicher Motors Ltd</t>
  </si>
  <si>
    <t>EIH Associated Hotels Ltd</t>
  </si>
  <si>
    <t>EIH Ltd</t>
  </si>
  <si>
    <t>EKI Energy Services Ltd</t>
  </si>
  <si>
    <t>Elantas Beck India Ltd</t>
  </si>
  <si>
    <t>Eldeco Housing &amp; Industries Ltd</t>
  </si>
  <si>
    <t>Elecon Engineering Company Ltd</t>
  </si>
  <si>
    <t>Electrosteel Castings Ltd</t>
  </si>
  <si>
    <t>Elgi Equipments Ltd</t>
  </si>
  <si>
    <t>Elpro International Ltd</t>
  </si>
  <si>
    <t>Emami Ltd</t>
  </si>
  <si>
    <t>Emami Paper Mills Ltd</t>
  </si>
  <si>
    <t>Endurance Technologies Ltd</t>
  </si>
  <si>
    <t>Engineers India Ltd</t>
  </si>
  <si>
    <t>Enkei Wheels (India) Ltd</t>
  </si>
  <si>
    <t>Entertainment Network (India) Ltd</t>
  </si>
  <si>
    <t>EPL Ltd</t>
  </si>
  <si>
    <t>Equippp Social Impact Technologies Ltd</t>
  </si>
  <si>
    <t>Equitas Holdings Ltd</t>
  </si>
  <si>
    <t>Equitas Small Finance Bank Ltd</t>
  </si>
  <si>
    <t>Eris Lifesciences Ltd</t>
  </si>
  <si>
    <t>Esab India Ltd</t>
  </si>
  <si>
    <t>Escorts Ltd</t>
  </si>
  <si>
    <t>Ester Industries Ltd</t>
  </si>
  <si>
    <t>Eveready Industries India Ltd</t>
  </si>
  <si>
    <t>Everest Industries Ltd</t>
  </si>
  <si>
    <t>Everest Kanto Cylinder Ltd</t>
  </si>
  <si>
    <t>Excel Industries Ltd</t>
  </si>
  <si>
    <t>Exide Industries Ltd</t>
  </si>
  <si>
    <t>Expleo Solutions Ltd</t>
  </si>
  <si>
    <t>Exxaro Tiles Ltd</t>
  </si>
  <si>
    <t>Fairchem Organics Ltd</t>
  </si>
  <si>
    <t>Faze Three Ltd</t>
  </si>
  <si>
    <t>FCS Software Solutions Ltd</t>
  </si>
  <si>
    <t>FDC Ltd</t>
  </si>
  <si>
    <t>Federal-Mogul Goetze (India) Ltd</t>
  </si>
  <si>
    <t>Fermenta Biotech Ltd</t>
  </si>
  <si>
    <t>Fiem Industries Ltd</t>
  </si>
  <si>
    <t>Filatex India Ltd</t>
  </si>
  <si>
    <t>Fine Organic Industries Ltd</t>
  </si>
  <si>
    <t>Fineotex Chemical Ltd</t>
  </si>
  <si>
    <t>Finkurve Financial Services Ltd</t>
  </si>
  <si>
    <t>Fino Payments Bank Ltd</t>
  </si>
  <si>
    <t>Finolex Cables Ltd</t>
  </si>
  <si>
    <t>Finolex Industries Ltd</t>
  </si>
  <si>
    <t>Firstsource Solutions Ltd</t>
  </si>
  <si>
    <t>Forbes &amp; Company Ltd</t>
  </si>
  <si>
    <t>Force Motors Ltd</t>
  </si>
  <si>
    <t>Fortis Healthcare Ltd</t>
  </si>
  <si>
    <t>Foseco India Ltd</t>
  </si>
  <si>
    <t>FSN E-Commerce Ventures Ltd</t>
  </si>
  <si>
    <t>Future Consumer Ltd</t>
  </si>
  <si>
    <t>Future Lifestyle Fashions Ltd</t>
  </si>
  <si>
    <t>Future Retail Ltd</t>
  </si>
  <si>
    <t>Gabriel India Ltd</t>
  </si>
  <si>
    <t>GAIL (India) Ltd</t>
  </si>
  <si>
    <t>Galaxy Surfactants Ltd</t>
  </si>
  <si>
    <t>Gallantt Ispat Ltd</t>
  </si>
  <si>
    <t>Gallantt Metal Ltd</t>
  </si>
  <si>
    <t>Ganesh Benzoplast Ltd</t>
  </si>
  <si>
    <t>Ganesh Housing Corporation Ltd</t>
  </si>
  <si>
    <t>Ganesha Ecosphere Ltd</t>
  </si>
  <si>
    <t>Garden Reach Shipbuilders &amp; Engineers Ltd</t>
  </si>
  <si>
    <t>Garware Hi-Tech Films Ltd</t>
  </si>
  <si>
    <t>Garware Technical Fibres Ltd</t>
  </si>
  <si>
    <t>Gateway Distriparks Ltd</t>
  </si>
  <si>
    <t>GATI Ltd</t>
  </si>
  <si>
    <t>Gayatri Projects Ltd</t>
  </si>
  <si>
    <t>GE Power India Ltd</t>
  </si>
  <si>
    <t>GE T&amp;D India Ltd</t>
  </si>
  <si>
    <t>Genesys International Corporation Ltd</t>
  </si>
  <si>
    <t>Genus Power Infrastructures Ltd</t>
  </si>
  <si>
    <t>Geojit Financial Services Ltd</t>
  </si>
  <si>
    <t>GFL Ltd</t>
  </si>
  <si>
    <t>GHCL Ltd</t>
  </si>
  <si>
    <t>GIC Housing Finance Ltd</t>
  </si>
  <si>
    <t>Gillette India Ltd</t>
  </si>
  <si>
    <t>Gland Pharma Ltd</t>
  </si>
  <si>
    <t>Glaxosmithkline Pharmaceuticals Ltd</t>
  </si>
  <si>
    <t>Glenmark Life Sciences Ltd</t>
  </si>
  <si>
    <t>Glenmark Pharmaceuticals Ltd</t>
  </si>
  <si>
    <t>Globus Power Generation Ltd</t>
  </si>
  <si>
    <t>Globus Spirits Ltd</t>
  </si>
  <si>
    <t>Gloster Ltd</t>
  </si>
  <si>
    <t>GM Breweries Ltd</t>
  </si>
  <si>
    <t>GMM Pfaudler Ltd</t>
  </si>
  <si>
    <t>GMR Infrastructure Ltd</t>
  </si>
  <si>
    <t>GNA Axles Ltd</t>
  </si>
  <si>
    <t>Go Fashion (India) Ltd</t>
  </si>
  <si>
    <t>GOCL Corporation Ltd</t>
  </si>
  <si>
    <t>Godawari Power And Ispat Ltd</t>
  </si>
  <si>
    <t>Godfrey Phillips India Ltd</t>
  </si>
  <si>
    <t>Godrej Agrovet Ltd</t>
  </si>
  <si>
    <t>Godrej Consumer Products Ltd</t>
  </si>
  <si>
    <t>Godrej Industries Ltd</t>
  </si>
  <si>
    <t>Godrej Properties Ltd</t>
  </si>
  <si>
    <t>Gokaldas Exports Ltd</t>
  </si>
  <si>
    <t>Gokul Agro Resources Ltd</t>
  </si>
  <si>
    <t>Goldiam International Ltd</t>
  </si>
  <si>
    <t>Goodluck India Ltd</t>
  </si>
  <si>
    <t>Goodyear India Ltd</t>
  </si>
  <si>
    <t>GR Infraprojects Ltd</t>
  </si>
  <si>
    <t>Granules India Ltd</t>
  </si>
  <si>
    <t>Graphite India Ltd</t>
  </si>
  <si>
    <t>Grasim Industries Ltd</t>
  </si>
  <si>
    <t>Grauer &amp; Weil (India) Ltd</t>
  </si>
  <si>
    <t>Gravita India Ltd</t>
  </si>
  <si>
    <t>Greaves Cotton Ltd</t>
  </si>
  <si>
    <t>Greenlam Industries Ltd</t>
  </si>
  <si>
    <t>Greenpanel Industries Ltd</t>
  </si>
  <si>
    <t>Greenply Industries Ltd</t>
  </si>
  <si>
    <t>Grindwell Norton Ltd</t>
  </si>
  <si>
    <t>GRM Overseas Ltd</t>
  </si>
  <si>
    <t>GTL Infrastructure Ltd</t>
  </si>
  <si>
    <t>GTPL Hathway Ltd</t>
  </si>
  <si>
    <t>Gufic Biosciences Ltd</t>
  </si>
  <si>
    <t>Gujarat Alkalies And Chemicals Ltd</t>
  </si>
  <si>
    <t>Gujarat Ambuja Exports Ltd</t>
  </si>
  <si>
    <t>Gujarat Fluorochemicals Ltd</t>
  </si>
  <si>
    <t>Gujarat Gas Ltd</t>
  </si>
  <si>
    <t>Gujarat Industries Power Company Ltd</t>
  </si>
  <si>
    <t>Gujarat Mineral Development Corporation Ltd</t>
  </si>
  <si>
    <t>Gujarat Narmada Valley Fertilizers &amp; Chemicals Ltd</t>
  </si>
  <si>
    <t>Gujarat Pipavav Port Ltd</t>
  </si>
  <si>
    <t>Gujarat State Fertilizers &amp; Chemicals Ltd</t>
  </si>
  <si>
    <t>Gujarat State Petronet Ltd</t>
  </si>
  <si>
    <t>Gujarat Themis Biosyn Ltd</t>
  </si>
  <si>
    <t>Gulf Oil Lubricants India Ltd</t>
  </si>
  <si>
    <t>Gulshan Polyols Ltd</t>
  </si>
  <si>
    <t>HGInfra Engineering Ltd</t>
  </si>
  <si>
    <t>Happiest Minds Technologies Ltd</t>
  </si>
  <si>
    <t>Hathway Cable &amp; Datacom Ltd</t>
  </si>
  <si>
    <t>Hatsun Agro Product Ltd</t>
  </si>
  <si>
    <t>Havells India Ltd</t>
  </si>
  <si>
    <t>Hawkins Cookers Ltd</t>
  </si>
  <si>
    <t>HBL Power Systems Ltd</t>
  </si>
  <si>
    <t>HCL Infosystems Ltd</t>
  </si>
  <si>
    <t>HCL Technologies Ltd</t>
  </si>
  <si>
    <t>HCP Plastene Bulkpack Ltd</t>
  </si>
  <si>
    <t>HDFC Asset Management Company Ltd</t>
  </si>
  <si>
    <t>HDFC Bank Ltd</t>
  </si>
  <si>
    <t>HDFC Life Insurance Co Ltd</t>
  </si>
  <si>
    <t>Healthcare Global Enterprises Ltd</t>
  </si>
  <si>
    <t>HEG Ltd</t>
  </si>
  <si>
    <t>Heidelberg Cement India Ltd</t>
  </si>
  <si>
    <t>Hemisphere Properties India Ltd</t>
  </si>
  <si>
    <t>Heranba Industries Ltd</t>
  </si>
  <si>
    <t>Heritage Foods Ltd</t>
  </si>
  <si>
    <t>Hero MotoCorp Ltd</t>
  </si>
  <si>
    <t>Hester Biosciences Ltd</t>
  </si>
  <si>
    <t>Hexa Tradex Ltd</t>
  </si>
  <si>
    <t>HFCL Ltd</t>
  </si>
  <si>
    <t>Hikal Ltd</t>
  </si>
  <si>
    <t>HIL Ltd</t>
  </si>
  <si>
    <t>Himadri Speciality Chemical Ltd</t>
  </si>
  <si>
    <t>Himatsingka Seide Ltd</t>
  </si>
  <si>
    <t>Hindalco Industries Ltd</t>
  </si>
  <si>
    <t>Hinduja Global Solutions Ltd</t>
  </si>
  <si>
    <t>Hindustan Aeronautics Ltd</t>
  </si>
  <si>
    <t>Hindustan Construction Company Ltd</t>
  </si>
  <si>
    <t>Hindustan Copper Ltd</t>
  </si>
  <si>
    <t>Hindustan Foods Ltd</t>
  </si>
  <si>
    <t>Hindustan Media Ventures Ltd</t>
  </si>
  <si>
    <t>Hindustan Oil Exploration Company Ltd</t>
  </si>
  <si>
    <t>Hindustan Petroleum Corporation Ltd</t>
  </si>
  <si>
    <t>Hindustan Unilever Ltd</t>
  </si>
  <si>
    <t>Hindustan Zinc Ltd</t>
  </si>
  <si>
    <t>Hindusthan Urban Infrastructure Ltd</t>
  </si>
  <si>
    <t>Hitachi Energy India Ltd</t>
  </si>
  <si>
    <t>Hitech Corporation Ltd</t>
  </si>
  <si>
    <t>Hi-Tech Pipes Ltd</t>
  </si>
  <si>
    <t>HLE Glascoat Ltd</t>
  </si>
  <si>
    <t>HLV Ltd</t>
  </si>
  <si>
    <t>HMT Ltd</t>
  </si>
  <si>
    <t>Home First Finance Company India Ltd</t>
  </si>
  <si>
    <t>Honda India Power Products Ltd</t>
  </si>
  <si>
    <t>Honeywell Automation India Ltd</t>
  </si>
  <si>
    <t>Housing &amp; Urban Development Corporation Ltd</t>
  </si>
  <si>
    <t>Housing Development Finance Corporation Ltd</t>
  </si>
  <si>
    <t>HP Adhesives Ltd</t>
  </si>
  <si>
    <t>HSIL Ltd</t>
  </si>
  <si>
    <t>HT Media Ltd</t>
  </si>
  <si>
    <t>Huhtamaki India Ltd</t>
  </si>
  <si>
    <t>ICICI Bank Ltd</t>
  </si>
  <si>
    <t>ICICI Lombard General Insurance Company Ltd</t>
  </si>
  <si>
    <t>ICICI Prudential Life Insurance Company Ltd</t>
  </si>
  <si>
    <t>ICICI Securities Ltd</t>
  </si>
  <si>
    <t>ICRA Ltd</t>
  </si>
  <si>
    <t>IDBI Bank Ltd</t>
  </si>
  <si>
    <t>IDFC First Bank Ltd</t>
  </si>
  <si>
    <t>IDFC Ltd</t>
  </si>
  <si>
    <t>IFB Agro Industries Ltd</t>
  </si>
  <si>
    <t>IFB Industries Ltd</t>
  </si>
  <si>
    <t>IFCI Ltd</t>
  </si>
  <si>
    <t>IFGL Refractories Ltd</t>
  </si>
  <si>
    <t>IG Petrochemicals Ltd</t>
  </si>
  <si>
    <t>Igarashi Motors India Ltd</t>
  </si>
  <si>
    <t>IIFL Finance Ltd</t>
  </si>
  <si>
    <t>IIFL Securities Ltd</t>
  </si>
  <si>
    <t>IIFL Wealth Management Ltd</t>
  </si>
  <si>
    <t>India Glycols Ltd</t>
  </si>
  <si>
    <t>India Motor Parts &amp; Accessories Ltd</t>
  </si>
  <si>
    <t>India Nippon Electricals Ltd</t>
  </si>
  <si>
    <t>India Pesticides Ltd</t>
  </si>
  <si>
    <t>India Power Corporation Ltd</t>
  </si>
  <si>
    <t>India Tourism Development Corporation Ltd</t>
  </si>
  <si>
    <t>Indiabulls Housing Finance Ltd</t>
  </si>
  <si>
    <t>Indiabulls Real Estate Ltd</t>
  </si>
  <si>
    <t>Indiamart Intermesh Ltd</t>
  </si>
  <si>
    <t>Indian Energy Exchange Ltd</t>
  </si>
  <si>
    <t>Indian Hume Pipe Company Ltd</t>
  </si>
  <si>
    <t>Indian Infotech &amp; Software Ltd</t>
  </si>
  <si>
    <t>Indian Metals &amp; Ferro Alloys Ltd</t>
  </si>
  <si>
    <t>Indian Oil Corporation Ltd</t>
  </si>
  <si>
    <t>Indian Railway Catering And Tourism Corporation Ltd</t>
  </si>
  <si>
    <t>Indian Railway Finance Corporation Ltd</t>
  </si>
  <si>
    <t>Indigo Paints Ltd</t>
  </si>
  <si>
    <t>Indo Amines Ltd</t>
  </si>
  <si>
    <t>Indo Count Industries Ltd</t>
  </si>
  <si>
    <t>Indo Rama Synthetics (India) Ltd</t>
  </si>
  <si>
    <t>Indoco Remedies Ltd</t>
  </si>
  <si>
    <t>Indostar Capital Finance Ltd</t>
  </si>
  <si>
    <t>Indraprastha Gas Ltd</t>
  </si>
  <si>
    <t>Indraprastha Medical Corporation Ltd</t>
  </si>
  <si>
    <t>Indus Towers Ltd</t>
  </si>
  <si>
    <t>IndusInd Bank Ltd</t>
  </si>
  <si>
    <t>INEOS Styrolution India Ltd</t>
  </si>
  <si>
    <t>Infibeam Avenues Ltd</t>
  </si>
  <si>
    <t>Info Edge (India) Ltd</t>
  </si>
  <si>
    <t>Infobeans Technologies Ltd</t>
  </si>
  <si>
    <t>Infosys Ltd</t>
  </si>
  <si>
    <t>Ingersoll-Rand (India) Ltd</t>
  </si>
  <si>
    <t>Inox Leisure Ltd</t>
  </si>
  <si>
    <t>Inox Wind Energy Ltd</t>
  </si>
  <si>
    <t>Inox Wind Ltd</t>
  </si>
  <si>
    <t>Insecticides (India) Ltd</t>
  </si>
  <si>
    <t>Intellect Design Arena Ltd</t>
  </si>
  <si>
    <t>Interglobe Aviation Ltd</t>
  </si>
  <si>
    <t>IOL Chemicals And Pharmaceuticals Ltd</t>
  </si>
  <si>
    <t>Ion Exchange (India) Ltd</t>
  </si>
  <si>
    <t>Ipca Laboratories Ltd</t>
  </si>
  <si>
    <t>IRB Infrastructure Developers Ltd</t>
  </si>
  <si>
    <t>Ircon International Ltd</t>
  </si>
  <si>
    <t>ISGEC Heavy Engineering Ltd</t>
  </si>
  <si>
    <t>ISMT Ltd</t>
  </si>
  <si>
    <t>IST Ltd</t>
  </si>
  <si>
    <t>ITC Ltd</t>
  </si>
  <si>
    <t>ITD Cementation India Ltd</t>
  </si>
  <si>
    <t>ITI Ltd</t>
  </si>
  <si>
    <t>J Kumar Infraprojects Ltd</t>
  </si>
  <si>
    <t>Jagran Prakashan Ltd</t>
  </si>
  <si>
    <t>Jai Balaji Industries Ltd</t>
  </si>
  <si>
    <t>Jai Corp Ltd</t>
  </si>
  <si>
    <t>Jain Irrigation Systems Ltd</t>
  </si>
  <si>
    <t>Jaiprakash Associates Ltd</t>
  </si>
  <si>
    <t>Jaiprakash Power Ventures Ltd</t>
  </si>
  <si>
    <t>Jamna Auto Industries Ltd</t>
  </si>
  <si>
    <t>Jash Engineering Ltd</t>
  </si>
  <si>
    <t>Jay Bharat Maruti Ltd</t>
  </si>
  <si>
    <t>Jayant Agro-Organics Ltd</t>
  </si>
  <si>
    <t>Jayaswal Neco Industries Ltd</t>
  </si>
  <si>
    <t>JB Chemicals &amp; Pharmaceuticals Ltd</t>
  </si>
  <si>
    <t>JBM Auto Ltd</t>
  </si>
  <si>
    <t>JCT Ltd</t>
  </si>
  <si>
    <t>Jet Airways (India) Ltd</t>
  </si>
  <si>
    <t>Jindal Poly Films Ltd</t>
  </si>
  <si>
    <t>Jindal Saw Ltd</t>
  </si>
  <si>
    <t>Jindal Stainless (Hisar) Ltd</t>
  </si>
  <si>
    <t>Jindal Stainless Ltd</t>
  </si>
  <si>
    <t>Jindal Steel &amp; Power Ltd</t>
  </si>
  <si>
    <t>Jindal Worldwide Ltd</t>
  </si>
  <si>
    <t>JK Cement Ltd</t>
  </si>
  <si>
    <t>JK Lakshmi Cement Ltd</t>
  </si>
  <si>
    <t>JK Paper Ltd</t>
  </si>
  <si>
    <t>JK Tyre &amp; Industries Ltd</t>
  </si>
  <si>
    <t>JM Financial Ltd</t>
  </si>
  <si>
    <t>JMC Projects (India) Ltd</t>
  </si>
  <si>
    <t>John Cockrill India Ltd</t>
  </si>
  <si>
    <t>Johnson Controls - Hitachi Air Conditioning India Ltd</t>
  </si>
  <si>
    <t>JSW Energy Ltd</t>
  </si>
  <si>
    <t>JSW Holdings Ltd</t>
  </si>
  <si>
    <t>JSW Ispat Special Products Ltd</t>
  </si>
  <si>
    <t>JSW Steel Ltd</t>
  </si>
  <si>
    <t>JTEKT India Ltd</t>
  </si>
  <si>
    <t>JTL Infra Ltd</t>
  </si>
  <si>
    <t>Jubilant FoodWorks Ltd</t>
  </si>
  <si>
    <t>Jubilant Industries Ltd</t>
  </si>
  <si>
    <t>Jubilant Ingrevia Ltd</t>
  </si>
  <si>
    <t>Jubilant Pharmova Ltd</t>
  </si>
  <si>
    <t>Just Dial Ltd</t>
  </si>
  <si>
    <t>Jyothy Labs Ltd</t>
  </si>
  <si>
    <t>Jyoti Structures Ltd</t>
  </si>
  <si>
    <t>KPRMill Ltd</t>
  </si>
  <si>
    <t>Kabra Extrusiontechnik Ltd</t>
  </si>
  <si>
    <t>Kajaria Ceramics Ltd</t>
  </si>
  <si>
    <t>Kalpataru Power Transmission Ltd</t>
  </si>
  <si>
    <t>Kalyan Jewellers India Ltd</t>
  </si>
  <si>
    <t>Kalyani Investment Company Ltd</t>
  </si>
  <si>
    <t>Kalyani Steels Ltd</t>
  </si>
  <si>
    <t>Kama Holdings Ltd</t>
  </si>
  <si>
    <t>Kamdhenu Ltd</t>
  </si>
  <si>
    <t>Kanoria Chemicals &amp; Industries Ltd</t>
  </si>
  <si>
    <t>Kansai Nerolac Paints Ltd</t>
  </si>
  <si>
    <t>Karur Vysya Bank Ltd</t>
  </si>
  <si>
    <t>Kaveri Seed Company Ltd</t>
  </si>
  <si>
    <t>Kaya Ltd</t>
  </si>
  <si>
    <t>KBC Global Ltd</t>
  </si>
  <si>
    <t>KCP Ltd</t>
  </si>
  <si>
    <t>KDDL Ltd</t>
  </si>
  <si>
    <t>KEC International Ltd</t>
  </si>
  <si>
    <t>KEI Industries Ltd</t>
  </si>
  <si>
    <t>Kellton Tech Solutions Ltd</t>
  </si>
  <si>
    <t>Kennametal India Ltd</t>
  </si>
  <si>
    <t>Kesoram Industries Ltd</t>
  </si>
  <si>
    <t>Kewal Kiran Clothing Ltd</t>
  </si>
  <si>
    <t>Khaitan Chemicals &amp; Fertilizers Ltd</t>
  </si>
  <si>
    <t>Kingfa Science &amp; Technology (India) Ltd</t>
  </si>
  <si>
    <t>KIOCL Ltd</t>
  </si>
  <si>
    <t>Kiri Industries Ltd</t>
  </si>
  <si>
    <t>Kirloskar Brothers Ltd</t>
  </si>
  <si>
    <t>Kirloskar Ferrous Industries Ltd</t>
  </si>
  <si>
    <t>Kirloskar Industries Ltd</t>
  </si>
  <si>
    <t>Kirloskar Oil Engines Ltd</t>
  </si>
  <si>
    <t>Kirloskar Pneumatic Company Ltd</t>
  </si>
  <si>
    <t>Kitex Garments Ltd</t>
  </si>
  <si>
    <t>KMC Speciality Hospitals (India) Ltd</t>
  </si>
  <si>
    <t>KNR Constructions Ltd</t>
  </si>
  <si>
    <t>Kokuyo Camlin Ltd</t>
  </si>
  <si>
    <t>Kolte-Patil Developers Ltd</t>
  </si>
  <si>
    <t>Kopran Ltd</t>
  </si>
  <si>
    <t>Kotak Mahindra Bank Ltd</t>
  </si>
  <si>
    <t>Kovai Medical Center &amp; Hospital Ltd</t>
  </si>
  <si>
    <t>KPI Global Infrastructure Ltd</t>
  </si>
  <si>
    <t>KPIT Technologies Ltd</t>
  </si>
  <si>
    <t>KRBL Ltd</t>
  </si>
  <si>
    <t>Krishana Phoschem Ltd</t>
  </si>
  <si>
    <t>Kriti Industries (India) Ltd</t>
  </si>
  <si>
    <t>Krsnaa Diagnostics Ltd</t>
  </si>
  <si>
    <t>KSB Ltd</t>
  </si>
  <si>
    <t>KSE Ltd</t>
  </si>
  <si>
    <t>Kuantum Papers Ltd</t>
  </si>
  <si>
    <t>Kwality Pharmaceuticals Ltd</t>
  </si>
  <si>
    <t>L&amp;T Finance Holdings Ltd</t>
  </si>
  <si>
    <t>L&amp;T Technology Services Ltd</t>
  </si>
  <si>
    <t>La Opala RG Ltd</t>
  </si>
  <si>
    <t>Lakshmi Machine Works Ltd</t>
  </si>
  <si>
    <t>Lancer Containers Lines Ltd</t>
  </si>
  <si>
    <t>Larsen &amp; Toubro Infotech Ltd</t>
  </si>
  <si>
    <t>Larsen &amp; Toubro Ltd</t>
  </si>
  <si>
    <t>Latent View Analytics Ltd</t>
  </si>
  <si>
    <t>Laurus Labs Ltd</t>
  </si>
  <si>
    <t>Laxmi Organic Industries Ltd</t>
  </si>
  <si>
    <t>Lemon Tree Hotels Ltd</t>
  </si>
  <si>
    <t>LG Balakrishnan &amp; Bros Ltd</t>
  </si>
  <si>
    <t>LIC Housing Finance Ltd</t>
  </si>
  <si>
    <t>Likhitha Infrastructure Ltd</t>
  </si>
  <si>
    <t>Lincoln Pharmaceuticals Ltd</t>
  </si>
  <si>
    <t>Linde India Ltd</t>
  </si>
  <si>
    <t>Lloyds Metals &amp; Energy Ltd</t>
  </si>
  <si>
    <t>Lloyds Steels Industries Ltd</t>
  </si>
  <si>
    <t>Loyal Textile Mills Ltd</t>
  </si>
  <si>
    <t>LT Foods Ltd</t>
  </si>
  <si>
    <t>Lumax Auto Technologies Ltd</t>
  </si>
  <si>
    <t>Lumax Industries Ltd</t>
  </si>
  <si>
    <t>Lupin Ltd</t>
  </si>
  <si>
    <t>Lux Industries Ltd</t>
  </si>
  <si>
    <t>Lyka Labs Ltd</t>
  </si>
  <si>
    <t>Mac Charles (India) Ltd</t>
  </si>
  <si>
    <t>Macrotech Developers Ltd</t>
  </si>
  <si>
    <t>Mahanagar Gas Ltd</t>
  </si>
  <si>
    <t>Mahanagar Telephone Nigam Ltd</t>
  </si>
  <si>
    <t>Maharashtra Scooters Ltd</t>
  </si>
  <si>
    <t>Maharashtra Seamless Ltd</t>
  </si>
  <si>
    <t>Mahindra &amp; Mahindra Financial Services Ltd</t>
  </si>
  <si>
    <t>Mahindra &amp; Mahindra Ltd</t>
  </si>
  <si>
    <t>Mahindra CIE Automotive Ltd</t>
  </si>
  <si>
    <t>Mahindra Holidays &amp; Resorts India Ltd</t>
  </si>
  <si>
    <t>Mahindra Lifespace Developers Ltd</t>
  </si>
  <si>
    <t>Mahindra Logistics Ltd</t>
  </si>
  <si>
    <t>Maithan Alloys Ltd</t>
  </si>
  <si>
    <t>Man Industries (India) Ltd</t>
  </si>
  <si>
    <t>Man InfraConstruction Ltd</t>
  </si>
  <si>
    <t>Manali Petrochemicals Ltd</t>
  </si>
  <si>
    <t>Manappuram Finance Ltd</t>
  </si>
  <si>
    <t>Mangalam Cement Ltd</t>
  </si>
  <si>
    <t>Mangalam Industrial Finance Ltd</t>
  </si>
  <si>
    <t>Mangalam Organics Ltd</t>
  </si>
  <si>
    <t>Mangalore Chemicals &amp; Fertilizers Ltd</t>
  </si>
  <si>
    <t>Mangalore Refinery And Petrochemicals Ltd</t>
  </si>
  <si>
    <t>Manorama Industries Ltd</t>
  </si>
  <si>
    <t>Marathon Nextgen Realty Ltd</t>
  </si>
  <si>
    <t>Marico Ltd</t>
  </si>
  <si>
    <t>Marine Electricals (India) Ltd</t>
  </si>
  <si>
    <t>Marksans Pharma Ltd</t>
  </si>
  <si>
    <t>Maruti Suzuki India Ltd</t>
  </si>
  <si>
    <t>MAS Financial Services Ltd</t>
  </si>
  <si>
    <t>Mastek Ltd</t>
  </si>
  <si>
    <t>MatrimonyCom Ltd</t>
  </si>
  <si>
    <t>Max Financial Services Ltd</t>
  </si>
  <si>
    <t>Max Healthcare Institute Ltd</t>
  </si>
  <si>
    <t>Max Ventures And Industries Ltd</t>
  </si>
  <si>
    <t>Mayur Uniquoters Ltd</t>
  </si>
  <si>
    <t>Mazagon Dock Shipbuilders Ltd</t>
  </si>
  <si>
    <t>Medicamen Biotech Ltd</t>
  </si>
  <si>
    <t>Medplus Health Services Ltd</t>
  </si>
  <si>
    <t>Megasoft Ltd</t>
  </si>
  <si>
    <t>Meghmani Organics Ltd</t>
  </si>
  <si>
    <t>Metro Brands Ltd</t>
  </si>
  <si>
    <t>Metropolis Healthcare Ltd</t>
  </si>
  <si>
    <t>Minda Corporation Ltd</t>
  </si>
  <si>
    <t>Minda Industries Ltd</t>
  </si>
  <si>
    <t>Mindtree Ltd</t>
  </si>
  <si>
    <t>Mirc Electronics Ltd</t>
  </si>
  <si>
    <t>Mirza International Ltd</t>
  </si>
  <si>
    <t>Mishra Dhatu Nigam Ltd</t>
  </si>
  <si>
    <t>Mishtann Foods Ltd</t>
  </si>
  <si>
    <t>MM Forgings Ltd</t>
  </si>
  <si>
    <t>MMTC Ltd</t>
  </si>
  <si>
    <t>MOIL Ltd</t>
  </si>
  <si>
    <t>Mold-Tek Packaging Ltd</t>
  </si>
  <si>
    <t>Monte Carlo Fashions Ltd</t>
  </si>
  <si>
    <t>Morepen Laboratories Ltd</t>
  </si>
  <si>
    <t>Morganite Crucible (India) Ltd</t>
  </si>
  <si>
    <t>Moschip Technologies Ltd</t>
  </si>
  <si>
    <t>Motherson Sumi Systems Ltd</t>
  </si>
  <si>
    <t>Motilal Oswal Financial Services Ltd</t>
  </si>
  <si>
    <t>Mphasis Ltd</t>
  </si>
  <si>
    <t>MPS Ltd</t>
  </si>
  <si>
    <t>MRF Ltd</t>
  </si>
  <si>
    <t>MrsBectors Food Specialities Ltd</t>
  </si>
  <si>
    <t>MSTC Ltd</t>
  </si>
  <si>
    <t>MTAR Technologies Ltd</t>
  </si>
  <si>
    <t>Mukand Ltd</t>
  </si>
  <si>
    <t>Multi Commodity Exchange Of India Ltd</t>
  </si>
  <si>
    <t>Munjal Auto Industries Ltd</t>
  </si>
  <si>
    <t>Music Broadcast Ltd</t>
  </si>
  <si>
    <t>Muthoot Capital Services Ltd</t>
  </si>
  <si>
    <t>Muthoot Finance Ltd</t>
  </si>
  <si>
    <t>NBIIndustrial Finance CoLtd</t>
  </si>
  <si>
    <t>NACL Industries Ltd</t>
  </si>
  <si>
    <t>Nagarjuna Fertilizers and Chemicals Ltd</t>
  </si>
  <si>
    <t>Nahar Capital And Financial Services Ltd</t>
  </si>
  <si>
    <t>Nahar Poly Films Ltd</t>
  </si>
  <si>
    <t>Nahar Spinning Mills Ltd</t>
  </si>
  <si>
    <t>Nalwa Sons Investments Ltd</t>
  </si>
  <si>
    <t>Nandan Denim Ltd</t>
  </si>
  <si>
    <t>Narayana Hrudayalaya Ltd</t>
  </si>
  <si>
    <t>Natco Pharma Ltd</t>
  </si>
  <si>
    <t>National Aluminium Company Ltd</t>
  </si>
  <si>
    <t>National Fertilizers Ltd</t>
  </si>
  <si>
    <t>National Peroxide Ltd</t>
  </si>
  <si>
    <t>National Standard (India) Ltd</t>
  </si>
  <si>
    <t>Nava Bharat Ventures Ltd</t>
  </si>
  <si>
    <t>Navin Fluorine International Ltd</t>
  </si>
  <si>
    <t>Navkar Corporation Ltd</t>
  </si>
  <si>
    <t>Navneet Education Ltd</t>
  </si>
  <si>
    <t>Nazara Technologies Ltd</t>
  </si>
  <si>
    <t>NBCC (India) Ltd</t>
  </si>
  <si>
    <t>NCC Ltd</t>
  </si>
  <si>
    <t>NCL Industries Ltd</t>
  </si>
  <si>
    <t>Nectar Lifesciences Ltd</t>
  </si>
  <si>
    <t>Nelcast Ltd</t>
  </si>
  <si>
    <t>Nelco Ltd</t>
  </si>
  <si>
    <t>Neogen Chemicals Ltd</t>
  </si>
  <si>
    <t>Nesco Ltd</t>
  </si>
  <si>
    <t>Nestle India Ltd</t>
  </si>
  <si>
    <t>Network 18 Media &amp; Investments Ltd</t>
  </si>
  <si>
    <t>Neuland Laboratories Ltd</t>
  </si>
  <si>
    <t>New Delhi Television Ltd</t>
  </si>
  <si>
    <t>Newgen Software Technologies Ltd</t>
  </si>
  <si>
    <t>NGL Fine-Chem Ltd</t>
  </si>
  <si>
    <t>NHPC Ltd</t>
  </si>
  <si>
    <t>NIIT Ltd</t>
  </si>
  <si>
    <t>Nilkamal Ltd</t>
  </si>
  <si>
    <t>Nippon Life India Asset Management Ltd</t>
  </si>
  <si>
    <t>Nirlon Ltd</t>
  </si>
  <si>
    <t>Nitin Spinners Ltd</t>
  </si>
  <si>
    <t>Niyogin Fintech Ltd</t>
  </si>
  <si>
    <t>NLC India Ltd</t>
  </si>
  <si>
    <t>NMDC Ltd</t>
  </si>
  <si>
    <t>Nocil Ltd</t>
  </si>
  <si>
    <t>Novartis India Ltd</t>
  </si>
  <si>
    <t>NRB Bearings Ltd</t>
  </si>
  <si>
    <t>NTPC Ltd</t>
  </si>
  <si>
    <t>Nucleus Software Exports Ltd</t>
  </si>
  <si>
    <t>Nureca Ltd</t>
  </si>
  <si>
    <t>Nuvoco Vistas Corporation Ltd</t>
  </si>
  <si>
    <t>NXTDigital Ltd</t>
  </si>
  <si>
    <t>Oberoi Realty Ltd</t>
  </si>
  <si>
    <t>Oil &amp; Natural Gas Corporation Ltd</t>
  </si>
  <si>
    <t>Oil India Ltd</t>
  </si>
  <si>
    <t>Olectra Greentech Ltd</t>
  </si>
  <si>
    <t>Omaxe Ltd</t>
  </si>
  <si>
    <t>One97 Communications Ltd</t>
  </si>
  <si>
    <t>Onmobile Global Ltd</t>
  </si>
  <si>
    <t>Onward Technologies Ltd</t>
  </si>
  <si>
    <t>Optiemus Infracom Ltd</t>
  </si>
  <si>
    <t>Oracle Financial Services Software Ltd</t>
  </si>
  <si>
    <t>Orchid Pharma Ltd</t>
  </si>
  <si>
    <t>Oricon Enterprises Ltd</t>
  </si>
  <si>
    <t>Orient Cement Ltd</t>
  </si>
  <si>
    <t>Orient Electric Ltd</t>
  </si>
  <si>
    <t>Orient Green Power Company Ltd</t>
  </si>
  <si>
    <t>Orient Paper &amp; Industries Ltd</t>
  </si>
  <si>
    <t>Oriental Aromatics Ltd</t>
  </si>
  <si>
    <t>Oriental Carbon &amp; Chemicals Ltd</t>
  </si>
  <si>
    <t>Oriental Hotels Ltd</t>
  </si>
  <si>
    <t>Oriental Rail Infrastructure Ltd</t>
  </si>
  <si>
    <t>Orissa Bengal Carrier Ltd</t>
  </si>
  <si>
    <t>Oswal Greentech Ltd</t>
  </si>
  <si>
    <t>Page Industries Ltd</t>
  </si>
  <si>
    <t>Paisalo Digital Ltd</t>
  </si>
  <si>
    <t>Panacea Biotec Ltd</t>
  </si>
  <si>
    <t>Panama Petrochem Ltd</t>
  </si>
  <si>
    <t>Parag Milk Foods Ltd</t>
  </si>
  <si>
    <t>Paras Defence And Space Technologies Ltd</t>
  </si>
  <si>
    <t>Parsvnath Developers Ltd</t>
  </si>
  <si>
    <t>Patel Engineering Ltd</t>
  </si>
  <si>
    <t>Paushak Ltd</t>
  </si>
  <si>
    <t>PB Fintech Ltd</t>
  </si>
  <si>
    <t>PC Jeweller Ltd</t>
  </si>
  <si>
    <t>PCBL Ltd</t>
  </si>
  <si>
    <t>PDS Multinational Fashions Ltd</t>
  </si>
  <si>
    <t>Pearl Global Industries Ltd</t>
  </si>
  <si>
    <t>Persistent Systems Ltd</t>
  </si>
  <si>
    <t>Petronet LNG Ltd</t>
  </si>
  <si>
    <t>Pfizer Ltd</t>
  </si>
  <si>
    <t>PG Electroplast Ltd</t>
  </si>
  <si>
    <t>PI Industries Ltd</t>
  </si>
  <si>
    <t>Pidilite Industries Ltd</t>
  </si>
  <si>
    <t>Pilani Investment And Industries Corporation Ltd</t>
  </si>
  <si>
    <t>Piramal Enterprises Ltd</t>
  </si>
  <si>
    <t>Pitti Engineering Ltd</t>
  </si>
  <si>
    <t>Pix Transmissions Ltd</t>
  </si>
  <si>
    <t>Plastiblends India Ltd</t>
  </si>
  <si>
    <t>PNB Gilts Ltd</t>
  </si>
  <si>
    <t>PNB Housing Finance Ltd</t>
  </si>
  <si>
    <t>PNC Infratech Ltd</t>
  </si>
  <si>
    <t>Pokarna Ltd</t>
  </si>
  <si>
    <t>Polo Queen Industrial &amp; Fintech Ltd</t>
  </si>
  <si>
    <t>Poly Medicure Ltd</t>
  </si>
  <si>
    <t>Polycab India Ltd</t>
  </si>
  <si>
    <t>Polyplex Corporation Ltd</t>
  </si>
  <si>
    <t>Poonawalla Fincorp Ltd</t>
  </si>
  <si>
    <t>Power Finance Corporation Ltd</t>
  </si>
  <si>
    <t>Power Grid Corporation Of India Ltd</t>
  </si>
  <si>
    <t>Power Mech Projects Ltd</t>
  </si>
  <si>
    <t>Praj Industries Ltd</t>
  </si>
  <si>
    <t>Prakash Industries Ltd</t>
  </si>
  <si>
    <t>Prataap Snacks Ltd</t>
  </si>
  <si>
    <t>Precision Camshafts Ltd</t>
  </si>
  <si>
    <t>Precision Wires India Ltd</t>
  </si>
  <si>
    <t>Prestige Estates Projects Ltd</t>
  </si>
  <si>
    <t>Pricol Ltd</t>
  </si>
  <si>
    <t>Prime Focus Ltd</t>
  </si>
  <si>
    <t>Prince Pipes and Fittings Ltd</t>
  </si>
  <si>
    <t>Prism Johnson Ltd</t>
  </si>
  <si>
    <t>Privi Speciality Chemicals Ltd</t>
  </si>
  <si>
    <t>Procter &amp; Gamble Health Ltd</t>
  </si>
  <si>
    <t>Procter &amp; Gamble Hygiene and Health Care Ltd</t>
  </si>
  <si>
    <t>Prozone Intu Properties Ltd</t>
  </si>
  <si>
    <t>PSP Projects Ltd</t>
  </si>
  <si>
    <t>PTC India Financial Services Ltd</t>
  </si>
  <si>
    <t>PTC India Ltd</t>
  </si>
  <si>
    <t>PTC Industries Ltd</t>
  </si>
  <si>
    <t>Punjab Alkalies &amp; Chemicals Ltd</t>
  </si>
  <si>
    <t>Punjab Chemicals &amp; Crop Protection Ltd</t>
  </si>
  <si>
    <t>Puravankara Ltd</t>
  </si>
  <si>
    <t>PVR Ltd</t>
  </si>
  <si>
    <t>Quess Corp Ltd</t>
  </si>
  <si>
    <t>Quick Heal Technologies Ltd</t>
  </si>
  <si>
    <t>Quint Digital Media Ltd</t>
  </si>
  <si>
    <t>R Systems International Ltd</t>
  </si>
  <si>
    <t>RACL Geartech Ltd</t>
  </si>
  <si>
    <t>Radhe Developers (India) Ltd</t>
  </si>
  <si>
    <t>Radico Khaitan Ltd</t>
  </si>
  <si>
    <t>Raghav Productivity Enhancers Ltd</t>
  </si>
  <si>
    <t>Raghuvir Synthetics Ltd</t>
  </si>
  <si>
    <t>Rail Vikas Nigam Ltd</t>
  </si>
  <si>
    <t>Railtel Corporation Of India Ltd</t>
  </si>
  <si>
    <t>Rain Industries Ltd</t>
  </si>
  <si>
    <t>Rajapalayam Mills Ltd</t>
  </si>
  <si>
    <t>Rajesh Exports Ltd</t>
  </si>
  <si>
    <t>Rajratan Global Wire Ltd</t>
  </si>
  <si>
    <t>Rallis India Ltd</t>
  </si>
  <si>
    <t>Rama Phosphates Ltd</t>
  </si>
  <si>
    <t>Ramco Industries Ltd</t>
  </si>
  <si>
    <t>Ramco Systems Ltd</t>
  </si>
  <si>
    <t>Ramkrishna Forgings Ltd</t>
  </si>
  <si>
    <t>Ramky Infrastructure Ltd</t>
  </si>
  <si>
    <t>Rane (Madras) Ltd</t>
  </si>
  <si>
    <t>Rane Brake Lining Ltd</t>
  </si>
  <si>
    <t>Rane Holdings Ltd</t>
  </si>
  <si>
    <t>Rashtriya Chemicals and Fertilizers Ltd</t>
  </si>
  <si>
    <t>RateGain Travel Technologies Ltd</t>
  </si>
  <si>
    <t>Ratnamani Metals &amp; Tubes Ltd</t>
  </si>
  <si>
    <t>RattanIndia Enterprises Ltd</t>
  </si>
  <si>
    <t>RattanIndia Power Ltd</t>
  </si>
  <si>
    <t>Ravindra Energy Ltd</t>
  </si>
  <si>
    <t>Raymond Ltd</t>
  </si>
  <si>
    <t>RBL Bank Ltd</t>
  </si>
  <si>
    <t>REC Ltd</t>
  </si>
  <si>
    <t>Redington (India) Ltd</t>
  </si>
  <si>
    <t>Relaxo Footwears Ltd</t>
  </si>
  <si>
    <t>Reliance Communications Ltd</t>
  </si>
  <si>
    <t>Reliance Industrial Infrastructure Ltd</t>
  </si>
  <si>
    <t>Reliance Industries Ltd</t>
  </si>
  <si>
    <t>Reliance Infrastructure Ltd</t>
  </si>
  <si>
    <t>Reliance Power Ltd</t>
  </si>
  <si>
    <t>Religare Enterprises Ltd</t>
  </si>
  <si>
    <t>Renaissance Global Ltd</t>
  </si>
  <si>
    <t>Repco Home Finance Ltd</t>
  </si>
  <si>
    <t>Repro India Ltd</t>
  </si>
  <si>
    <t>Responsive Industries Ltd</t>
  </si>
  <si>
    <t>RHI Magnesita India Ltd</t>
  </si>
  <si>
    <t>Rico Auto Industries Ltd</t>
  </si>
  <si>
    <t>Rites Ltd</t>
  </si>
  <si>
    <t>Ritesh Properties &amp; Industries Ltd</t>
  </si>
  <si>
    <t>Rossari Biotech Ltd</t>
  </si>
  <si>
    <t>Rossell India Ltd</t>
  </si>
  <si>
    <t>Roto Pumps Ltd</t>
  </si>
  <si>
    <t>Route Mobile Ltd</t>
  </si>
  <si>
    <t>RPG Life Sciences Ltd</t>
  </si>
  <si>
    <t>RPSG Ventures Ltd</t>
  </si>
  <si>
    <t>RSWM Ltd</t>
  </si>
  <si>
    <t>Rubfila International Ltd</t>
  </si>
  <si>
    <t>Ruchi Soya Industries Ltd</t>
  </si>
  <si>
    <t>Rupa &amp; Company Ltd</t>
  </si>
  <si>
    <t>Rushil Decor Ltd</t>
  </si>
  <si>
    <t>SPApparels Ltd</t>
  </si>
  <si>
    <t>Sadbhav Engineering Ltd</t>
  </si>
  <si>
    <t>Sadbhav Infrastructure Project Ltd</t>
  </si>
  <si>
    <t>Sadhana Nitro Chem Ltd</t>
  </si>
  <si>
    <t>Safari Industries (India) Ltd</t>
  </si>
  <si>
    <t>Sagar Cements Ltd</t>
  </si>
  <si>
    <t>Sahyadri Industries Ltd</t>
  </si>
  <si>
    <t>Saint-Gobain Sekurit India Ltd</t>
  </si>
  <si>
    <t>Saksoft Ltd</t>
  </si>
  <si>
    <t>Salasar Techno Engineering Ltd</t>
  </si>
  <si>
    <t>Sandhar Technologies Ltd</t>
  </si>
  <si>
    <t>Sandur Manganese &amp; Iron Ores Ltd</t>
  </si>
  <si>
    <t>Sangam (India) Ltd</t>
  </si>
  <si>
    <t>Sanghi Industries Ltd</t>
  </si>
  <si>
    <t>Sanghvi Movers Ltd</t>
  </si>
  <si>
    <t>Sanofi India Ltd</t>
  </si>
  <si>
    <t>Sansera Engineering Ltd</t>
  </si>
  <si>
    <t>Sapphire Foods India Ltd</t>
  </si>
  <si>
    <t>Sarda Energy &amp; Minerals Ltd</t>
  </si>
  <si>
    <t>Saregama India Ltd</t>
  </si>
  <si>
    <t>Sarla Performance Fibers Ltd</t>
  </si>
  <si>
    <t>Sasken Technologies Ltd</t>
  </si>
  <si>
    <t>Sastasundar Ventures Ltd</t>
  </si>
  <si>
    <t>Satia Industries Ltd</t>
  </si>
  <si>
    <t>Satin Creditcare Network Ltd</t>
  </si>
  <si>
    <t>Savita Oil Technologies Ltd</t>
  </si>
  <si>
    <t>SBI Cards And Payment Services Ltd</t>
  </si>
  <si>
    <t>SBI Life Insurance Company Ltd</t>
  </si>
  <si>
    <t>Schaeffler India Ltd</t>
  </si>
  <si>
    <t>Schneider Electric Infrastructure Ltd</t>
  </si>
  <si>
    <t>Seacoast Shipping Services Ltd</t>
  </si>
  <si>
    <t>Seamec Ltd</t>
  </si>
  <si>
    <t>Sequent Scientific Ltd</t>
  </si>
  <si>
    <t>Seshasayee Paper and Boards Ltd</t>
  </si>
  <si>
    <t>SH Kelkar And Company Ltd</t>
  </si>
  <si>
    <t>Shaily Engineering Plastics Ltd</t>
  </si>
  <si>
    <t>Shakti Pumps (India) Ltd</t>
  </si>
  <si>
    <t>Shalby Ltd</t>
  </si>
  <si>
    <t>Shalimar Paints Ltd</t>
  </si>
  <si>
    <t>Shankara Building Products Ltd</t>
  </si>
  <si>
    <t>Shanthi Gears Ltd</t>
  </si>
  <si>
    <t>Sharda Cropchem Ltd</t>
  </si>
  <si>
    <t>Sharda Motor Industries Ltd</t>
  </si>
  <si>
    <t>Share India Securities Ltd</t>
  </si>
  <si>
    <t>Sheela Foam Ltd</t>
  </si>
  <si>
    <t>Shilpa Medicare Ltd</t>
  </si>
  <si>
    <t>Shipping Corporation Of India Ltd</t>
  </si>
  <si>
    <t>Shiva Cement Ltd</t>
  </si>
  <si>
    <t>Shivalik Bimetal Controls Ltd</t>
  </si>
  <si>
    <t>Shivalik Rasayan Ltd</t>
  </si>
  <si>
    <t>Shoppers Stop Ltd</t>
  </si>
  <si>
    <t>Shree Cement Ltd</t>
  </si>
  <si>
    <t>Shree Digvijay Cement Company Ltd</t>
  </si>
  <si>
    <t>Shree Global Tradefin Ltd</t>
  </si>
  <si>
    <t>Shree Pushkar Chemicals &amp; Fertilisers Ltd</t>
  </si>
  <si>
    <t>Shree Renuka Sugars Ltd</t>
  </si>
  <si>
    <t>Shreyas Shipping &amp; Logistics Ltd</t>
  </si>
  <si>
    <t>Shri Jagdamba Polymers Ltd</t>
  </si>
  <si>
    <t>Shriram City Union Finance Ltd</t>
  </si>
  <si>
    <t>Shriram EPC Ltd</t>
  </si>
  <si>
    <t>Shriram Properties Ltd</t>
  </si>
  <si>
    <t>Shriram Transport Finance Company Ltd</t>
  </si>
  <si>
    <t>Shyam Metalics And Energy Ltd</t>
  </si>
  <si>
    <t>Siemens Ltd</t>
  </si>
  <si>
    <t>Sigachi Industries Ltd</t>
  </si>
  <si>
    <t>Sindhu Trade Links Ltd</t>
  </si>
  <si>
    <t>Sintex Industries Ltd</t>
  </si>
  <si>
    <t>Sintex Plastics Technology Ltd</t>
  </si>
  <si>
    <t>SIRCA Paints India Ltd</t>
  </si>
  <si>
    <t>SIS Ltd</t>
  </si>
  <si>
    <t>Siyaram Silk Mills Ltd</t>
  </si>
  <si>
    <t>SJS Enterprises Ltd</t>
  </si>
  <si>
    <t>SJVN Ltd</t>
  </si>
  <si>
    <t>SKF India Ltd</t>
  </si>
  <si>
    <t>Skipper Ltd</t>
  </si>
  <si>
    <t>SMC Global Securities Ltd</t>
  </si>
  <si>
    <t>SML Isuzu Ltd</t>
  </si>
  <si>
    <t>SMS Pharmaceuticals Ltd</t>
  </si>
  <si>
    <t>Snowman Logistics Ltd</t>
  </si>
  <si>
    <t>Sobha Ltd</t>
  </si>
  <si>
    <t>Solar Industries India Ltd</t>
  </si>
  <si>
    <t>Solara Active Pharma Sciences Ltd</t>
  </si>
  <si>
    <t>Somany Ceramics Ltd</t>
  </si>
  <si>
    <t>Somany Home Innovation Ltd</t>
  </si>
  <si>
    <t>Sona BLW Precision Forgings Ltd</t>
  </si>
  <si>
    <t>Sonata Software Ltd</t>
  </si>
  <si>
    <t>Southern Petrochemical Industries Corporation Ltd</t>
  </si>
  <si>
    <t>Spandana Sphoorty Financial Ltd</t>
  </si>
  <si>
    <t>Spencer's Retail Ltd</t>
  </si>
  <si>
    <t>SpiceJet Ltd</t>
  </si>
  <si>
    <t>Sportking India Ltd</t>
  </si>
  <si>
    <t>Sree Rayalaseema Hi-Strength Hypo Ltd</t>
  </si>
  <si>
    <t>SRF Ltd</t>
  </si>
  <si>
    <t>Srikalahasthi Pipes Ltd</t>
  </si>
  <si>
    <t>Star Cement Ltd</t>
  </si>
  <si>
    <t>Star Health and Allied Insurance Company Ltd</t>
  </si>
  <si>
    <t>Steel Authority Of India Ltd</t>
  </si>
  <si>
    <t>Steel Exchange India Ltd</t>
  </si>
  <si>
    <t>Steel Strips Wheels Ltd</t>
  </si>
  <si>
    <t>Steelcast Ltd</t>
  </si>
  <si>
    <t>Sterling and Wilson Renewable Energy Ltd</t>
  </si>
  <si>
    <t>Sterling Tools Ltd</t>
  </si>
  <si>
    <t>Sterlite Technologies Ltd</t>
  </si>
  <si>
    <t>Stove Kraft Ltd</t>
  </si>
  <si>
    <t>Strides Pharma Science Ltd</t>
  </si>
  <si>
    <t>Stylam Industries Ltd</t>
  </si>
  <si>
    <t>Subex Ltd</t>
  </si>
  <si>
    <t>Subros Ltd</t>
  </si>
  <si>
    <t>Sudarshan Chemical Industries Ltd</t>
  </si>
  <si>
    <t>Sumitomo Chemical India Ltd</t>
  </si>
  <si>
    <t>Summit Securities Ltd</t>
  </si>
  <si>
    <t>Sun Pharma Advanced Research Company Ltd</t>
  </si>
  <si>
    <t>Sun Pharmaceutical Industries Ltd</t>
  </si>
  <si>
    <t>Sun TV Network Ltd</t>
  </si>
  <si>
    <t>Sundaram Finance Holdings Ltd</t>
  </si>
  <si>
    <t>Sundaram Finance Ltd</t>
  </si>
  <si>
    <t>Sundaram-Clayton Ltd</t>
  </si>
  <si>
    <t>Sundram Fasteners Ltd</t>
  </si>
  <si>
    <t>Sunflag Iron And Steel Company Ltd</t>
  </si>
  <si>
    <t>Sunteck Realty Ltd</t>
  </si>
  <si>
    <t>Suprajit Engineering Ltd</t>
  </si>
  <si>
    <t>Supreme Industries Ltd</t>
  </si>
  <si>
    <t>Supreme Petrochem Ltd</t>
  </si>
  <si>
    <t>Supriya Lifescience Ltd</t>
  </si>
  <si>
    <t>Surya Roshni Ltd</t>
  </si>
  <si>
    <t>Suryoday Small Finance Bank Ltd</t>
  </si>
  <si>
    <t>Sutlej Textiles And Industries Ltd</t>
  </si>
  <si>
    <t>Suumaya Industries Ltd</t>
  </si>
  <si>
    <t>Suven Life Sciences Ltd</t>
  </si>
  <si>
    <t>Suven Pharmaceuticals Ltd</t>
  </si>
  <si>
    <t>Suzlon Energy Ltd</t>
  </si>
  <si>
    <t>SVP Global Textiles Ltd</t>
  </si>
  <si>
    <t>Swan Energy Ltd</t>
  </si>
  <si>
    <t>Swaraj Engines Ltd</t>
  </si>
  <si>
    <t>Symphony Ltd</t>
  </si>
  <si>
    <t>Syncom Formulations (India) Ltd</t>
  </si>
  <si>
    <t>Syngene International Ltd</t>
  </si>
  <si>
    <t>Systematix Corporate Services Ltd</t>
  </si>
  <si>
    <t>TAAL Enterprises Ltd</t>
  </si>
  <si>
    <t>Taj GVK Hotels &amp; Resorts Ltd</t>
  </si>
  <si>
    <t>Take Solutions Ltd</t>
  </si>
  <si>
    <t>Tamil Nadu Newsprint &amp; Papers Ltd</t>
  </si>
  <si>
    <t>Tamilnadu Petroproducts Ltd</t>
  </si>
  <si>
    <t>Tanfac Industries Ltd</t>
  </si>
  <si>
    <t>Tanla Platforms Ltd</t>
  </si>
  <si>
    <t>TARC Ltd</t>
  </si>
  <si>
    <t>Tarsons Products Ltd</t>
  </si>
  <si>
    <t>Tasty Bite Eatables Ltd</t>
  </si>
  <si>
    <t>Tata Chemicals Ltd</t>
  </si>
  <si>
    <t>Tata Coffee Ltd</t>
  </si>
  <si>
    <t>Tata Communications Ltd</t>
  </si>
  <si>
    <t>Tata Consultancy Services Ltd</t>
  </si>
  <si>
    <t>Tata Consumer Products Ltd</t>
  </si>
  <si>
    <t>Tata Elxsi Ltd</t>
  </si>
  <si>
    <t>Tata Investment Corporation Ltd</t>
  </si>
  <si>
    <t>Tata Metaliks Ltd</t>
  </si>
  <si>
    <t>Tata Motors Ltd</t>
  </si>
  <si>
    <t>Tata Power Company Ltd</t>
  </si>
  <si>
    <t>Tata Steel Long Products Ltd</t>
  </si>
  <si>
    <t>Tata Steel Ltd</t>
  </si>
  <si>
    <t>Tata Teleservices (Maharashtra) Ltd</t>
  </si>
  <si>
    <t>Tatva Chintan Pharma Chem Ltd</t>
  </si>
  <si>
    <t>TCI Express Ltd</t>
  </si>
  <si>
    <t>TCNS Clothing CoLtd</t>
  </si>
  <si>
    <t>TD Power Systems Ltd</t>
  </si>
  <si>
    <t>TeamLease Services Ltd</t>
  </si>
  <si>
    <t>Tech Mahindra Ltd</t>
  </si>
  <si>
    <t>Techno Electric &amp; Engineering Company Ltd</t>
  </si>
  <si>
    <t>Technocraft Industries (India) Ltd</t>
  </si>
  <si>
    <t>Tega Industries Ltd</t>
  </si>
  <si>
    <t>Tejas Networks Ltd</t>
  </si>
  <si>
    <t>Texmaco Infrastructure &amp; Holdings Ltd</t>
  </si>
  <si>
    <t>Texmaco Rail &amp; Engineering Ltd</t>
  </si>
  <si>
    <t>TGV SRACC Ltd</t>
  </si>
  <si>
    <t>Thangamayil Jewellery Ltd</t>
  </si>
  <si>
    <t>The Andhra Sugars Ltd</t>
  </si>
  <si>
    <t>The Anup Engineering Ltd</t>
  </si>
  <si>
    <t>The Federal Bank Ltd</t>
  </si>
  <si>
    <t>The Fertilisers And Chemicals Travancore Ltd</t>
  </si>
  <si>
    <t>The Great Eastern Shipping Company Ltd</t>
  </si>
  <si>
    <t>The India Cements Ltd</t>
  </si>
  <si>
    <t>The Indian Hotels Company Ltd</t>
  </si>
  <si>
    <t>The Investment Trust of India Ltd</t>
  </si>
  <si>
    <t>The Jammu &amp; Kashmir Bank Ltd</t>
  </si>
  <si>
    <t>The Karnataka Bank Ltd</t>
  </si>
  <si>
    <t>The New India Assurance Company Ltd</t>
  </si>
  <si>
    <t>The Orissa Minerals Development Company Ltd</t>
  </si>
  <si>
    <t>The Phoenix Mills Ltd</t>
  </si>
  <si>
    <t>The Ramco Cements Ltd</t>
  </si>
  <si>
    <t>The Sandesh Ltd</t>
  </si>
  <si>
    <t>The South Indian Bank Ltd</t>
  </si>
  <si>
    <t>The State Trading Corporation Of India Ltd</t>
  </si>
  <si>
    <t>Thejo Engineering Ltd</t>
  </si>
  <si>
    <t>Themis Medicare Ltd</t>
  </si>
  <si>
    <t>Thermax Ltd</t>
  </si>
  <si>
    <t>Thirumalai Chemicals Ltd</t>
  </si>
  <si>
    <t>Thomas Cook (India) Ltd</t>
  </si>
  <si>
    <t>Thyrocare Technologies Ltd</t>
  </si>
  <si>
    <t>Tide Water Oil Company (India) Ltd</t>
  </si>
  <si>
    <t>Tilaknagar Industries Ltd</t>
  </si>
  <si>
    <t>Time Technoplast Ltd</t>
  </si>
  <si>
    <t>Timex Group India Ltd</t>
  </si>
  <si>
    <t>Timken India Ltd</t>
  </si>
  <si>
    <t>Tinplate Company Of India Ltd</t>
  </si>
  <si>
    <t>Tips Industries Ltd</t>
  </si>
  <si>
    <t>Titagarh Wagons Ltd</t>
  </si>
  <si>
    <t>Titan Company Ltd</t>
  </si>
  <si>
    <t>Torrent Pharmaceuticals Ltd</t>
  </si>
  <si>
    <t>Torrent Power Ltd</t>
  </si>
  <si>
    <t>Tourism Finance Corporation Of India Ltd</t>
  </si>
  <si>
    <t>Transpek Industry Ltd</t>
  </si>
  <si>
    <t>Transport Corporation Of India Ltd</t>
  </si>
  <si>
    <t>Trent Ltd</t>
  </si>
  <si>
    <t>Tribhovandas Bhimji Zaveri Ltd</t>
  </si>
  <si>
    <t>Trident Ltd</t>
  </si>
  <si>
    <t>Triveni Engineering &amp; Industries Ltd</t>
  </si>
  <si>
    <t>Triveni Turbine Ltd</t>
  </si>
  <si>
    <t>TTK Healthcare Ltd</t>
  </si>
  <si>
    <t>TTK Prestige Ltd</t>
  </si>
  <si>
    <t>Tube Investments of India Ltd</t>
  </si>
  <si>
    <t>TV Today Network Ltd</t>
  </si>
  <si>
    <t>TV18 Broadcast Ltd</t>
  </si>
  <si>
    <t>TVS Motor Company Ltd</t>
  </si>
  <si>
    <t>TVS Srichakra Ltd</t>
  </si>
  <si>
    <t>Udaipur Cement Works Ltd</t>
  </si>
  <si>
    <t>Uflex Ltd</t>
  </si>
  <si>
    <t>Ugro Capital Ltd</t>
  </si>
  <si>
    <t>Ujjivan Financial Services Ltd</t>
  </si>
  <si>
    <t>Ujjivan Small Finance Bank Ltd</t>
  </si>
  <si>
    <t>Ultramarine &amp; Pigments Ltd</t>
  </si>
  <si>
    <t>Ultratech Cement Ltd</t>
  </si>
  <si>
    <t>Unichem Laboratories Ltd</t>
  </si>
  <si>
    <t>Uniphos Enterprises Ltd</t>
  </si>
  <si>
    <t>Unitech Ltd</t>
  </si>
  <si>
    <t>United Breweries Ltd</t>
  </si>
  <si>
    <t>United Drilling Tools Ltd</t>
  </si>
  <si>
    <t>United Spirits Ltd</t>
  </si>
  <si>
    <t>Universal Cables Ltd</t>
  </si>
  <si>
    <t>Universus Photo Imagings Ltd</t>
  </si>
  <si>
    <t>UPL Ltd</t>
  </si>
  <si>
    <t>Urja Global Ltd</t>
  </si>
  <si>
    <t>Usha Martin Ltd</t>
  </si>
  <si>
    <t>UTI Asset Management Company Ltd</t>
  </si>
  <si>
    <t>Uttam Sugar Mills Ltd</t>
  </si>
  <si>
    <t>VSTTillers Tractors Ltd</t>
  </si>
  <si>
    <t>V2 Retail Ltd</t>
  </si>
  <si>
    <t>VA Tech Wabag Ltd</t>
  </si>
  <si>
    <t>Vadilal Industries Ltd</t>
  </si>
  <si>
    <t>Vaibhav Global Ltd</t>
  </si>
  <si>
    <t>Vakrangee Ltd</t>
  </si>
  <si>
    <t>Valiant Organics Ltd</t>
  </si>
  <si>
    <t>Vardhman Holdings Ltd</t>
  </si>
  <si>
    <t>Vardhman Special Steels Ltd</t>
  </si>
  <si>
    <t>Vardhman Textiles Ltd</t>
  </si>
  <si>
    <t>Varroc Engineering Ltd</t>
  </si>
  <si>
    <t>Varun Beverages Ltd</t>
  </si>
  <si>
    <t>Vascon Engineers Ltd</t>
  </si>
  <si>
    <t>Vedanta Ltd</t>
  </si>
  <si>
    <t>Venky'S (India) Ltd</t>
  </si>
  <si>
    <t>Venus Remedies Ltd</t>
  </si>
  <si>
    <t>Vesuvius India Ltd</t>
  </si>
  <si>
    <t>V-Guard Industries Ltd</t>
  </si>
  <si>
    <t>Vidhi Specialty Food Ingredients Ltd</t>
  </si>
  <si>
    <t>Vijay Solvex Ltd</t>
  </si>
  <si>
    <t>Vijaya Diagnostic Centre Ltd</t>
  </si>
  <si>
    <t>Vimta Labs Ltd</t>
  </si>
  <si>
    <t>Vinati Organics Ltd</t>
  </si>
  <si>
    <t>Vindhya Telelinks Ltd</t>
  </si>
  <si>
    <t>Vintage Coffee &amp; Beverages Ltd</t>
  </si>
  <si>
    <t>VIP Industries Ltd</t>
  </si>
  <si>
    <t>Visaka Industries Ltd</t>
  </si>
  <si>
    <t>Vishal Fabrics Ltd</t>
  </si>
  <si>
    <t>Vishnu Chemicals Ltd</t>
  </si>
  <si>
    <t>Vishwaraj Sugar Industries Ltd</t>
  </si>
  <si>
    <t>VLS Finance Ltd</t>
  </si>
  <si>
    <t>V-Mart Retail Ltd</t>
  </si>
  <si>
    <t>Vodafone Idea Ltd</t>
  </si>
  <si>
    <t>Voltamp Transformers Ltd</t>
  </si>
  <si>
    <t>Voltas Ltd</t>
  </si>
  <si>
    <t>VRL Logistics Ltd</t>
  </si>
  <si>
    <t>VST Industries Ltd</t>
  </si>
  <si>
    <t>Waaree Renewable Technologies Ltd</t>
  </si>
  <si>
    <t>Wabco India Ltd</t>
  </si>
  <si>
    <t>Wardwizard Innovations &amp; Mobility Ltd</t>
  </si>
  <si>
    <t>Welspun Corp Ltd</t>
  </si>
  <si>
    <t>Welspun Enterprises Ltd</t>
  </si>
  <si>
    <t>Welspun India Ltd</t>
  </si>
  <si>
    <t>Welspun Specialty Solutions Ltd</t>
  </si>
  <si>
    <t>Wendt (India) Ltd</t>
  </si>
  <si>
    <t>West Coast Paper Mills Ltd</t>
  </si>
  <si>
    <t>Westlife Development Ltd</t>
  </si>
  <si>
    <t>Wheels India Ltd</t>
  </si>
  <si>
    <t>Whirlpool Of India Ltd</t>
  </si>
  <si>
    <t>Wim Plast Ltd</t>
  </si>
  <si>
    <t>Windlas Biotech Ltd</t>
  </si>
  <si>
    <t>Wipro Ltd</t>
  </si>
  <si>
    <t>Wockhardt Ltd</t>
  </si>
  <si>
    <t>Wonderla Holidays Ltd</t>
  </si>
  <si>
    <t>WPIL Ltd</t>
  </si>
  <si>
    <t>Xchanging Solutions Ltd</t>
  </si>
  <si>
    <t>Xelpmoc Design And Tech Ltd</t>
  </si>
  <si>
    <t>Xpro India Ltd</t>
  </si>
  <si>
    <t>XT Global Infotech Ltd</t>
  </si>
  <si>
    <t>Yaari Digital Integrated Services Ltd</t>
  </si>
  <si>
    <t>Yasho Industries Ltd</t>
  </si>
  <si>
    <t>Yes Bank Ltd</t>
  </si>
  <si>
    <t>Yuken India Ltd</t>
  </si>
  <si>
    <t>Zee Entertainment Enterprises Ltd</t>
  </si>
  <si>
    <t>Zee Media Corporation Ltd</t>
  </si>
  <si>
    <t>Zen Technologies Ltd</t>
  </si>
  <si>
    <t>Zensar Technologies Ltd</t>
  </si>
  <si>
    <t>Zomato Ltd</t>
  </si>
  <si>
    <t>Zota Health Care Ltd</t>
  </si>
  <si>
    <t>https://goindiastocks.com/GIA/stockDashboard?Fincode=</t>
  </si>
  <si>
    <t>Banking Finance Insurance</t>
  </si>
  <si>
    <t>Retail and Consumer Packing Goods</t>
  </si>
  <si>
    <t>Communication, Media and Technology</t>
  </si>
  <si>
    <t>Life Sciences and Healthcare</t>
  </si>
  <si>
    <t>Manufacturing</t>
  </si>
  <si>
    <t>Retail and Distribution</t>
  </si>
  <si>
    <t>FY22A</t>
  </si>
  <si>
    <t>FY23A</t>
  </si>
  <si>
    <t>FY24E</t>
  </si>
  <si>
    <t>FY25E</t>
  </si>
  <si>
    <t>Net Revenue</t>
  </si>
  <si>
    <t>EBITDA Margin (%)</t>
  </si>
  <si>
    <t>Net Profit</t>
  </si>
  <si>
    <t>EPS (RS)</t>
  </si>
  <si>
    <t>EPS % Chg</t>
  </si>
  <si>
    <t>P/E (X)</t>
  </si>
  <si>
    <t>EV/EBITDA(X)</t>
  </si>
  <si>
    <t>Particulars</t>
  </si>
  <si>
    <t>P/BV</t>
  </si>
  <si>
    <t>BV/SHARE</t>
  </si>
  <si>
    <t>% Chg y-o-y</t>
  </si>
  <si>
    <t>FY26E</t>
  </si>
  <si>
    <t>FY27E</t>
  </si>
  <si>
    <t>FY28E</t>
  </si>
  <si>
    <t>Financial Summary</t>
  </si>
  <si>
    <t xml:space="preserve">Sector - </t>
  </si>
  <si>
    <t xml:space="preserve">Target Price - </t>
  </si>
  <si>
    <t xml:space="preserve">Upside - </t>
  </si>
  <si>
    <t>52 H/L</t>
  </si>
  <si>
    <t>Free Float %</t>
  </si>
  <si>
    <t>Avg. daily value traded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</si>
</sst>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_ * #,##0.0_ ;_ * \-#,##0.0_ ;_ * &quot;-&quot;??_ ;_ @_ "/>
    <numFmt numFmtId="167" formatCode="_ * #,##0_ ;_ * \-#,##0_ ;_ * &quot;-&quot;??_ ;_ @_ "/>
    <numFmt numFmtId="168" formatCode="0.0%"/>
    <numFmt numFmtId="169" formatCode="0.0"/>
    <numFmt numFmtId="170" formatCode="#,##0.0"/>
  </numFmts>
  <fonts count="3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20"/>
      <color theme="0"/>
      <name val="Calibri (Body)"/>
    </font>
    <font>
      <b/>
      <sz val="1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22222F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Calibri"/>
      <family val="2"/>
    </font>
    <font>
      <b/>
      <sz val="11"/>
      <color rgb="FF1F469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8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1F2CE"/>
        <bgColor indexed="64"/>
      </patternFill>
    </fill>
    <fill>
      <patternFill patternType="solid">
        <fgColor rgb="FF1F4690"/>
        <bgColor indexed="64"/>
      </patternFill>
    </fill>
    <fill>
      <patternFill patternType="solid">
        <fgColor rgb="FFFFE5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AA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4B6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438">
    <xf numFmtId="0" fontId="0" fillId="0" borderId="0" xfId="0"/>
    <xf numFmtId="43" fontId="1" fillId="0" borderId="0" xfId="1" applyFont="1" applyBorder="1"/>
    <xf numFmtId="43" fontId="0" fillId="0" borderId="0" xfId="1" applyFont="1" applyBorder="1"/>
    <xf numFmtId="0" fontId="1" fillId="0" borderId="0" xfId="0" applyFont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8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164" fontId="0" fillId="0" borderId="0" xfId="1" applyNumberFormat="1" applyFont="1" applyBorder="1"/>
    <xf numFmtId="0" fontId="1" fillId="0" borderId="1" xfId="0" applyFont="1" applyBorder="1"/>
    <xf numFmtId="0" fontId="0" fillId="0" borderId="2" xfId="0" applyBorder="1"/>
    <xf numFmtId="0" fontId="1" fillId="0" borderId="4" xfId="0" applyFont="1" applyBorder="1"/>
    <xf numFmtId="169" fontId="0" fillId="0" borderId="5" xfId="0" applyNumberFormat="1" applyBorder="1"/>
    <xf numFmtId="167" fontId="0" fillId="0" borderId="5" xfId="0" applyNumberFormat="1" applyBorder="1"/>
    <xf numFmtId="0" fontId="0" fillId="0" borderId="5" xfId="0" applyBorder="1"/>
    <xf numFmtId="0" fontId="1" fillId="0" borderId="7" xfId="0" applyFont="1" applyBorder="1" applyAlignment="1">
      <alignment horizontal="center"/>
    </xf>
    <xf numFmtId="167" fontId="0" fillId="0" borderId="7" xfId="1" applyNumberFormat="1" applyFont="1" applyBorder="1"/>
    <xf numFmtId="3" fontId="0" fillId="0" borderId="7" xfId="0" applyNumberFormat="1" applyBorder="1"/>
    <xf numFmtId="9" fontId="10" fillId="0" borderId="7" xfId="4" applyFont="1" applyBorder="1"/>
    <xf numFmtId="9" fontId="10" fillId="0" borderId="7" xfId="0" applyNumberFormat="1" applyFont="1" applyBorder="1"/>
    <xf numFmtId="167" fontId="12" fillId="0" borderId="7" xfId="1" applyNumberFormat="1" applyFont="1" applyBorder="1"/>
    <xf numFmtId="168" fontId="10" fillId="0" borderId="7" xfId="4" applyNumberFormat="1" applyFont="1" applyBorder="1"/>
    <xf numFmtId="168" fontId="12" fillId="0" borderId="7" xfId="0" applyNumberFormat="1" applyFont="1" applyBorder="1"/>
    <xf numFmtId="9" fontId="0" fillId="0" borderId="7" xfId="4" applyFont="1" applyBorder="1"/>
    <xf numFmtId="43" fontId="12" fillId="0" borderId="7" xfId="1" applyFont="1" applyBorder="1"/>
    <xf numFmtId="170" fontId="0" fillId="0" borderId="7" xfId="0" applyNumberFormat="1" applyBorder="1"/>
    <xf numFmtId="0" fontId="1" fillId="0" borderId="12" xfId="0" applyFont="1" applyBorder="1" applyAlignment="1">
      <alignment horizontal="center"/>
    </xf>
    <xf numFmtId="167" fontId="0" fillId="0" borderId="12" xfId="1" applyNumberFormat="1" applyFont="1" applyBorder="1"/>
    <xf numFmtId="9" fontId="10" fillId="0" borderId="12" xfId="4" applyFont="1" applyBorder="1"/>
    <xf numFmtId="168" fontId="10" fillId="0" borderId="12" xfId="4" applyNumberFormat="1" applyFont="1" applyBorder="1"/>
    <xf numFmtId="167" fontId="12" fillId="0" borderId="12" xfId="1" applyNumberFormat="1" applyFont="1" applyBorder="1"/>
    <xf numFmtId="43" fontId="12" fillId="0" borderId="12" xfId="1" applyFont="1" applyBorder="1"/>
    <xf numFmtId="0" fontId="1" fillId="0" borderId="9" xfId="0" applyFont="1" applyBorder="1" applyAlignment="1">
      <alignment horizontal="center"/>
    </xf>
    <xf numFmtId="167" fontId="0" fillId="0" borderId="9" xfId="1" applyNumberFormat="1" applyFont="1" applyBorder="1"/>
    <xf numFmtId="9" fontId="10" fillId="0" borderId="9" xfId="4" applyFont="1" applyBorder="1"/>
    <xf numFmtId="168" fontId="10" fillId="0" borderId="9" xfId="4" applyNumberFormat="1" applyFont="1" applyBorder="1"/>
    <xf numFmtId="167" fontId="12" fillId="0" borderId="9" xfId="1" applyNumberFormat="1" applyFont="1" applyBorder="1"/>
    <xf numFmtId="43" fontId="12" fillId="0" borderId="9" xfId="1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67" fontId="0" fillId="0" borderId="15" xfId="1" applyNumberFormat="1" applyFont="1" applyBorder="1"/>
    <xf numFmtId="9" fontId="10" fillId="0" borderId="15" xfId="4" applyFont="1" applyBorder="1"/>
    <xf numFmtId="167" fontId="12" fillId="0" borderId="15" xfId="1" applyNumberFormat="1" applyFont="1" applyBorder="1"/>
    <xf numFmtId="168" fontId="10" fillId="0" borderId="15" xfId="4" applyNumberFormat="1" applyFont="1" applyBorder="1"/>
    <xf numFmtId="43" fontId="12" fillId="0" borderId="15" xfId="1" applyFont="1" applyBorder="1"/>
    <xf numFmtId="0" fontId="0" fillId="0" borderId="10" xfId="0" applyBorder="1"/>
    <xf numFmtId="0" fontId="0" fillId="0" borderId="11" xfId="0" applyBorder="1"/>
    <xf numFmtId="3" fontId="0" fillId="0" borderId="12" xfId="0" applyNumberFormat="1" applyBorder="1"/>
    <xf numFmtId="3" fontId="10" fillId="0" borderId="12" xfId="0" applyNumberFormat="1" applyFont="1" applyBorder="1"/>
    <xf numFmtId="168" fontId="12" fillId="0" borderId="12" xfId="0" applyNumberFormat="1" applyFont="1" applyBorder="1"/>
    <xf numFmtId="9" fontId="0" fillId="0" borderId="12" xfId="4" applyFont="1" applyBorder="1"/>
    <xf numFmtId="170" fontId="0" fillId="0" borderId="12" xfId="0" applyNumberFormat="1" applyBorder="1"/>
    <xf numFmtId="0" fontId="0" fillId="0" borderId="16" xfId="0" applyBorder="1"/>
    <xf numFmtId="0" fontId="1" fillId="0" borderId="17" xfId="0" applyFont="1" applyBorder="1"/>
    <xf numFmtId="0" fontId="0" fillId="0" borderId="17" xfId="0" applyBorder="1"/>
    <xf numFmtId="0" fontId="10" fillId="0" borderId="17" xfId="0" applyFont="1" applyBorder="1"/>
    <xf numFmtId="0" fontId="12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4" fontId="0" fillId="0" borderId="19" xfId="0" applyNumberFormat="1" applyBorder="1"/>
    <xf numFmtId="4" fontId="0" fillId="0" borderId="20" xfId="0" applyNumberFormat="1" applyBorder="1"/>
    <xf numFmtId="0" fontId="1" fillId="0" borderId="23" xfId="0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8" xfId="0" applyBorder="1"/>
    <xf numFmtId="0" fontId="0" fillId="0" borderId="1" xfId="0" applyBorder="1"/>
    <xf numFmtId="168" fontId="0" fillId="0" borderId="3" xfId="4" applyNumberFormat="1" applyFont="1" applyBorder="1"/>
    <xf numFmtId="0" fontId="0" fillId="0" borderId="27" xfId="0" applyBorder="1"/>
    <xf numFmtId="0" fontId="0" fillId="0" borderId="4" xfId="0" applyBorder="1"/>
    <xf numFmtId="168" fontId="0" fillId="0" borderId="29" xfId="4" applyNumberFormat="1" applyFont="1" applyBorder="1"/>
    <xf numFmtId="0" fontId="1" fillId="0" borderId="27" xfId="0" applyFont="1" applyBorder="1"/>
    <xf numFmtId="0" fontId="0" fillId="0" borderId="28" xfId="0" applyBorder="1"/>
    <xf numFmtId="9" fontId="12" fillId="0" borderId="0" xfId="4" applyFont="1" applyBorder="1"/>
    <xf numFmtId="9" fontId="0" fillId="0" borderId="28" xfId="4" applyFont="1" applyBorder="1"/>
    <xf numFmtId="168" fontId="12" fillId="0" borderId="0" xfId="4" applyNumberFormat="1" applyFont="1" applyBorder="1"/>
    <xf numFmtId="168" fontId="0" fillId="0" borderId="28" xfId="4" applyNumberFormat="1" applyFont="1" applyBorder="1"/>
    <xf numFmtId="168" fontId="0" fillId="0" borderId="6" xfId="4" applyNumberFormat="1" applyFont="1" applyBorder="1"/>
    <xf numFmtId="0" fontId="1" fillId="0" borderId="2" xfId="0" applyFont="1" applyBorder="1" applyAlignment="1">
      <alignment horizontal="center"/>
    </xf>
    <xf numFmtId="0" fontId="0" fillId="0" borderId="3" xfId="0" applyBorder="1"/>
    <xf numFmtId="168" fontId="0" fillId="0" borderId="0" xfId="4" applyNumberFormat="1" applyFont="1" applyBorder="1"/>
    <xf numFmtId="0" fontId="1" fillId="4" borderId="4" xfId="0" applyFont="1" applyFill="1" applyBorder="1"/>
    <xf numFmtId="0" fontId="1" fillId="4" borderId="5" xfId="0" applyFont="1" applyFill="1" applyBorder="1"/>
    <xf numFmtId="3" fontId="0" fillId="0" borderId="5" xfId="0" applyNumberFormat="1" applyBorder="1"/>
    <xf numFmtId="167" fontId="0" fillId="0" borderId="30" xfId="1" applyNumberFormat="1" applyFont="1" applyBorder="1"/>
    <xf numFmtId="3" fontId="0" fillId="0" borderId="30" xfId="0" applyNumberFormat="1" applyBorder="1"/>
    <xf numFmtId="3" fontId="1" fillId="4" borderId="31" xfId="0" applyNumberFormat="1" applyFont="1" applyFill="1" applyBorder="1"/>
    <xf numFmtId="3" fontId="0" fillId="0" borderId="8" xfId="0" applyNumberFormat="1" applyBorder="1"/>
    <xf numFmtId="168" fontId="0" fillId="0" borderId="29" xfId="0" applyNumberFormat="1" applyBorder="1"/>
    <xf numFmtId="169" fontId="0" fillId="0" borderId="0" xfId="0" applyNumberFormat="1"/>
    <xf numFmtId="167" fontId="0" fillId="0" borderId="0" xfId="0" applyNumberFormat="1"/>
    <xf numFmtId="9" fontId="0" fillId="0" borderId="28" xfId="0" applyNumberFormat="1" applyBorder="1"/>
    <xf numFmtId="9" fontId="0" fillId="0" borderId="0" xfId="0" applyNumberFormat="1"/>
    <xf numFmtId="0" fontId="0" fillId="0" borderId="6" xfId="0" applyBorder="1"/>
    <xf numFmtId="168" fontId="0" fillId="0" borderId="2" xfId="4" applyNumberFormat="1" applyFont="1" applyBorder="1"/>
    <xf numFmtId="166" fontId="0" fillId="0" borderId="5" xfId="0" applyNumberFormat="1" applyBorder="1"/>
    <xf numFmtId="168" fontId="0" fillId="0" borderId="5" xfId="4" applyNumberFormat="1" applyFont="1" applyBorder="1"/>
    <xf numFmtId="9" fontId="0" fillId="0" borderId="5" xfId="0" applyNumberFormat="1" applyBorder="1"/>
    <xf numFmtId="0" fontId="1" fillId="0" borderId="30" xfId="0" applyFont="1" applyBorder="1"/>
    <xf numFmtId="169" fontId="0" fillId="0" borderId="27" xfId="0" applyNumberFormat="1" applyBorder="1"/>
    <xf numFmtId="9" fontId="0" fillId="0" borderId="6" xfId="4" applyFont="1" applyBorder="1"/>
    <xf numFmtId="168" fontId="0" fillId="0" borderId="27" xfId="4" applyNumberFormat="1" applyFont="1" applyBorder="1"/>
    <xf numFmtId="168" fontId="0" fillId="0" borderId="28" xfId="0" applyNumberFormat="1" applyBorder="1"/>
    <xf numFmtId="169" fontId="0" fillId="0" borderId="28" xfId="0" applyNumberFormat="1" applyBorder="1"/>
    <xf numFmtId="167" fontId="0" fillId="0" borderId="3" xfId="1" applyNumberFormat="1" applyFont="1" applyBorder="1"/>
    <xf numFmtId="9" fontId="0" fillId="0" borderId="27" xfId="0" applyNumberFormat="1" applyBorder="1"/>
    <xf numFmtId="169" fontId="0" fillId="0" borderId="4" xfId="0" applyNumberFormat="1" applyBorder="1"/>
    <xf numFmtId="169" fontId="0" fillId="0" borderId="6" xfId="0" applyNumberFormat="1" applyBorder="1"/>
    <xf numFmtId="0" fontId="0" fillId="0" borderId="7" xfId="0" applyBorder="1"/>
    <xf numFmtId="0" fontId="1" fillId="4" borderId="6" xfId="0" applyFont="1" applyFill="1" applyBorder="1"/>
    <xf numFmtId="0" fontId="0" fillId="0" borderId="23" xfId="0" applyBorder="1"/>
    <xf numFmtId="0" fontId="0" fillId="0" borderId="32" xfId="0" applyBorder="1"/>
    <xf numFmtId="0" fontId="1" fillId="0" borderId="5" xfId="0" applyFont="1" applyBorder="1"/>
    <xf numFmtId="0" fontId="1" fillId="0" borderId="31" xfId="0" applyFont="1" applyBorder="1"/>
    <xf numFmtId="167" fontId="0" fillId="8" borderId="2" xfId="1" applyNumberFormat="1" applyFont="1" applyFill="1" applyBorder="1"/>
    <xf numFmtId="166" fontId="0" fillId="8" borderId="5" xfId="1" applyNumberFormat="1" applyFont="1" applyFill="1" applyBorder="1"/>
    <xf numFmtId="10" fontId="0" fillId="8" borderId="30" xfId="0" applyNumberFormat="1" applyFill="1" applyBorder="1" applyProtection="1">
      <protection locked="0"/>
    </xf>
    <xf numFmtId="0" fontId="0" fillId="8" borderId="30" xfId="0" applyFill="1" applyBorder="1" applyProtection="1">
      <protection locked="0"/>
    </xf>
    <xf numFmtId="9" fontId="0" fillId="8" borderId="31" xfId="0" applyNumberFormat="1" applyFill="1" applyBorder="1" applyProtection="1">
      <protection locked="0"/>
    </xf>
    <xf numFmtId="10" fontId="0" fillId="8" borderId="33" xfId="0" applyNumberFormat="1" applyFill="1" applyBorder="1" applyProtection="1">
      <protection locked="0"/>
    </xf>
    <xf numFmtId="168" fontId="0" fillId="8" borderId="30" xfId="0" applyNumberFormat="1" applyFill="1" applyBorder="1" applyProtection="1">
      <protection locked="0"/>
    </xf>
    <xf numFmtId="9" fontId="0" fillId="8" borderId="7" xfId="0" applyNumberFormat="1" applyFill="1" applyBorder="1" applyProtection="1">
      <protection locked="0"/>
    </xf>
    <xf numFmtId="9" fontId="11" fillId="8" borderId="7" xfId="0" applyNumberFormat="1" applyFont="1" applyFill="1" applyBorder="1" applyProtection="1">
      <protection locked="0"/>
    </xf>
    <xf numFmtId="168" fontId="13" fillId="8" borderId="7" xfId="0" applyNumberFormat="1" applyFont="1" applyFill="1" applyBorder="1" applyProtection="1">
      <protection locked="0"/>
    </xf>
    <xf numFmtId="168" fontId="11" fillId="8" borderId="7" xfId="0" applyNumberFormat="1" applyFont="1" applyFill="1" applyBorder="1" applyProtection="1">
      <protection locked="0"/>
    </xf>
    <xf numFmtId="3" fontId="0" fillId="0" borderId="0" xfId="0" applyNumberFormat="1"/>
    <xf numFmtId="0" fontId="1" fillId="0" borderId="29" xfId="0" applyFont="1" applyBorder="1"/>
    <xf numFmtId="169" fontId="0" fillId="0" borderId="2" xfId="0" applyNumberFormat="1" applyBorder="1"/>
    <xf numFmtId="3" fontId="0" fillId="0" borderId="27" xfId="0" applyNumberFormat="1" applyBorder="1"/>
    <xf numFmtId="3" fontId="0" fillId="0" borderId="28" xfId="0" applyNumberFormat="1" applyBorder="1"/>
    <xf numFmtId="169" fontId="0" fillId="0" borderId="1" xfId="0" applyNumberFormat="1" applyBorder="1"/>
    <xf numFmtId="169" fontId="0" fillId="0" borderId="3" xfId="0" applyNumberFormat="1" applyBorder="1"/>
    <xf numFmtId="9" fontId="0" fillId="0" borderId="4" xfId="0" applyNumberFormat="1" applyBorder="1"/>
    <xf numFmtId="9" fontId="0" fillId="0" borderId="6" xfId="0" applyNumberFormat="1" applyBorder="1"/>
    <xf numFmtId="170" fontId="0" fillId="0" borderId="7" xfId="0" applyNumberFormat="1" applyBorder="1" applyProtection="1">
      <protection locked="0"/>
    </xf>
    <xf numFmtId="0" fontId="18" fillId="7" borderId="0" xfId="0" applyFont="1" applyFill="1"/>
    <xf numFmtId="0" fontId="20" fillId="0" borderId="0" xfId="0" applyFont="1"/>
    <xf numFmtId="165" fontId="19" fillId="7" borderId="23" xfId="0" applyNumberFormat="1" applyFont="1" applyFill="1" applyBorder="1" applyAlignment="1">
      <alignment horizontal="center" vertical="center"/>
    </xf>
    <xf numFmtId="165" fontId="19" fillId="7" borderId="32" xfId="0" applyNumberFormat="1" applyFont="1" applyFill="1" applyBorder="1" applyAlignment="1">
      <alignment horizontal="center" vertical="center"/>
    </xf>
    <xf numFmtId="165" fontId="19" fillId="7" borderId="33" xfId="0" applyNumberFormat="1" applyFont="1" applyFill="1" applyBorder="1" applyAlignment="1">
      <alignment horizontal="center" vertical="center"/>
    </xf>
    <xf numFmtId="165" fontId="21" fillId="8" borderId="23" xfId="0" applyNumberFormat="1" applyFont="1" applyFill="1" applyBorder="1" applyAlignment="1">
      <alignment horizontal="center" vertical="center"/>
    </xf>
    <xf numFmtId="165" fontId="21" fillId="8" borderId="32" xfId="0" applyNumberFormat="1" applyFont="1" applyFill="1" applyBorder="1" applyAlignment="1">
      <alignment horizontal="center" vertical="center"/>
    </xf>
    <xf numFmtId="165" fontId="21" fillId="8" borderId="33" xfId="0" applyNumberFormat="1" applyFont="1" applyFill="1" applyBorder="1" applyAlignment="1">
      <alignment horizontal="center" vertical="center"/>
    </xf>
    <xf numFmtId="165" fontId="19" fillId="7" borderId="8" xfId="0" applyNumberFormat="1" applyFont="1" applyFill="1" applyBorder="1" applyAlignment="1">
      <alignment horizontal="center" vertical="center"/>
    </xf>
    <xf numFmtId="165" fontId="19" fillId="7" borderId="23" xfId="0" applyNumberFormat="1" applyFont="1" applyFill="1" applyBorder="1" applyAlignment="1">
      <alignment horizontal="center" vertical="center" wrapText="1"/>
    </xf>
    <xf numFmtId="165" fontId="19" fillId="7" borderId="32" xfId="0" applyNumberFormat="1" applyFont="1" applyFill="1" applyBorder="1" applyAlignment="1">
      <alignment horizontal="center" vertical="center" wrapText="1"/>
    </xf>
    <xf numFmtId="165" fontId="19" fillId="7" borderId="33" xfId="0" applyNumberFormat="1" applyFont="1" applyFill="1" applyBorder="1" applyAlignment="1">
      <alignment horizontal="center" vertical="center" wrapText="1"/>
    </xf>
    <xf numFmtId="0" fontId="20" fillId="0" borderId="27" xfId="0" applyFont="1" applyBorder="1"/>
    <xf numFmtId="167" fontId="20" fillId="0" borderId="27" xfId="1" applyNumberFormat="1" applyFont="1" applyBorder="1"/>
    <xf numFmtId="167" fontId="20" fillId="0" borderId="0" xfId="1" applyNumberFormat="1" applyFont="1" applyBorder="1"/>
    <xf numFmtId="167" fontId="20" fillId="0" borderId="28" xfId="1" applyNumberFormat="1" applyFont="1" applyBorder="1"/>
    <xf numFmtId="167" fontId="22" fillId="8" borderId="27" xfId="0" applyNumberFormat="1" applyFont="1" applyFill="1" applyBorder="1"/>
    <xf numFmtId="167" fontId="22" fillId="8" borderId="0" xfId="0" applyNumberFormat="1" applyFont="1" applyFill="1"/>
    <xf numFmtId="167" fontId="22" fillId="8" borderId="28" xfId="0" applyNumberFormat="1" applyFont="1" applyFill="1" applyBorder="1"/>
    <xf numFmtId="167" fontId="20" fillId="0" borderId="30" xfId="1" applyNumberFormat="1" applyFont="1" applyBorder="1"/>
    <xf numFmtId="9" fontId="20" fillId="0" borderId="0" xfId="4" applyFont="1" applyBorder="1"/>
    <xf numFmtId="0" fontId="20" fillId="0" borderId="28" xfId="0" applyFont="1" applyBorder="1"/>
    <xf numFmtId="169" fontId="20" fillId="0" borderId="27" xfId="0" applyNumberFormat="1" applyFont="1" applyBorder="1"/>
    <xf numFmtId="169" fontId="20" fillId="0" borderId="0" xfId="0" applyNumberFormat="1" applyFont="1"/>
    <xf numFmtId="169" fontId="20" fillId="0" borderId="28" xfId="0" applyNumberFormat="1" applyFont="1" applyBorder="1"/>
    <xf numFmtId="169" fontId="22" fillId="8" borderId="27" xfId="0" applyNumberFormat="1" applyFont="1" applyFill="1" applyBorder="1"/>
    <xf numFmtId="169" fontId="22" fillId="8" borderId="0" xfId="0" applyNumberFormat="1" applyFont="1" applyFill="1"/>
    <xf numFmtId="169" fontId="22" fillId="8" borderId="28" xfId="0" applyNumberFormat="1" applyFont="1" applyFill="1" applyBorder="1"/>
    <xf numFmtId="169" fontId="20" fillId="0" borderId="30" xfId="0" applyNumberFormat="1" applyFont="1" applyBorder="1"/>
    <xf numFmtId="167" fontId="22" fillId="8" borderId="27" xfId="1" applyNumberFormat="1" applyFont="1" applyFill="1" applyBorder="1"/>
    <xf numFmtId="167" fontId="22" fillId="8" borderId="0" xfId="1" applyNumberFormat="1" applyFont="1" applyFill="1" applyBorder="1"/>
    <xf numFmtId="167" fontId="22" fillId="8" borderId="28" xfId="1" applyNumberFormat="1" applyFont="1" applyFill="1" applyBorder="1"/>
    <xf numFmtId="0" fontId="20" fillId="0" borderId="4" xfId="0" applyFont="1" applyBorder="1"/>
    <xf numFmtId="0" fontId="20" fillId="0" borderId="5" xfId="0" applyFont="1" applyBorder="1"/>
    <xf numFmtId="167" fontId="20" fillId="0" borderId="4" xfId="1" applyNumberFormat="1" applyFont="1" applyBorder="1"/>
    <xf numFmtId="167" fontId="20" fillId="0" borderId="5" xfId="1" applyNumberFormat="1" applyFont="1" applyBorder="1"/>
    <xf numFmtId="167" fontId="20" fillId="0" borderId="6" xfId="1" applyNumberFormat="1" applyFont="1" applyBorder="1"/>
    <xf numFmtId="167" fontId="22" fillId="8" borderId="4" xfId="1" applyNumberFormat="1" applyFont="1" applyFill="1" applyBorder="1"/>
    <xf numFmtId="167" fontId="22" fillId="8" borderId="5" xfId="1" applyNumberFormat="1" applyFont="1" applyFill="1" applyBorder="1"/>
    <xf numFmtId="167" fontId="22" fillId="8" borderId="6" xfId="1" applyNumberFormat="1" applyFont="1" applyFill="1" applyBorder="1"/>
    <xf numFmtId="167" fontId="22" fillId="0" borderId="31" xfId="1" applyNumberFormat="1" applyFont="1" applyFill="1" applyBorder="1"/>
    <xf numFmtId="9" fontId="20" fillId="0" borderId="5" xfId="4" applyFont="1" applyBorder="1"/>
    <xf numFmtId="0" fontId="22" fillId="8" borderId="27" xfId="0" applyFont="1" applyFill="1" applyBorder="1"/>
    <xf numFmtId="0" fontId="22" fillId="8" borderId="0" xfId="0" applyFont="1" applyFill="1"/>
    <xf numFmtId="0" fontId="22" fillId="8" borderId="28" xfId="0" applyFont="1" applyFill="1" applyBorder="1"/>
    <xf numFmtId="0" fontId="20" fillId="0" borderId="30" xfId="0" applyFont="1" applyBorder="1"/>
    <xf numFmtId="166" fontId="18" fillId="0" borderId="0" xfId="1" applyNumberFormat="1" applyFont="1"/>
    <xf numFmtId="0" fontId="20" fillId="0" borderId="1" xfId="0" applyFont="1" applyBorder="1"/>
    <xf numFmtId="0" fontId="20" fillId="0" borderId="2" xfId="0" applyFont="1" applyBorder="1"/>
    <xf numFmtId="167" fontId="20" fillId="0" borderId="1" xfId="1" applyNumberFormat="1" applyFont="1" applyBorder="1"/>
    <xf numFmtId="167" fontId="20" fillId="0" borderId="2" xfId="1" applyNumberFormat="1" applyFont="1" applyBorder="1"/>
    <xf numFmtId="167" fontId="22" fillId="8" borderId="1" xfId="1" applyNumberFormat="1" applyFont="1" applyFill="1" applyBorder="1"/>
    <xf numFmtId="167" fontId="22" fillId="8" borderId="2" xfId="1" applyNumberFormat="1" applyFont="1" applyFill="1" applyBorder="1"/>
    <xf numFmtId="167" fontId="22" fillId="8" borderId="3" xfId="1" applyNumberFormat="1" applyFont="1" applyFill="1" applyBorder="1"/>
    <xf numFmtId="167" fontId="20" fillId="0" borderId="29" xfId="1" applyNumberFormat="1" applyFont="1" applyBorder="1"/>
    <xf numFmtId="168" fontId="20" fillId="0" borderId="1" xfId="4" applyNumberFormat="1" applyFont="1" applyBorder="1"/>
    <xf numFmtId="9" fontId="20" fillId="0" borderId="2" xfId="4" applyFont="1" applyBorder="1"/>
    <xf numFmtId="9" fontId="20" fillId="6" borderId="27" xfId="0" applyNumberFormat="1" applyFont="1" applyFill="1" applyBorder="1" applyProtection="1">
      <protection locked="0"/>
    </xf>
    <xf numFmtId="9" fontId="20" fillId="6" borderId="0" xfId="0" applyNumberFormat="1" applyFont="1" applyFill="1" applyProtection="1">
      <protection locked="0"/>
    </xf>
    <xf numFmtId="9" fontId="20" fillId="6" borderId="28" xfId="0" applyNumberFormat="1" applyFont="1" applyFill="1" applyBorder="1" applyProtection="1">
      <protection locked="0"/>
    </xf>
    <xf numFmtId="9" fontId="20" fillId="8" borderId="27" xfId="4" applyFont="1" applyFill="1" applyBorder="1"/>
    <xf numFmtId="9" fontId="20" fillId="8" borderId="0" xfId="4" applyFont="1" applyFill="1" applyBorder="1"/>
    <xf numFmtId="9" fontId="20" fillId="8" borderId="28" xfId="4" applyFont="1" applyFill="1" applyBorder="1"/>
    <xf numFmtId="168" fontId="20" fillId="0" borderId="27" xfId="4" applyNumberFormat="1" applyFont="1" applyBorder="1"/>
    <xf numFmtId="167" fontId="20" fillId="0" borderId="27" xfId="0" applyNumberFormat="1" applyFont="1" applyBorder="1"/>
    <xf numFmtId="168" fontId="20" fillId="0" borderId="0" xfId="4" applyNumberFormat="1" applyFont="1" applyBorder="1"/>
    <xf numFmtId="167" fontId="20" fillId="0" borderId="30" xfId="0" applyNumberFormat="1" applyFont="1" applyBorder="1"/>
    <xf numFmtId="43" fontId="20" fillId="0" borderId="27" xfId="1" applyFont="1" applyBorder="1"/>
    <xf numFmtId="167" fontId="20" fillId="0" borderId="0" xfId="0" applyNumberFormat="1" applyFont="1"/>
    <xf numFmtId="9" fontId="20" fillId="0" borderId="27" xfId="0" applyNumberFormat="1" applyFont="1" applyBorder="1"/>
    <xf numFmtId="166" fontId="20" fillId="0" borderId="27" xfId="0" applyNumberFormat="1" applyFont="1" applyBorder="1"/>
    <xf numFmtId="166" fontId="20" fillId="0" borderId="0" xfId="1" applyNumberFormat="1" applyFont="1" applyBorder="1"/>
    <xf numFmtId="166" fontId="22" fillId="8" borderId="27" xfId="0" applyNumberFormat="1" applyFont="1" applyFill="1" applyBorder="1"/>
    <xf numFmtId="166" fontId="22" fillId="8" borderId="0" xfId="0" applyNumberFormat="1" applyFont="1" applyFill="1"/>
    <xf numFmtId="166" fontId="22" fillId="8" borderId="28" xfId="0" applyNumberFormat="1" applyFont="1" applyFill="1" applyBorder="1"/>
    <xf numFmtId="166" fontId="20" fillId="0" borderId="30" xfId="0" applyNumberFormat="1" applyFont="1" applyBorder="1"/>
    <xf numFmtId="43" fontId="20" fillId="0" borderId="4" xfId="1" applyFont="1" applyBorder="1"/>
    <xf numFmtId="166" fontId="20" fillId="0" borderId="4" xfId="0" applyNumberFormat="1" applyFont="1" applyBorder="1"/>
    <xf numFmtId="166" fontId="20" fillId="0" borderId="5" xfId="0" applyNumberFormat="1" applyFont="1" applyBorder="1"/>
    <xf numFmtId="166" fontId="22" fillId="8" borderId="4" xfId="0" applyNumberFormat="1" applyFont="1" applyFill="1" applyBorder="1"/>
    <xf numFmtId="166" fontId="22" fillId="8" borderId="5" xfId="0" applyNumberFormat="1" applyFont="1" applyFill="1" applyBorder="1"/>
    <xf numFmtId="166" fontId="22" fillId="8" borderId="6" xfId="0" applyNumberFormat="1" applyFont="1" applyFill="1" applyBorder="1"/>
    <xf numFmtId="166" fontId="20" fillId="0" borderId="31" xfId="0" applyNumberFormat="1" applyFont="1" applyBorder="1"/>
    <xf numFmtId="166" fontId="20" fillId="0" borderId="0" xfId="0" applyNumberFormat="1" applyFont="1"/>
    <xf numFmtId="166" fontId="20" fillId="0" borderId="28" xfId="0" applyNumberFormat="1" applyFont="1" applyBorder="1"/>
    <xf numFmtId="43" fontId="23" fillId="0" borderId="1" xfId="1" applyFont="1" applyBorder="1"/>
    <xf numFmtId="166" fontId="20" fillId="0" borderId="2" xfId="0" applyNumberFormat="1" applyFont="1" applyBorder="1"/>
    <xf numFmtId="166" fontId="20" fillId="0" borderId="3" xfId="0" applyNumberFormat="1" applyFont="1" applyBorder="1"/>
    <xf numFmtId="166" fontId="22" fillId="8" borderId="1" xfId="0" applyNumberFormat="1" applyFont="1" applyFill="1" applyBorder="1"/>
    <xf numFmtId="166" fontId="22" fillId="8" borderId="2" xfId="0" applyNumberFormat="1" applyFont="1" applyFill="1" applyBorder="1"/>
    <xf numFmtId="166" fontId="22" fillId="8" borderId="3" xfId="0" applyNumberFormat="1" applyFont="1" applyFill="1" applyBorder="1"/>
    <xf numFmtId="166" fontId="20" fillId="0" borderId="29" xfId="0" applyNumberFormat="1" applyFont="1" applyBorder="1"/>
    <xf numFmtId="166" fontId="20" fillId="0" borderId="1" xfId="0" applyNumberFormat="1" applyFont="1" applyBorder="1"/>
    <xf numFmtId="168" fontId="20" fillId="0" borderId="2" xfId="4" applyNumberFormat="1" applyFont="1" applyBorder="1"/>
    <xf numFmtId="168" fontId="20" fillId="0" borderId="30" xfId="4" applyNumberFormat="1" applyFont="1" applyBorder="1"/>
    <xf numFmtId="9" fontId="20" fillId="0" borderId="0" xfId="0" applyNumberFormat="1" applyFont="1"/>
    <xf numFmtId="168" fontId="22" fillId="8" borderId="27" xfId="4" applyNumberFormat="1" applyFont="1" applyFill="1" applyBorder="1"/>
    <xf numFmtId="168" fontId="22" fillId="8" borderId="0" xfId="4" applyNumberFormat="1" applyFont="1" applyFill="1" applyBorder="1"/>
    <xf numFmtId="168" fontId="22" fillId="8" borderId="28" xfId="4" applyNumberFormat="1" applyFont="1" applyFill="1" applyBorder="1"/>
    <xf numFmtId="168" fontId="20" fillId="6" borderId="27" xfId="0" applyNumberFormat="1" applyFont="1" applyFill="1" applyBorder="1" applyProtection="1">
      <protection locked="0"/>
    </xf>
    <xf numFmtId="168" fontId="20" fillId="6" borderId="0" xfId="0" applyNumberFormat="1" applyFont="1" applyFill="1" applyProtection="1">
      <protection locked="0"/>
    </xf>
    <xf numFmtId="168" fontId="20" fillId="6" borderId="28" xfId="0" applyNumberFormat="1" applyFont="1" applyFill="1" applyBorder="1" applyProtection="1">
      <protection locked="0"/>
    </xf>
    <xf numFmtId="168" fontId="20" fillId="0" borderId="27" xfId="0" applyNumberFormat="1" applyFont="1" applyBorder="1"/>
    <xf numFmtId="168" fontId="20" fillId="0" borderId="0" xfId="0" applyNumberFormat="1" applyFont="1"/>
    <xf numFmtId="168" fontId="20" fillId="0" borderId="4" xfId="4" applyNumberFormat="1" applyFont="1" applyBorder="1"/>
    <xf numFmtId="168" fontId="20" fillId="0" borderId="5" xfId="4" applyNumberFormat="1" applyFont="1" applyBorder="1"/>
    <xf numFmtId="168" fontId="22" fillId="8" borderId="4" xfId="4" applyNumberFormat="1" applyFont="1" applyFill="1" applyBorder="1"/>
    <xf numFmtId="168" fontId="22" fillId="8" borderId="5" xfId="4" applyNumberFormat="1" applyFont="1" applyFill="1" applyBorder="1"/>
    <xf numFmtId="168" fontId="22" fillId="8" borderId="6" xfId="4" applyNumberFormat="1" applyFont="1" applyFill="1" applyBorder="1"/>
    <xf numFmtId="168" fontId="20" fillId="0" borderId="31" xfId="4" applyNumberFormat="1" applyFont="1" applyBorder="1"/>
    <xf numFmtId="9" fontId="20" fillId="0" borderId="5" xfId="0" applyNumberFormat="1" applyFont="1" applyBorder="1"/>
    <xf numFmtId="168" fontId="20" fillId="0" borderId="28" xfId="4" applyNumberFormat="1" applyFont="1" applyBorder="1"/>
    <xf numFmtId="168" fontId="20" fillId="0" borderId="3" xfId="4" applyNumberFormat="1" applyFont="1" applyBorder="1"/>
    <xf numFmtId="168" fontId="22" fillId="8" borderId="1" xfId="4" applyNumberFormat="1" applyFont="1" applyFill="1" applyBorder="1"/>
    <xf numFmtId="168" fontId="22" fillId="8" borderId="2" xfId="4" applyNumberFormat="1" applyFont="1" applyFill="1" applyBorder="1"/>
    <xf numFmtId="168" fontId="22" fillId="8" borderId="3" xfId="4" applyNumberFormat="1" applyFont="1" applyFill="1" applyBorder="1"/>
    <xf numFmtId="168" fontId="20" fillId="0" borderId="29" xfId="4" applyNumberFormat="1" applyFont="1" applyBorder="1"/>
    <xf numFmtId="167" fontId="20" fillId="0" borderId="28" xfId="0" applyNumberFormat="1" applyFont="1" applyBorder="1"/>
    <xf numFmtId="43" fontId="23" fillId="0" borderId="27" xfId="1" applyFont="1" applyBorder="1"/>
    <xf numFmtId="0" fontId="23" fillId="0" borderId="0" xfId="0" applyFont="1"/>
    <xf numFmtId="167" fontId="23" fillId="0" borderId="27" xfId="0" applyNumberFormat="1" applyFont="1" applyBorder="1"/>
    <xf numFmtId="167" fontId="23" fillId="0" borderId="0" xfId="0" applyNumberFormat="1" applyFont="1"/>
    <xf numFmtId="167" fontId="23" fillId="0" borderId="28" xfId="0" applyNumberFormat="1" applyFont="1" applyBorder="1"/>
    <xf numFmtId="167" fontId="21" fillId="8" borderId="27" xfId="0" applyNumberFormat="1" applyFont="1" applyFill="1" applyBorder="1"/>
    <xf numFmtId="167" fontId="21" fillId="8" borderId="0" xfId="0" applyNumberFormat="1" applyFont="1" applyFill="1"/>
    <xf numFmtId="167" fontId="21" fillId="8" borderId="28" xfId="0" applyNumberFormat="1" applyFont="1" applyFill="1" applyBorder="1"/>
    <xf numFmtId="0" fontId="23" fillId="0" borderId="30" xfId="0" applyFont="1" applyBorder="1"/>
    <xf numFmtId="166" fontId="23" fillId="0" borderId="30" xfId="0" applyNumberFormat="1" applyFont="1" applyBorder="1"/>
    <xf numFmtId="166" fontId="23" fillId="0" borderId="27" xfId="0" applyNumberFormat="1" applyFont="1" applyBorder="1"/>
    <xf numFmtId="167" fontId="20" fillId="0" borderId="5" xfId="0" applyNumberFormat="1" applyFont="1" applyBorder="1"/>
    <xf numFmtId="167" fontId="20" fillId="0" borderId="4" xfId="0" applyNumberFormat="1" applyFont="1" applyBorder="1"/>
    <xf numFmtId="167" fontId="20" fillId="0" borderId="6" xfId="0" applyNumberFormat="1" applyFont="1" applyBorder="1"/>
    <xf numFmtId="167" fontId="22" fillId="8" borderId="4" xfId="0" applyNumberFormat="1" applyFont="1" applyFill="1" applyBorder="1"/>
    <xf numFmtId="167" fontId="22" fillId="8" borderId="5" xfId="0" applyNumberFormat="1" applyFont="1" applyFill="1" applyBorder="1"/>
    <xf numFmtId="167" fontId="22" fillId="8" borderId="6" xfId="0" applyNumberFormat="1" applyFont="1" applyFill="1" applyBorder="1"/>
    <xf numFmtId="0" fontId="20" fillId="0" borderId="31" xfId="0" applyFont="1" applyBorder="1"/>
    <xf numFmtId="167" fontId="20" fillId="0" borderId="1" xfId="0" applyNumberFormat="1" applyFont="1" applyBorder="1"/>
    <xf numFmtId="167" fontId="20" fillId="0" borderId="2" xfId="0" applyNumberFormat="1" applyFont="1" applyBorder="1"/>
    <xf numFmtId="167" fontId="20" fillId="0" borderId="3" xfId="0" applyNumberFormat="1" applyFont="1" applyBorder="1"/>
    <xf numFmtId="167" fontId="22" fillId="8" borderId="1" xfId="0" applyNumberFormat="1" applyFont="1" applyFill="1" applyBorder="1"/>
    <xf numFmtId="167" fontId="22" fillId="8" borderId="2" xfId="0" applyNumberFormat="1" applyFont="1" applyFill="1" applyBorder="1"/>
    <xf numFmtId="167" fontId="22" fillId="8" borderId="3" xfId="0" applyNumberFormat="1" applyFont="1" applyFill="1" applyBorder="1"/>
    <xf numFmtId="0" fontId="20" fillId="0" borderId="29" xfId="0" applyFont="1" applyBorder="1"/>
    <xf numFmtId="0" fontId="23" fillId="0" borderId="1" xfId="0" applyFont="1" applyBorder="1"/>
    <xf numFmtId="0" fontId="20" fillId="0" borderId="3" xfId="0" applyFont="1" applyBorder="1"/>
    <xf numFmtId="0" fontId="22" fillId="8" borderId="1" xfId="0" applyFont="1" applyFill="1" applyBorder="1"/>
    <xf numFmtId="0" fontId="22" fillId="8" borderId="2" xfId="0" applyFont="1" applyFill="1" applyBorder="1"/>
    <xf numFmtId="0" fontId="22" fillId="8" borderId="3" xfId="0" applyFont="1" applyFill="1" applyBorder="1"/>
    <xf numFmtId="0" fontId="23" fillId="0" borderId="27" xfId="0" applyFont="1" applyBorder="1"/>
    <xf numFmtId="0" fontId="22" fillId="8" borderId="4" xfId="0" applyFont="1" applyFill="1" applyBorder="1"/>
    <xf numFmtId="0" fontId="22" fillId="8" borderId="5" xfId="0" applyFont="1" applyFill="1" applyBorder="1"/>
    <xf numFmtId="0" fontId="22" fillId="8" borderId="6" xfId="0" applyFont="1" applyFill="1" applyBorder="1"/>
    <xf numFmtId="0" fontId="20" fillId="0" borderId="6" xfId="0" applyFont="1" applyBorder="1"/>
    <xf numFmtId="1" fontId="20" fillId="0" borderId="2" xfId="0" applyNumberFormat="1" applyFont="1" applyBorder="1"/>
    <xf numFmtId="1" fontId="20" fillId="0" borderId="1" xfId="0" applyNumberFormat="1" applyFont="1" applyBorder="1"/>
    <xf numFmtId="1" fontId="20" fillId="0" borderId="0" xfId="0" applyNumberFormat="1" applyFont="1"/>
    <xf numFmtId="1" fontId="20" fillId="0" borderId="27" xfId="0" applyNumberFormat="1" applyFont="1" applyBorder="1"/>
    <xf numFmtId="9" fontId="20" fillId="0" borderId="27" xfId="4" applyFont="1" applyBorder="1"/>
    <xf numFmtId="9" fontId="22" fillId="8" borderId="27" xfId="4" applyFont="1" applyFill="1" applyBorder="1"/>
    <xf numFmtId="9" fontId="22" fillId="8" borderId="0" xfId="4" applyFont="1" applyFill="1" applyBorder="1"/>
    <xf numFmtId="9" fontId="22" fillId="8" borderId="28" xfId="4" applyFont="1" applyFill="1" applyBorder="1"/>
    <xf numFmtId="0" fontId="23" fillId="0" borderId="4" xfId="0" applyFont="1" applyBorder="1"/>
    <xf numFmtId="1" fontId="20" fillId="0" borderId="5" xfId="0" applyNumberFormat="1" applyFont="1" applyBorder="1"/>
    <xf numFmtId="9" fontId="20" fillId="0" borderId="4" xfId="4" applyFont="1" applyBorder="1"/>
    <xf numFmtId="9" fontId="22" fillId="8" borderId="4" xfId="4" applyFont="1" applyFill="1" applyBorder="1"/>
    <xf numFmtId="9" fontId="22" fillId="8" borderId="5" xfId="4" applyFont="1" applyFill="1" applyBorder="1"/>
    <xf numFmtId="9" fontId="22" fillId="8" borderId="6" xfId="4" applyFont="1" applyFill="1" applyBorder="1"/>
    <xf numFmtId="43" fontId="20" fillId="0" borderId="1" xfId="1" applyFont="1" applyBorder="1"/>
    <xf numFmtId="43" fontId="20" fillId="0" borderId="2" xfId="1" applyFont="1" applyBorder="1"/>
    <xf numFmtId="43" fontId="22" fillId="8" borderId="1" xfId="1" applyFont="1" applyFill="1" applyBorder="1"/>
    <xf numFmtId="43" fontId="22" fillId="8" borderId="2" xfId="1" applyFont="1" applyFill="1" applyBorder="1"/>
    <xf numFmtId="43" fontId="22" fillId="8" borderId="3" xfId="1" applyFont="1" applyFill="1" applyBorder="1"/>
    <xf numFmtId="43" fontId="20" fillId="0" borderId="2" xfId="0" applyNumberFormat="1" applyFont="1" applyBorder="1"/>
    <xf numFmtId="43" fontId="20" fillId="0" borderId="0" xfId="1" applyFont="1" applyBorder="1"/>
    <xf numFmtId="9" fontId="20" fillId="0" borderId="28" xfId="4" applyFont="1" applyBorder="1"/>
    <xf numFmtId="9" fontId="20" fillId="0" borderId="6" xfId="4" applyFont="1" applyBorder="1"/>
    <xf numFmtId="167" fontId="20" fillId="0" borderId="29" xfId="0" applyNumberFormat="1" applyFont="1" applyBorder="1"/>
    <xf numFmtId="166" fontId="20" fillId="0" borderId="30" xfId="1" applyNumberFormat="1" applyFont="1" applyBorder="1"/>
    <xf numFmtId="166" fontId="20" fillId="0" borderId="27" xfId="1" applyNumberFormat="1" applyFont="1" applyBorder="1"/>
    <xf numFmtId="166" fontId="20" fillId="0" borderId="28" xfId="1" applyNumberFormat="1" applyFont="1" applyBorder="1"/>
    <xf numFmtId="166" fontId="22" fillId="8" borderId="27" xfId="1" applyNumberFormat="1" applyFont="1" applyFill="1" applyBorder="1"/>
    <xf numFmtId="166" fontId="22" fillId="8" borderId="0" xfId="1" applyNumberFormat="1" applyFont="1" applyFill="1" applyBorder="1"/>
    <xf numFmtId="166" fontId="22" fillId="8" borderId="28" xfId="1" applyNumberFormat="1" applyFont="1" applyFill="1" applyBorder="1"/>
    <xf numFmtId="166" fontId="20" fillId="0" borderId="4" xfId="1" applyNumberFormat="1" applyFont="1" applyBorder="1"/>
    <xf numFmtId="166" fontId="20" fillId="0" borderId="5" xfId="1" applyNumberFormat="1" applyFont="1" applyBorder="1"/>
    <xf numFmtId="166" fontId="20" fillId="0" borderId="6" xfId="1" applyNumberFormat="1" applyFont="1" applyBorder="1"/>
    <xf numFmtId="166" fontId="22" fillId="8" borderId="4" xfId="1" applyNumberFormat="1" applyFont="1" applyFill="1" applyBorder="1"/>
    <xf numFmtId="166" fontId="22" fillId="8" borderId="5" xfId="1" applyNumberFormat="1" applyFont="1" applyFill="1" applyBorder="1"/>
    <xf numFmtId="166" fontId="22" fillId="8" borderId="6" xfId="1" applyNumberFormat="1" applyFont="1" applyFill="1" applyBorder="1"/>
    <xf numFmtId="166" fontId="20" fillId="0" borderId="31" xfId="1" applyNumberFormat="1" applyFont="1" applyBorder="1"/>
    <xf numFmtId="0" fontId="20" fillId="0" borderId="0" xfId="0" applyFont="1" applyAlignment="1">
      <alignment horizontal="center"/>
    </xf>
    <xf numFmtId="165" fontId="19" fillId="7" borderId="1" xfId="0" applyNumberFormat="1" applyFont="1" applyFill="1" applyBorder="1" applyAlignment="1">
      <alignment horizontal="center" vertical="center"/>
    </xf>
    <xf numFmtId="165" fontId="19" fillId="7" borderId="2" xfId="0" applyNumberFormat="1" applyFont="1" applyFill="1" applyBorder="1" applyAlignment="1">
      <alignment horizontal="center" vertical="center"/>
    </xf>
    <xf numFmtId="165" fontId="19" fillId="7" borderId="3" xfId="0" applyNumberFormat="1" applyFont="1" applyFill="1" applyBorder="1" applyAlignment="1">
      <alignment horizontal="center" vertical="center"/>
    </xf>
    <xf numFmtId="17" fontId="20" fillId="0" borderId="2" xfId="0" applyNumberFormat="1" applyFont="1" applyBorder="1"/>
    <xf numFmtId="167" fontId="20" fillId="0" borderId="27" xfId="0" applyNumberFormat="1" applyFont="1" applyBorder="1" applyProtection="1">
      <protection locked="0"/>
    </xf>
    <xf numFmtId="167" fontId="20" fillId="0" borderId="0" xfId="0" applyNumberFormat="1" applyFont="1" applyProtection="1">
      <protection locked="0"/>
    </xf>
    <xf numFmtId="167" fontId="20" fillId="0" borderId="28" xfId="0" applyNumberFormat="1" applyFont="1" applyBorder="1" applyProtection="1">
      <protection locked="0"/>
    </xf>
    <xf numFmtId="9" fontId="20" fillId="5" borderId="0" xfId="4" applyFont="1" applyFill="1" applyBorder="1"/>
    <xf numFmtId="9" fontId="20" fillId="0" borderId="27" xfId="4" applyFont="1" applyBorder="1" applyProtection="1">
      <protection locked="0"/>
    </xf>
    <xf numFmtId="9" fontId="20" fillId="0" borderId="0" xfId="4" applyFont="1" applyBorder="1" applyProtection="1">
      <protection locked="0"/>
    </xf>
    <xf numFmtId="9" fontId="20" fillId="0" borderId="28" xfId="4" applyFont="1" applyBorder="1" applyProtection="1">
      <protection locked="0"/>
    </xf>
    <xf numFmtId="167" fontId="20" fillId="0" borderId="27" xfId="1" applyNumberFormat="1" applyFont="1" applyBorder="1" applyProtection="1">
      <protection locked="0"/>
    </xf>
    <xf numFmtId="167" fontId="20" fillId="0" borderId="0" xfId="1" applyNumberFormat="1" applyFont="1" applyBorder="1" applyProtection="1">
      <protection locked="0"/>
    </xf>
    <xf numFmtId="167" fontId="20" fillId="0" borderId="28" xfId="1" applyNumberFormat="1" applyFont="1" applyBorder="1" applyProtection="1">
      <protection locked="0"/>
    </xf>
    <xf numFmtId="168" fontId="20" fillId="0" borderId="27" xfId="4" applyNumberFormat="1" applyFont="1" applyBorder="1" applyProtection="1">
      <protection locked="0"/>
    </xf>
    <xf numFmtId="168" fontId="20" fillId="0" borderId="0" xfId="4" applyNumberFormat="1" applyFont="1" applyBorder="1" applyProtection="1">
      <protection locked="0"/>
    </xf>
    <xf numFmtId="168" fontId="20" fillId="0" borderId="28" xfId="4" applyNumberFormat="1" applyFont="1" applyBorder="1" applyProtection="1">
      <protection locked="0"/>
    </xf>
    <xf numFmtId="9" fontId="20" fillId="0" borderId="27" xfId="0" applyNumberFormat="1" applyFont="1" applyBorder="1" applyProtection="1">
      <protection locked="0"/>
    </xf>
    <xf numFmtId="9" fontId="20" fillId="0" borderId="0" xfId="0" applyNumberFormat="1" applyFont="1" applyProtection="1">
      <protection locked="0"/>
    </xf>
    <xf numFmtId="9" fontId="20" fillId="0" borderId="28" xfId="0" applyNumberFormat="1" applyFont="1" applyBorder="1" applyProtection="1">
      <protection locked="0"/>
    </xf>
    <xf numFmtId="9" fontId="20" fillId="5" borderId="0" xfId="0" applyNumberFormat="1" applyFont="1" applyFill="1"/>
    <xf numFmtId="0" fontId="20" fillId="0" borderId="27" xfId="0" applyFont="1" applyBorder="1" applyProtection="1">
      <protection locked="0"/>
    </xf>
    <xf numFmtId="0" fontId="20" fillId="0" borderId="0" xfId="0" applyFont="1" applyProtection="1">
      <protection locked="0"/>
    </xf>
    <xf numFmtId="0" fontId="20" fillId="0" borderId="28" xfId="0" applyFont="1" applyBorder="1" applyProtection="1">
      <protection locked="0"/>
    </xf>
    <xf numFmtId="43" fontId="23" fillId="0" borderId="27" xfId="1" applyFont="1" applyFill="1" applyBorder="1"/>
    <xf numFmtId="169" fontId="20" fillId="0" borderId="4" xfId="0" applyNumberFormat="1" applyFont="1" applyBorder="1" applyProtection="1">
      <protection locked="0"/>
    </xf>
    <xf numFmtId="169" fontId="20" fillId="0" borderId="5" xfId="0" applyNumberFormat="1" applyFont="1" applyBorder="1" applyProtection="1">
      <protection locked="0"/>
    </xf>
    <xf numFmtId="169" fontId="20" fillId="0" borderId="6" xfId="0" applyNumberFormat="1" applyFont="1" applyBorder="1" applyProtection="1">
      <protection locked="0"/>
    </xf>
    <xf numFmtId="0" fontId="24" fillId="0" borderId="0" xfId="0" applyFont="1"/>
    <xf numFmtId="0" fontId="18" fillId="0" borderId="0" xfId="0" applyFont="1" applyAlignment="1">
      <alignment vertical="center"/>
    </xf>
    <xf numFmtId="0" fontId="18" fillId="0" borderId="0" xfId="0" applyFont="1"/>
    <xf numFmtId="17" fontId="2" fillId="7" borderId="35" xfId="0" applyNumberFormat="1" applyFont="1" applyFill="1" applyBorder="1" applyAlignment="1">
      <alignment horizontal="center" vertical="center"/>
    </xf>
    <xf numFmtId="17" fontId="2" fillId="7" borderId="36" xfId="0" applyNumberFormat="1" applyFont="1" applyFill="1" applyBorder="1" applyAlignment="1">
      <alignment horizontal="center" vertical="center"/>
    </xf>
    <xf numFmtId="0" fontId="2" fillId="7" borderId="34" xfId="0" applyFont="1" applyFill="1" applyBorder="1" applyAlignment="1">
      <alignment horizontal="center" vertical="center" wrapText="1"/>
    </xf>
    <xf numFmtId="0" fontId="2" fillId="7" borderId="37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7" borderId="2" xfId="0" applyFill="1" applyBorder="1"/>
    <xf numFmtId="0" fontId="2" fillId="7" borderId="15" xfId="0" applyFont="1" applyFill="1" applyBorder="1" applyAlignment="1">
      <alignment vertical="center"/>
    </xf>
    <xf numFmtId="17" fontId="2" fillId="7" borderId="16" xfId="0" applyNumberFormat="1" applyFont="1" applyFill="1" applyBorder="1" applyAlignment="1">
      <alignment horizontal="center" vertical="center"/>
    </xf>
    <xf numFmtId="167" fontId="20" fillId="0" borderId="0" xfId="1" applyNumberFormat="1" applyFont="1"/>
    <xf numFmtId="3" fontId="20" fillId="0" borderId="0" xfId="0" applyNumberFormat="1" applyFont="1"/>
    <xf numFmtId="3" fontId="25" fillId="9" borderId="0" xfId="0" applyNumberFormat="1" applyFont="1" applyFill="1" applyAlignment="1">
      <alignment horizontal="right" vertical="center" wrapText="1"/>
    </xf>
    <xf numFmtId="0" fontId="25" fillId="9" borderId="0" xfId="0" applyFont="1" applyFill="1" applyAlignment="1">
      <alignment horizontal="right" vertical="center" wrapText="1"/>
    </xf>
    <xf numFmtId="168" fontId="20" fillId="0" borderId="0" xfId="4" applyNumberFormat="1" applyFont="1"/>
    <xf numFmtId="0" fontId="26" fillId="0" borderId="0" xfId="0" applyFont="1" applyAlignment="1">
      <alignment horizontal="left"/>
    </xf>
    <xf numFmtId="0" fontId="27" fillId="0" borderId="0" xfId="0" applyFont="1"/>
    <xf numFmtId="0" fontId="24" fillId="0" borderId="0" xfId="0" applyFont="1" applyAlignment="1">
      <alignment horizontal="left"/>
    </xf>
    <xf numFmtId="0" fontId="28" fillId="0" borderId="0" xfId="0" applyFont="1"/>
    <xf numFmtId="4" fontId="0" fillId="8" borderId="7" xfId="0" applyNumberFormat="1" applyFill="1" applyBorder="1" applyProtection="1">
      <protection locked="0"/>
    </xf>
    <xf numFmtId="43" fontId="20" fillId="0" borderId="0" xfId="0" applyNumberFormat="1" applyFont="1"/>
    <xf numFmtId="0" fontId="29" fillId="0" borderId="0" xfId="2" applyFont="1" applyAlignment="1" applyProtection="1"/>
    <xf numFmtId="0" fontId="20" fillId="0" borderId="0" xfId="0" applyFont="1" applyAlignment="1">
      <alignment horizontal="right"/>
    </xf>
    <xf numFmtId="9" fontId="20" fillId="0" borderId="0" xfId="4" applyFont="1" applyAlignment="1">
      <alignment horizontal="right"/>
    </xf>
    <xf numFmtId="168" fontId="20" fillId="0" borderId="0" xfId="4" applyNumberFormat="1" applyFont="1" applyAlignment="1">
      <alignment horizontal="right"/>
    </xf>
    <xf numFmtId="9" fontId="20" fillId="0" borderId="0" xfId="4" applyFont="1"/>
    <xf numFmtId="165" fontId="20" fillId="0" borderId="0" xfId="0" applyNumberFormat="1" applyFont="1"/>
    <xf numFmtId="0" fontId="25" fillId="9" borderId="0" xfId="0" applyFont="1" applyFill="1" applyAlignment="1">
      <alignment horizontal="left" vertical="center"/>
    </xf>
    <xf numFmtId="0" fontId="30" fillId="0" borderId="38" xfId="0" applyFont="1" applyBorder="1" applyAlignment="1">
      <alignment vertical="center" wrapText="1"/>
    </xf>
    <xf numFmtId="3" fontId="31" fillId="0" borderId="39" xfId="0" applyNumberFormat="1" applyFont="1" applyBorder="1" applyAlignment="1">
      <alignment horizontal="right" vertical="center" wrapText="1"/>
    </xf>
    <xf numFmtId="0" fontId="30" fillId="0" borderId="42" xfId="0" applyFont="1" applyBorder="1" applyAlignment="1">
      <alignment vertical="center" wrapText="1"/>
    </xf>
    <xf numFmtId="168" fontId="31" fillId="0" borderId="41" xfId="0" applyNumberFormat="1" applyFont="1" applyBorder="1" applyAlignment="1">
      <alignment horizontal="right" vertical="center" wrapText="1"/>
    </xf>
    <xf numFmtId="169" fontId="31" fillId="0" borderId="39" xfId="0" applyNumberFormat="1" applyFont="1" applyBorder="1" applyAlignment="1">
      <alignment horizontal="right" vertical="center" wrapText="1"/>
    </xf>
    <xf numFmtId="9" fontId="31" fillId="0" borderId="41" xfId="4" applyFont="1" applyBorder="1" applyAlignment="1">
      <alignment vertical="center" wrapText="1"/>
    </xf>
    <xf numFmtId="9" fontId="31" fillId="0" borderId="42" xfId="4" applyFont="1" applyBorder="1" applyAlignment="1">
      <alignment horizontal="right" vertical="center" wrapText="1"/>
    </xf>
    <xf numFmtId="0" fontId="30" fillId="0" borderId="40" xfId="0" applyFont="1" applyBorder="1" applyAlignment="1">
      <alignment vertical="center" wrapText="1"/>
    </xf>
    <xf numFmtId="9" fontId="0" fillId="0" borderId="0" xfId="4" applyFont="1"/>
    <xf numFmtId="0" fontId="20" fillId="8" borderId="0" xfId="0" applyFont="1" applyFill="1"/>
    <xf numFmtId="43" fontId="20" fillId="8" borderId="0" xfId="0" applyNumberFormat="1" applyFont="1" applyFill="1"/>
    <xf numFmtId="169" fontId="20" fillId="8" borderId="0" xfId="0" applyNumberFormat="1" applyFont="1" applyFill="1"/>
    <xf numFmtId="165" fontId="2" fillId="10" borderId="0" xfId="0" applyNumberFormat="1" applyFont="1" applyFill="1" applyAlignment="1">
      <alignment horizontal="center"/>
    </xf>
    <xf numFmtId="168" fontId="20" fillId="8" borderId="0" xfId="0" applyNumberFormat="1" applyFont="1" applyFill="1"/>
    <xf numFmtId="168" fontId="32" fillId="8" borderId="0" xfId="4" applyNumberFormat="1" applyFont="1" applyFill="1"/>
    <xf numFmtId="0" fontId="20" fillId="11" borderId="0" xfId="0" applyFont="1" applyFill="1"/>
    <xf numFmtId="168" fontId="20" fillId="11" borderId="0" xfId="0" applyNumberFormat="1" applyFont="1" applyFill="1"/>
    <xf numFmtId="0" fontId="33" fillId="10" borderId="0" xfId="0" applyFont="1" applyFill="1"/>
    <xf numFmtId="169" fontId="20" fillId="0" borderId="0" xfId="0" applyNumberFormat="1" applyFont="1" applyProtection="1">
      <protection locked="0"/>
    </xf>
    <xf numFmtId="0" fontId="19" fillId="7" borderId="23" xfId="0" applyFont="1" applyFill="1" applyBorder="1" applyAlignment="1">
      <alignment horizontal="center"/>
    </xf>
    <xf numFmtId="0" fontId="19" fillId="7" borderId="32" xfId="0" applyFont="1" applyFill="1" applyBorder="1" applyAlignment="1">
      <alignment horizontal="center"/>
    </xf>
    <xf numFmtId="0" fontId="19" fillId="7" borderId="33" xfId="0" applyFont="1" applyFill="1" applyBorder="1" applyAlignment="1">
      <alignment horizontal="center"/>
    </xf>
    <xf numFmtId="0" fontId="19" fillId="7" borderId="0" xfId="0" applyFont="1" applyFill="1" applyAlignment="1">
      <alignment horizontal="center"/>
    </xf>
    <xf numFmtId="165" fontId="23" fillId="12" borderId="0" xfId="0" applyNumberFormat="1" applyFont="1" applyFill="1" applyAlignment="1">
      <alignment horizontal="center" vertical="center"/>
    </xf>
    <xf numFmtId="165" fontId="34" fillId="12" borderId="0" xfId="0" applyNumberFormat="1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165" fontId="19" fillId="7" borderId="5" xfId="0" applyNumberFormat="1" applyFont="1" applyFill="1" applyBorder="1" applyAlignment="1">
      <alignment horizontal="center" vertical="center" wrapText="1"/>
    </xf>
    <xf numFmtId="165" fontId="19" fillId="7" borderId="6" xfId="0" applyNumberFormat="1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top"/>
    </xf>
    <xf numFmtId="0" fontId="19" fillId="7" borderId="5" xfId="0" applyFont="1" applyFill="1" applyBorder="1" applyAlignment="1">
      <alignment horizontal="center" vertical="top"/>
    </xf>
    <xf numFmtId="0" fontId="19" fillId="7" borderId="6" xfId="0" applyFont="1" applyFill="1" applyBorder="1" applyAlignment="1">
      <alignment horizontal="center" vertical="top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17" fillId="7" borderId="23" xfId="0" applyFont="1" applyFill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/>
    </xf>
    <xf numFmtId="0" fontId="17" fillId="7" borderId="33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6" fillId="7" borderId="0" xfId="0" applyFont="1" applyFill="1" applyAlignment="1">
      <alignment horizontal="center" vertic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8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</dxfs>
  <tableStyles count="1" defaultTableStyle="TableStyleMedium9" defaultPivotStyle="PivotStyleLight16">
    <tableStyle name="Invisible" pivot="0" table="0" count="0" xr9:uid="{ECD9E9D0-855C-44BA-AE67-90C44FFE063B}"/>
  </tableStyles>
  <colors>
    <mruColors>
      <color rgb="FFFFE4B6"/>
      <color rgb="FFFFE5B4"/>
      <color rgb="FF1F4690"/>
      <color rgb="FF375AA2"/>
      <color rgb="FFFFA500"/>
      <color rgb="FFFEA405"/>
      <color rgb="FF385AA1"/>
      <color rgb="FFE1F2CE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Annual EBITDA</a:t>
            </a:r>
            <a:r>
              <a:rPr lang="en-GB" baseline="0"/>
              <a:t> (YoY)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Financial!$A$13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1F4690"/>
            </a:solidFill>
            <a:ln>
              <a:solidFill>
                <a:srgbClr val="375AA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627-4916-BA00-A526121D18B8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27-4916-BA00-A526121D18B8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627-4916-BA00-A526121D18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Financial!$C$13:$O$13</c:f>
              <c:numCache>
                <c:formatCode>_ * #,##0_ ;_ * \-#,##0_ ;_ * "-"??_ ;_ @_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-46.949999999999932</c:v>
                </c:pt>
                <c:pt idx="6">
                  <c:v>-114.60000000000014</c:v>
                </c:pt>
                <c:pt idx="7">
                  <c:v>263.7800000000002</c:v>
                </c:pt>
                <c:pt idx="8">
                  <c:v>679.52999999999975</c:v>
                </c:pt>
                <c:pt idx="9">
                  <c:v>977.46</c:v>
                </c:pt>
                <c:pt idx="10">
                  <c:v>1244.3994519677692</c:v>
                </c:pt>
                <c:pt idx="11">
                  <c:v>2043.2906544206683</c:v>
                </c:pt>
                <c:pt idx="12">
                  <c:v>3355.0615052432368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0-4F46-82A9-E1823653A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17216"/>
        <c:axId val="756424144"/>
      </c:barChart>
      <c:lineChart>
        <c:grouping val="standard"/>
        <c:varyColors val="0"/>
        <c:ser>
          <c:idx val="1"/>
          <c:order val="1"/>
          <c:tx>
            <c:strRef>
              <c:f>Financial!$A$14</c:f>
              <c:strCache>
                <c:ptCount val="1"/>
                <c:pt idx="0">
                  <c:v>Growth (YoY)</c:v>
                </c:pt>
              </c:strCache>
            </c:strRef>
          </c:tx>
          <c:spPr>
            <a:ln w="28575" cap="rnd">
              <a:solidFill>
                <a:srgbClr val="FFA5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#REF!</c:f>
            </c:multiLvlStrRef>
          </c:cat>
          <c:val>
            <c:numRef>
              <c:f>Financial!$C$14:$O$14</c:f>
              <c:numCache>
                <c:formatCode>0%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1.4408945686901022</c:v>
                </c:pt>
                <c:pt idx="7">
                  <c:v>-3.3017452006980794</c:v>
                </c:pt>
                <c:pt idx="8">
                  <c:v>1.5761240427629057</c:v>
                </c:pt>
                <c:pt idx="9">
                  <c:v>0.43843538916604174</c:v>
                </c:pt>
                <c:pt idx="10">
                  <c:v>0.2730950135737209</c:v>
                </c:pt>
                <c:pt idx="11">
                  <c:v>0.6419893557407248</c:v>
                </c:pt>
                <c:pt idx="12">
                  <c:v>0.64198935574072458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C0-4F46-82A9-E1823653A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902496"/>
        <c:axId val="1043900752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  <c:valAx>
        <c:axId val="10439007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2496"/>
        <c:crosses val="max"/>
        <c:crossBetween val="between"/>
      </c:valAx>
      <c:catAx>
        <c:axId val="1043902496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043900752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Annual PAT</a:t>
            </a:r>
            <a:r>
              <a:rPr lang="en-GB" baseline="0"/>
              <a:t> (YoY)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Financial!$A$20</c:f>
              <c:strCache>
                <c:ptCount val="1"/>
                <c:pt idx="0">
                  <c:v> PAT </c:v>
                </c:pt>
              </c:strCache>
            </c:strRef>
          </c:tx>
          <c:spPr>
            <a:solidFill>
              <a:srgbClr val="1F4690"/>
            </a:solidFill>
            <a:ln>
              <a:solidFill>
                <a:srgbClr val="375AA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9CA-4FFD-8A81-12710232025B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CA-4FFD-8A81-12710232025B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9A9-438F-BB93-4253A98553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Financial!$C$20:$O$20</c:f>
              <c:numCache>
                <c:formatCode>_ * #,##0_ ;_ * \-#,##0_ ;_ * "-"??_ ;_ @_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28.92</c:v>
                </c:pt>
                <c:pt idx="6">
                  <c:v>-102.31</c:v>
                </c:pt>
                <c:pt idx="7">
                  <c:v>-63.76</c:v>
                </c:pt>
                <c:pt idx="8">
                  <c:v>-17.46</c:v>
                </c:pt>
                <c:pt idx="9">
                  <c:v>295.58999999999997</c:v>
                </c:pt>
                <c:pt idx="10">
                  <c:v>-156.90222308048061</c:v>
                </c:pt>
                <c:pt idx="11">
                  <c:v>-600.04912270668717</c:v>
                </c:pt>
                <c:pt idx="12">
                  <c:v>-1704.9911171178946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A-4FFD-8A81-127102320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17216"/>
        <c:axId val="756424144"/>
      </c:barChart>
      <c:lineChart>
        <c:grouping val="standard"/>
        <c:varyColors val="0"/>
        <c:ser>
          <c:idx val="1"/>
          <c:order val="1"/>
          <c:tx>
            <c:strRef>
              <c:f>Financial!$A$22</c:f>
              <c:strCache>
                <c:ptCount val="1"/>
                <c:pt idx="0">
                  <c:v> EPS </c:v>
                </c:pt>
              </c:strCache>
            </c:strRef>
          </c:tx>
          <c:spPr>
            <a:ln w="28575" cap="rnd">
              <a:solidFill>
                <a:srgbClr val="FFA5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#REF!</c:f>
            </c:multiLvlStrRef>
          </c:cat>
          <c:val>
            <c:numRef>
              <c:f>Financial!$C$21:$O$21</c:f>
              <c:numCache>
                <c:formatCode>0%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-4.5376901798063622</c:v>
                </c:pt>
                <c:pt idx="7">
                  <c:v>-0.37679601212002745</c:v>
                </c:pt>
                <c:pt idx="8">
                  <c:v>-0.72616060225846923</c:v>
                </c:pt>
                <c:pt idx="9">
                  <c:v>-17.929553264604809</c:v>
                </c:pt>
                <c:pt idx="10">
                  <c:v>-1.5308103220016935</c:v>
                </c:pt>
                <c:pt idx="11">
                  <c:v>2.8243506747441116</c:v>
                </c:pt>
                <c:pt idx="12">
                  <c:v>1.8414192315240152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CA-4FFD-8A81-127102320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902496"/>
        <c:axId val="1043900752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  <c:valAx>
        <c:axId val="10439007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2496"/>
        <c:crosses val="max"/>
        <c:crossBetween val="between"/>
      </c:valAx>
      <c:catAx>
        <c:axId val="1043902496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04390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Annual Margins </a:t>
            </a:r>
            <a:r>
              <a:rPr lang="en-GB" baseline="0"/>
              <a:t>(%)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Financial!$A$27</c:f>
              <c:strCache>
                <c:ptCount val="1"/>
                <c:pt idx="0">
                  <c:v> EBITDAM 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279-405A-92E4-452EF7E877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Financial!$C$27:$O$27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-5.1860688603903561E-2</c:v>
                </c:pt>
                <c:pt idx="6">
                  <c:v>-7.6262219589940936E-2</c:v>
                </c:pt>
                <c:pt idx="7">
                  <c:v>6.9635140165204654E-2</c:v>
                </c:pt>
                <c:pt idx="8">
                  <c:v>0.12519667630856529</c:v>
                </c:pt>
                <c:pt idx="9">
                  <c:v>0.14693078713029048</c:v>
                </c:pt>
                <c:pt idx="10">
                  <c:v>0.11392086786802014</c:v>
                </c:pt>
                <c:pt idx="11">
                  <c:v>0.11392086786802014</c:v>
                </c:pt>
                <c:pt idx="12">
                  <c:v>0.11392086786802014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79-405A-92E4-452EF7E87770}"/>
            </c:ext>
          </c:extLst>
        </c:ser>
        <c:ser>
          <c:idx val="0"/>
          <c:order val="1"/>
          <c:tx>
            <c:strRef>
              <c:f>Financial!$A$31</c:f>
              <c:strCache>
                <c:ptCount val="1"/>
                <c:pt idx="0">
                  <c:v> PAT Margins  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Financial!$C$31:$O$31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3.1944858667196874E-2</c:v>
                </c:pt>
                <c:pt idx="6">
                  <c:v>-6.8083662183654858E-2</c:v>
                </c:pt>
                <c:pt idx="7">
                  <c:v>-1.683196806783473E-2</c:v>
                </c:pt>
                <c:pt idx="8">
                  <c:v>-3.2168321756913614E-3</c:v>
                </c:pt>
                <c:pt idx="9">
                  <c:v>4.4432786372682824E-2</c:v>
                </c:pt>
                <c:pt idx="10">
                  <c:v>-1.4363906537796362E-2</c:v>
                </c:pt>
                <c:pt idx="11">
                  <c:v>-3.3454915811559571E-2</c:v>
                </c:pt>
                <c:pt idx="12">
                  <c:v>-5.7892848600775218E-2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79-405A-92E4-452EF7E8777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Annual Revenue</a:t>
            </a:r>
            <a:r>
              <a:rPr lang="en-GB" baseline="0"/>
              <a:t> (YoY)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Financial!$A$9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4690"/>
            </a:solidFill>
            <a:ln>
              <a:solidFill>
                <a:srgbClr val="375AA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5DC-43C0-B54F-E7A6576853F2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DC-43C0-B54F-E7A6576853F2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5DC-43C0-B54F-E7A6576853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Financial!$C$9:$O$9</c:f>
              <c:numCache>
                <c:formatCode>_ * #,##0_ ;_ * \-#,##0_ ;_ * "-"??_ ;_ @_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905.31</c:v>
                </c:pt>
                <c:pt idx="6">
                  <c:v>1502.71</c:v>
                </c:pt>
                <c:pt idx="7">
                  <c:v>3788.03</c:v>
                </c:pt>
                <c:pt idx="8">
                  <c:v>5427.7</c:v>
                </c:pt>
                <c:pt idx="9">
                  <c:v>6652.52</c:v>
                </c:pt>
                <c:pt idx="10">
                  <c:v>10923.367028852288</c:v>
                </c:pt>
                <c:pt idx="11">
                  <c:v>17936.052390224642</c:v>
                </c:pt>
                <c:pt idx="12">
                  <c:v>29450.807108756846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C-43C0-B54F-E7A657685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17216"/>
        <c:axId val="756424144"/>
      </c:barChart>
      <c:lineChart>
        <c:grouping val="standard"/>
        <c:varyColors val="0"/>
        <c:ser>
          <c:idx val="1"/>
          <c:order val="1"/>
          <c:tx>
            <c:strRef>
              <c:f>Financial!$A$10</c:f>
              <c:strCache>
                <c:ptCount val="1"/>
                <c:pt idx="0">
                  <c:v>Growth (YoY)</c:v>
                </c:pt>
              </c:strCache>
            </c:strRef>
          </c:tx>
          <c:spPr>
            <a:ln w="28575" cap="rnd">
              <a:solidFill>
                <a:srgbClr val="FFA5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#REF!</c:f>
            </c:multiLvlStrRef>
          </c:cat>
          <c:val>
            <c:numRef>
              <c:f>Financial!$C$10:$O$10</c:f>
              <c:numCache>
                <c:formatCode>0%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0.65988445946692309</c:v>
                </c:pt>
                <c:pt idx="7">
                  <c:v>1.5207990896447088</c:v>
                </c:pt>
                <c:pt idx="8">
                  <c:v>0.43285560040443172</c:v>
                </c:pt>
                <c:pt idx="9">
                  <c:v>0.22566096136485081</c:v>
                </c:pt>
                <c:pt idx="10">
                  <c:v>0.64198935574072502</c:v>
                </c:pt>
                <c:pt idx="11">
                  <c:v>0.64198935574072458</c:v>
                </c:pt>
                <c:pt idx="12">
                  <c:v>0.6419893557407248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DC-43C0-B54F-E7A657685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902496"/>
        <c:axId val="1043900752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  <c:valAx>
        <c:axId val="10439007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2496"/>
        <c:crosses val="max"/>
        <c:crossBetween val="between"/>
      </c:valAx>
      <c:catAx>
        <c:axId val="1043902496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04390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Quarter Revenue</a:t>
            </a:r>
            <a:r>
              <a:rPr lang="en-GB" baseline="0"/>
              <a:t> (YoY)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Financial!$A$99</c:f>
              <c:strCache>
                <c:ptCount val="1"/>
                <c:pt idx="0">
                  <c:v> Revenue Qtr </c:v>
                </c:pt>
              </c:strCache>
            </c:strRef>
          </c:tx>
          <c:spPr>
            <a:solidFill>
              <a:srgbClr val="1F4690"/>
            </a:solidFill>
            <a:ln>
              <a:solidFill>
                <a:srgbClr val="375AA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E7-43FD-8AF0-10BB840F1454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6E7-43FD-8AF0-10BB840F1454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E7-43FD-8AF0-10BB840F1454}"/>
              </c:ext>
            </c:extLst>
          </c:dPt>
          <c:dPt>
            <c:idx val="13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6E7-43FD-8AF0-10BB840F14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Financial!$C$98:$P$98</c:f>
              <c:numCache>
                <c:formatCode>[$-409]mmm\-yy;@</c:formatCode>
                <c:ptCount val="14"/>
                <c:pt idx="0">
                  <c:v>45199</c:v>
                </c:pt>
                <c:pt idx="1">
                  <c:v>45291</c:v>
                </c:pt>
                <c:pt idx="2">
                  <c:v>45382</c:v>
                </c:pt>
                <c:pt idx="3">
                  <c:v>45473</c:v>
                </c:pt>
                <c:pt idx="4">
                  <c:v>45565</c:v>
                </c:pt>
                <c:pt idx="5">
                  <c:v>45565</c:v>
                </c:pt>
                <c:pt idx="6">
                  <c:v>45657</c:v>
                </c:pt>
                <c:pt idx="7">
                  <c:v>45838</c:v>
                </c:pt>
                <c:pt idx="8">
                  <c:v>45930</c:v>
                </c:pt>
                <c:pt idx="9">
                  <c:v>46022</c:v>
                </c:pt>
                <c:pt idx="10">
                  <c:v>46112</c:v>
                </c:pt>
                <c:pt idx="11">
                  <c:v>46202</c:v>
                </c:pt>
                <c:pt idx="12">
                  <c:v>46292</c:v>
                </c:pt>
                <c:pt idx="13">
                  <c:v>46382</c:v>
                </c:pt>
              </c:numCache>
            </c:numRef>
          </c:cat>
          <c:val>
            <c:numRef>
              <c:f>Financial!$C$99:$P$99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1735.69</c:v>
                </c:pt>
                <c:pt idx="6">
                  <c:v>1668.84</c:v>
                </c:pt>
                <c:pt idx="7">
                  <c:v>1894.46</c:v>
                </c:pt>
                <c:pt idx="8">
                  <c:v>2096.15</c:v>
                </c:pt>
                <c:pt idx="9">
                  <c:v>2307.73</c:v>
                </c:pt>
                <c:pt idx="10">
                  <c:v>2740.2175164343512</c:v>
                </c:pt>
                <c:pt idx="11">
                  <c:v>3110.6831548765736</c:v>
                </c:pt>
                <c:pt idx="12">
                  <c:v>3441.8559880359203</c:v>
                </c:pt>
                <c:pt idx="13">
                  <c:v>3789.2680959235427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7-43FD-8AF0-10BB840F1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17216"/>
        <c:axId val="756424144"/>
      </c:barChart>
      <c:lineChart>
        <c:grouping val="standard"/>
        <c:varyColors val="0"/>
        <c:ser>
          <c:idx val="1"/>
          <c:order val="1"/>
          <c:tx>
            <c:strRef>
              <c:f>Financial!$A$109</c:f>
              <c:strCache>
                <c:ptCount val="1"/>
                <c:pt idx="0">
                  <c:v> YoY Growth </c:v>
                </c:pt>
              </c:strCache>
            </c:strRef>
          </c:tx>
          <c:spPr>
            <a:ln w="28575" cap="rnd">
              <a:solidFill>
                <a:srgbClr val="FFA5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#REF!</c:f>
            </c:multiLvlStrRef>
          </c:cat>
          <c:val>
            <c:numRef>
              <c:f>Financial!$C$110:$P$110</c:f>
              <c:numCache>
                <c:formatCode>General</c:formatCode>
                <c:ptCount val="14"/>
                <c:pt idx="4" formatCode="0%">
                  <c:v>0</c:v>
                </c:pt>
                <c:pt idx="5" formatCode="0%">
                  <c:v>0</c:v>
                </c:pt>
                <c:pt idx="6" formatCode="0%">
                  <c:v>0</c:v>
                </c:pt>
                <c:pt idx="7" formatCode="0%">
                  <c:v>0</c:v>
                </c:pt>
                <c:pt idx="8" formatCode="0%">
                  <c:v>0</c:v>
                </c:pt>
                <c:pt idx="9" formatCode="0%">
                  <c:v>0.32957498170756305</c:v>
                </c:pt>
                <c:pt idx="10" formatCode="0%">
                  <c:v>0.6419893557407248</c:v>
                </c:pt>
                <c:pt idx="11" formatCode="0%">
                  <c:v>0.6419893557407248</c:v>
                </c:pt>
                <c:pt idx="12" formatCode="0%">
                  <c:v>0.6419893557407248</c:v>
                </c:pt>
                <c:pt idx="13" formatCode="0%">
                  <c:v>0.6419893557407248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E7-43FD-8AF0-10BB840F1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902496"/>
        <c:axId val="1043900752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  <c:valAx>
        <c:axId val="10439007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2496"/>
        <c:crosses val="max"/>
        <c:crossBetween val="between"/>
      </c:valAx>
      <c:catAx>
        <c:axId val="1043902496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04390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Quarter EBITDA</a:t>
            </a:r>
            <a:r>
              <a:rPr lang="en-GB" baseline="0"/>
              <a:t> (YoY)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Financial!$A$101</c:f>
              <c:strCache>
                <c:ptCount val="1"/>
                <c:pt idx="0">
                  <c:v> EBITDA Qtr </c:v>
                </c:pt>
              </c:strCache>
            </c:strRef>
          </c:tx>
          <c:spPr>
            <a:solidFill>
              <a:srgbClr val="1F4690"/>
            </a:solidFill>
            <a:ln>
              <a:solidFill>
                <a:srgbClr val="375AA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1D-4BA7-9421-033645EDC8F4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F1D-4BA7-9421-033645EDC8F4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1D-4BA7-9421-033645EDC8F4}"/>
              </c:ext>
            </c:extLst>
          </c:dPt>
          <c:dPt>
            <c:idx val="13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F1D-4BA7-9421-033645EDC8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Financial!$C$98:$P$98</c:f>
              <c:numCache>
                <c:formatCode>[$-409]mmm\-yy;@</c:formatCode>
                <c:ptCount val="14"/>
                <c:pt idx="0">
                  <c:v>45199</c:v>
                </c:pt>
                <c:pt idx="1">
                  <c:v>45291</c:v>
                </c:pt>
                <c:pt idx="2">
                  <c:v>45382</c:v>
                </c:pt>
                <c:pt idx="3">
                  <c:v>45473</c:v>
                </c:pt>
                <c:pt idx="4">
                  <c:v>45565</c:v>
                </c:pt>
                <c:pt idx="5">
                  <c:v>45565</c:v>
                </c:pt>
                <c:pt idx="6">
                  <c:v>45657</c:v>
                </c:pt>
                <c:pt idx="7">
                  <c:v>45838</c:v>
                </c:pt>
                <c:pt idx="8">
                  <c:v>45930</c:v>
                </c:pt>
                <c:pt idx="9">
                  <c:v>46022</c:v>
                </c:pt>
                <c:pt idx="10">
                  <c:v>46112</c:v>
                </c:pt>
                <c:pt idx="11">
                  <c:v>46202</c:v>
                </c:pt>
                <c:pt idx="12">
                  <c:v>46292</c:v>
                </c:pt>
                <c:pt idx="13">
                  <c:v>46382</c:v>
                </c:pt>
              </c:numCache>
            </c:numRef>
          </c:cat>
          <c:val>
            <c:numRef>
              <c:f>Financial!$C$101:$P$101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286.26</c:v>
                </c:pt>
                <c:pt idx="6">
                  <c:v>209.63</c:v>
                </c:pt>
                <c:pt idx="7">
                  <c:v>336.05</c:v>
                </c:pt>
                <c:pt idx="8">
                  <c:v>413.31</c:v>
                </c:pt>
                <c:pt idx="9">
                  <c:v>462.43</c:v>
                </c:pt>
                <c:pt idx="10">
                  <c:v>312.16795761935202</c:v>
                </c:pt>
                <c:pt idx="11">
                  <c:v>354.37172466597013</c:v>
                </c:pt>
                <c:pt idx="12">
                  <c:v>392.09922123379397</c:v>
                </c:pt>
                <c:pt idx="13">
                  <c:v>431.67671007221014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D-4BA7-9421-033645EDC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17216"/>
        <c:axId val="756424144"/>
      </c:barChart>
      <c:lineChart>
        <c:grouping val="standard"/>
        <c:varyColors val="0"/>
        <c:ser>
          <c:idx val="1"/>
          <c:order val="1"/>
          <c:tx>
            <c:strRef>
              <c:f>Financial!$A$109</c:f>
              <c:strCache>
                <c:ptCount val="1"/>
                <c:pt idx="0">
                  <c:v> YoY Growth </c:v>
                </c:pt>
              </c:strCache>
            </c:strRef>
          </c:tx>
          <c:spPr>
            <a:ln w="28575" cap="rnd">
              <a:solidFill>
                <a:srgbClr val="FFA5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#REF!</c:f>
            </c:multiLvlStrRef>
          </c:cat>
          <c:val>
            <c:numRef>
              <c:f>Financial!$C$111:$P$111</c:f>
              <c:numCache>
                <c:formatCode>General</c:formatCode>
                <c:ptCount val="14"/>
                <c:pt idx="4" formatCode="0%">
                  <c:v>0</c:v>
                </c:pt>
                <c:pt idx="5" formatCode="0%">
                  <c:v>0</c:v>
                </c:pt>
                <c:pt idx="6" formatCode="0%">
                  <c:v>0</c:v>
                </c:pt>
                <c:pt idx="7" formatCode="0%">
                  <c:v>0</c:v>
                </c:pt>
                <c:pt idx="8" formatCode="0%">
                  <c:v>0</c:v>
                </c:pt>
                <c:pt idx="9" formatCode="0%">
                  <c:v>0.6154195486620555</c:v>
                </c:pt>
                <c:pt idx="10" formatCode="0%">
                  <c:v>0.48913780288771669</c:v>
                </c:pt>
                <c:pt idx="11" formatCode="0%">
                  <c:v>5.4520829239607549E-2</c:v>
                </c:pt>
                <c:pt idx="12" formatCode="0%">
                  <c:v>-5.1319297297926614E-2</c:v>
                </c:pt>
                <c:pt idx="13" formatCode="0%">
                  <c:v>-6.6503665263477396E-2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1D-4BA7-9421-033645EDC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902496"/>
        <c:axId val="1043900752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  <c:valAx>
        <c:axId val="10439007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2496"/>
        <c:crosses val="max"/>
        <c:crossBetween val="between"/>
      </c:valAx>
      <c:catAx>
        <c:axId val="1043902496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04390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Quarter PAT</a:t>
            </a:r>
            <a:r>
              <a:rPr lang="en-GB" baseline="0"/>
              <a:t> (YoY)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Financial!$A$105</c:f>
              <c:strCache>
                <c:ptCount val="1"/>
                <c:pt idx="0">
                  <c:v> PAT Qtr </c:v>
                </c:pt>
              </c:strCache>
            </c:strRef>
          </c:tx>
          <c:spPr>
            <a:solidFill>
              <a:srgbClr val="1F4690"/>
            </a:solidFill>
            <a:ln>
              <a:solidFill>
                <a:srgbClr val="375AA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66-4EDA-9072-1161C1DA7ACF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966-4EDA-9072-1161C1DA7ACF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66-4EDA-9072-1161C1DA7ACF}"/>
              </c:ext>
            </c:extLst>
          </c:dPt>
          <c:dPt>
            <c:idx val="13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966-4EDA-9072-1161C1DA7A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Financial!$C$98:$P$98</c:f>
              <c:numCache>
                <c:formatCode>[$-409]mmm\-yy;@</c:formatCode>
                <c:ptCount val="14"/>
                <c:pt idx="0">
                  <c:v>45199</c:v>
                </c:pt>
                <c:pt idx="1">
                  <c:v>45291</c:v>
                </c:pt>
                <c:pt idx="2">
                  <c:v>45382</c:v>
                </c:pt>
                <c:pt idx="3">
                  <c:v>45473</c:v>
                </c:pt>
                <c:pt idx="4">
                  <c:v>45565</c:v>
                </c:pt>
                <c:pt idx="5">
                  <c:v>45565</c:v>
                </c:pt>
                <c:pt idx="6">
                  <c:v>45657</c:v>
                </c:pt>
                <c:pt idx="7">
                  <c:v>45838</c:v>
                </c:pt>
                <c:pt idx="8">
                  <c:v>45930</c:v>
                </c:pt>
                <c:pt idx="9">
                  <c:v>46022</c:v>
                </c:pt>
                <c:pt idx="10">
                  <c:v>46112</c:v>
                </c:pt>
                <c:pt idx="11">
                  <c:v>46202</c:v>
                </c:pt>
                <c:pt idx="12">
                  <c:v>46292</c:v>
                </c:pt>
                <c:pt idx="13">
                  <c:v>46382</c:v>
                </c:pt>
              </c:numCache>
            </c:numRef>
          </c:cat>
          <c:val>
            <c:numRef>
              <c:f>Financial!$C$105:$P$105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85.47</c:v>
                </c:pt>
                <c:pt idx="6">
                  <c:v>1.85</c:v>
                </c:pt>
                <c:pt idx="7">
                  <c:v>60.08</c:v>
                </c:pt>
                <c:pt idx="8">
                  <c:v>102.22</c:v>
                </c:pt>
                <c:pt idx="9">
                  <c:v>131.03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24.778435160028721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6-4EDA-9072-1161C1DA7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17216"/>
        <c:axId val="756424144"/>
      </c:barChart>
      <c:lineChart>
        <c:grouping val="standard"/>
        <c:varyColors val="0"/>
        <c:ser>
          <c:idx val="1"/>
          <c:order val="1"/>
          <c:tx>
            <c:strRef>
              <c:f>Financial!$A$109</c:f>
              <c:strCache>
                <c:ptCount val="1"/>
                <c:pt idx="0">
                  <c:v> YoY Growth </c:v>
                </c:pt>
              </c:strCache>
            </c:strRef>
          </c:tx>
          <c:spPr>
            <a:ln w="28575" cap="rnd">
              <a:solidFill>
                <a:srgbClr val="FFA5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#REF!</c:f>
            </c:multiLvlStrRef>
          </c:cat>
          <c:val>
            <c:numRef>
              <c:f>Financial!$C$112:$P$112</c:f>
              <c:numCache>
                <c:formatCode>General</c:formatCode>
                <c:ptCount val="14"/>
                <c:pt idx="4" formatCode="0%">
                  <c:v>0</c:v>
                </c:pt>
                <c:pt idx="5" formatCode="0%">
                  <c:v>0</c:v>
                </c:pt>
                <c:pt idx="6" formatCode="0%">
                  <c:v>0</c:v>
                </c:pt>
                <c:pt idx="7" formatCode="0%">
                  <c:v>0</c:v>
                </c:pt>
                <c:pt idx="8" formatCode="0%">
                  <c:v>0</c:v>
                </c:pt>
                <c:pt idx="9" formatCode="0%">
                  <c:v>0.53305253305253308</c:v>
                </c:pt>
                <c:pt idx="10" formatCode="0%">
                  <c:v>0</c:v>
                </c:pt>
                <c:pt idx="11" formatCode="0%">
                  <c:v>0</c:v>
                </c:pt>
                <c:pt idx="12" formatCode="0%">
                  <c:v>0</c:v>
                </c:pt>
                <c:pt idx="13" formatCode="0%">
                  <c:v>-0.81089494650058214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66-4EDA-9072-1161C1DA7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902496"/>
        <c:axId val="1043900752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  <c:valAx>
        <c:axId val="10439007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2496"/>
        <c:crosses val="max"/>
        <c:crossBetween val="between"/>
      </c:valAx>
      <c:catAx>
        <c:axId val="1043902496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04390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Quarterly Margins </a:t>
            </a:r>
            <a:r>
              <a:rPr lang="en-GB" baseline="0"/>
              <a:t>(%)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Financial!$A$103</c:f>
              <c:strCache>
                <c:ptCount val="1"/>
                <c:pt idx="0">
                  <c:v> EBITDAM Qtr 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349B-40F6-8CDD-9F098EFACB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Financial!$C$98:$P$98</c:f>
              <c:numCache>
                <c:formatCode>[$-409]mmm\-yy;@</c:formatCode>
                <c:ptCount val="14"/>
                <c:pt idx="0">
                  <c:v>45199</c:v>
                </c:pt>
                <c:pt idx="1">
                  <c:v>45291</c:v>
                </c:pt>
                <c:pt idx="2">
                  <c:v>45382</c:v>
                </c:pt>
                <c:pt idx="3">
                  <c:v>45473</c:v>
                </c:pt>
                <c:pt idx="4">
                  <c:v>45565</c:v>
                </c:pt>
                <c:pt idx="5">
                  <c:v>45565</c:v>
                </c:pt>
                <c:pt idx="6">
                  <c:v>45657</c:v>
                </c:pt>
                <c:pt idx="7">
                  <c:v>45838</c:v>
                </c:pt>
                <c:pt idx="8">
                  <c:v>45930</c:v>
                </c:pt>
                <c:pt idx="9">
                  <c:v>46022</c:v>
                </c:pt>
                <c:pt idx="10">
                  <c:v>46112</c:v>
                </c:pt>
                <c:pt idx="11">
                  <c:v>46202</c:v>
                </c:pt>
                <c:pt idx="12">
                  <c:v>46292</c:v>
                </c:pt>
                <c:pt idx="13">
                  <c:v>46382</c:v>
                </c:pt>
              </c:numCache>
            </c:numRef>
          </c:cat>
          <c:val>
            <c:numRef>
              <c:f>Financial!$C$103:$P$103</c:f>
              <c:numCache>
                <c:formatCode>0.0%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0.16492576439341125</c:v>
                </c:pt>
                <c:pt idx="6">
                  <c:v>0.12561419908439395</c:v>
                </c:pt>
                <c:pt idx="7">
                  <c:v>0.17738564023521214</c:v>
                </c:pt>
                <c:pt idx="8">
                  <c:v>0.19717577463444885</c:v>
                </c:pt>
                <c:pt idx="9">
                  <c:v>0.2003830604100133</c:v>
                </c:pt>
                <c:pt idx="10">
                  <c:v>0.11392086786802014</c:v>
                </c:pt>
                <c:pt idx="11">
                  <c:v>0.11392086786802014</c:v>
                </c:pt>
                <c:pt idx="12">
                  <c:v>0.11392086786802014</c:v>
                </c:pt>
                <c:pt idx="13">
                  <c:v>0.11392086786802014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9B-40F6-8CDD-9F098EFACB63}"/>
            </c:ext>
          </c:extLst>
        </c:ser>
        <c:ser>
          <c:idx val="0"/>
          <c:order val="1"/>
          <c:tx>
            <c:strRef>
              <c:f>Financial!$A$107</c:f>
              <c:strCache>
                <c:ptCount val="1"/>
                <c:pt idx="0">
                  <c:v> PAT Qtr Margin 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Financial!$C$98:$P$98</c:f>
              <c:numCache>
                <c:formatCode>[$-409]mmm\-yy;@</c:formatCode>
                <c:ptCount val="14"/>
                <c:pt idx="0">
                  <c:v>45199</c:v>
                </c:pt>
                <c:pt idx="1">
                  <c:v>45291</c:v>
                </c:pt>
                <c:pt idx="2">
                  <c:v>45382</c:v>
                </c:pt>
                <c:pt idx="3">
                  <c:v>45473</c:v>
                </c:pt>
                <c:pt idx="4">
                  <c:v>45565</c:v>
                </c:pt>
                <c:pt idx="5">
                  <c:v>45565</c:v>
                </c:pt>
                <c:pt idx="6">
                  <c:v>45657</c:v>
                </c:pt>
                <c:pt idx="7">
                  <c:v>45838</c:v>
                </c:pt>
                <c:pt idx="8">
                  <c:v>45930</c:v>
                </c:pt>
                <c:pt idx="9">
                  <c:v>46022</c:v>
                </c:pt>
                <c:pt idx="10">
                  <c:v>46112</c:v>
                </c:pt>
                <c:pt idx="11">
                  <c:v>46202</c:v>
                </c:pt>
                <c:pt idx="12">
                  <c:v>46292</c:v>
                </c:pt>
                <c:pt idx="13">
                  <c:v>46382</c:v>
                </c:pt>
              </c:numCache>
            </c:numRef>
          </c:cat>
          <c:val>
            <c:numRef>
              <c:f>Financial!$C$107:$P$107</c:f>
              <c:numCache>
                <c:formatCode>0.0%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4.9242664300652765E-2</c:v>
                </c:pt>
                <c:pt idx="6">
                  <c:v>1.1085544450037152E-3</c:v>
                </c:pt>
                <c:pt idx="7">
                  <c:v>3.1713522586911305E-2</c:v>
                </c:pt>
                <c:pt idx="8">
                  <c:v>4.8765594065310211E-2</c:v>
                </c:pt>
                <c:pt idx="9">
                  <c:v>5.6778739280591753E-2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6.5391084855371193E-3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9B-40F6-8CDD-9F098EFACB6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Return ratios 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Financial!$A$79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3006-4CCD-A209-E9BAC6CED7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Financial!$C$79:$O$79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1.2160150698409764E-2</c:v>
                </c:pt>
                <c:pt idx="6">
                  <c:v>-3.4879637805422692E-2</c:v>
                </c:pt>
                <c:pt idx="7">
                  <c:v>-1.1684996252224383E-2</c:v>
                </c:pt>
                <c:pt idx="8">
                  <c:v>-3.1847772753555515E-3</c:v>
                </c:pt>
                <c:pt idx="9">
                  <c:v>4.9832761259955081E-2</c:v>
                </c:pt>
                <c:pt idx="10">
                  <c:v>-2.7170449835417228E-2</c:v>
                </c:pt>
                <c:pt idx="11">
                  <c:v>-0.11595849775776816</c:v>
                </c:pt>
                <c:pt idx="12">
                  <c:v>-0.49139473942314482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06-4CCD-A209-E9BAC6CED7FA}"/>
            </c:ext>
          </c:extLst>
        </c:ser>
        <c:ser>
          <c:idx val="0"/>
          <c:order val="1"/>
          <c:tx>
            <c:strRef>
              <c:f>Financial!$A$80</c:f>
              <c:strCache>
                <c:ptCount val="1"/>
                <c:pt idx="0">
                  <c:v>ROCE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Financial!$C$80:$O$80</c:f>
              <c:numCache>
                <c:formatCode>0%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3.3891830167133818E-2</c:v>
                </c:pt>
                <c:pt idx="6">
                  <c:v>-3.1398827241338252E-2</c:v>
                </c:pt>
                <c:pt idx="7">
                  <c:v>-2.953581538191924E-3</c:v>
                </c:pt>
                <c:pt idx="8">
                  <c:v>2.5679245083936229E-2</c:v>
                </c:pt>
                <c:pt idx="9">
                  <c:v>6.4485819848272216E-2</c:v>
                </c:pt>
                <c:pt idx="10">
                  <c:v>-2.4133524255778138E-2</c:v>
                </c:pt>
                <c:pt idx="11">
                  <c:v>-0.13362558628988652</c:v>
                </c:pt>
                <c:pt idx="12">
                  <c:v>-0.52924952459666663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06-4CCD-A209-E9BAC6CED7F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Return Ratios 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Financial!$A$81</c:f>
              <c:strCache>
                <c:ptCount val="1"/>
                <c:pt idx="0">
                  <c:v>ROIC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DD3D-448C-8219-A35EBA2F1A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Financial!$C$81:$O$81</c:f>
              <c:numCache>
                <c:formatCode>0%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6.3416832421680766E-2</c:v>
                </c:pt>
                <c:pt idx="6">
                  <c:v>-5.4160034912974275E-2</c:v>
                </c:pt>
                <c:pt idx="7">
                  <c:v>-4.2873119453755489E-3</c:v>
                </c:pt>
                <c:pt idx="8">
                  <c:v>3.432831470035367E-2</c:v>
                </c:pt>
                <c:pt idx="9">
                  <c:v>8.3203498958196453E-2</c:v>
                </c:pt>
                <c:pt idx="10">
                  <c:v>-2.8616573207121937E-2</c:v>
                </c:pt>
                <c:pt idx="11">
                  <c:v>-0.1495095694405574</c:v>
                </c:pt>
                <c:pt idx="12">
                  <c:v>-0.61306050767775488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3D-448C-8219-A35EBA2F1A49}"/>
            </c:ext>
          </c:extLst>
        </c:ser>
        <c:ser>
          <c:idx val="0"/>
          <c:order val="1"/>
          <c:tx>
            <c:strRef>
              <c:f>Financial!$A$82</c:f>
              <c:strCache>
                <c:ptCount val="1"/>
                <c:pt idx="0">
                  <c:v>OCF/Cap Emp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Financial!$C$82:$O$82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-4.8499948095089805E-2</c:v>
                </c:pt>
                <c:pt idx="6">
                  <c:v>-6.1669435915756403E-2</c:v>
                </c:pt>
                <c:pt idx="7">
                  <c:v>1.4823924819512379E-2</c:v>
                </c:pt>
                <c:pt idx="8">
                  <c:v>6.2283949276242055E-2</c:v>
                </c:pt>
                <c:pt idx="9">
                  <c:v>0.14191629610495046</c:v>
                </c:pt>
                <c:pt idx="10">
                  <c:v>8.2736311509659488E-2</c:v>
                </c:pt>
                <c:pt idx="11">
                  <c:v>0.17836954786841952</c:v>
                </c:pt>
                <c:pt idx="12">
                  <c:v>0.66550759323448905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3D-448C-8219-A35EBA2F1A4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Capital Efficiency Ratios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Financial!$A$72</c:f>
              <c:strCache>
                <c:ptCount val="1"/>
                <c:pt idx="0">
                  <c:v>Asset Turnover 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94A6-4939-81B4-8E74A3489D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Financial!$C$72:$O$72</c:f>
              <c:numCache>
                <c:formatCode>_ * #,##0.0_ ;_ * \-#,##0.0_ ;_ * "-"??_ ;_ @_ </c:formatCode>
                <c:ptCount val="13"/>
                <c:pt idx="0" formatCode="0.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2.6416211957631819</c:v>
                </c:pt>
                <c:pt idx="6">
                  <c:v>1.9206416155419221</c:v>
                </c:pt>
                <c:pt idx="7">
                  <c:v>0.72828663658438586</c:v>
                </c:pt>
                <c:pt idx="8">
                  <c:v>0.97415335686889659</c:v>
                </c:pt>
                <c:pt idx="9">
                  <c:v>1.0495963345886905</c:v>
                </c:pt>
                <c:pt idx="10" formatCode="0.0">
                  <c:v>1.5329071612657499</c:v>
                </c:pt>
                <c:pt idx="11" formatCode="0.0">
                  <c:v>3.4338579484972329</c:v>
                </c:pt>
                <c:pt idx="12" formatCode="0.0">
                  <c:v>-57.665760006776438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A6-4939-81B4-8E74A3489D7C}"/>
            </c:ext>
          </c:extLst>
        </c:ser>
        <c:ser>
          <c:idx val="0"/>
          <c:order val="1"/>
          <c:tx>
            <c:strRef>
              <c:f>Financial!$A$76</c:f>
              <c:strCache>
                <c:ptCount val="1"/>
                <c:pt idx="0">
                  <c:v>Debt Equity 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Financial!$C$76:$O$76</c:f>
              <c:numCache>
                <c:formatCode>_(* #,##0.00_);_(* \(#,##0.00\);_(*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1.2610059455231977E-2</c:v>
                </c:pt>
                <c:pt idx="6">
                  <c:v>1.1550406889333602E-2</c:v>
                </c:pt>
                <c:pt idx="7">
                  <c:v>0.17125227019904446</c:v>
                </c:pt>
                <c:pt idx="8">
                  <c:v>0.42733655215939215</c:v>
                </c:pt>
                <c:pt idx="9">
                  <c:v>0.46190935390549664</c:v>
                </c:pt>
                <c:pt idx="10">
                  <c:v>0.74880817930981525</c:v>
                </c:pt>
                <c:pt idx="11">
                  <c:v>0.82400066686130957</c:v>
                </c:pt>
                <c:pt idx="12">
                  <c:v>0.65563328765411977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A6-4939-81B4-8E74A3489D7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Working Capital Days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Financial!$A$68</c:f>
              <c:strCache>
                <c:ptCount val="1"/>
                <c:pt idx="0">
                  <c:v>Receivable Days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9428-4CA3-BBBC-88D212D04D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Financial!$C$68:$O$68</c:f>
              <c:numCache>
                <c:formatCode>_ * #,##0_ ;_ * \-#,##0_ ;_ * "-"??_ ;_ @_ </c:formatCode>
                <c:ptCount val="13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12.829086169378446</c:v>
                </c:pt>
                <c:pt idx="6">
                  <c:v>20.779624811174479</c:v>
                </c:pt>
                <c:pt idx="7">
                  <c:v>27.082824053663778</c:v>
                </c:pt>
                <c:pt idx="8">
                  <c:v>22.958343313005511</c:v>
                </c:pt>
                <c:pt idx="9">
                  <c:v>6.9071344392801519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28-4CA3-BBBC-88D212D04D99}"/>
            </c:ext>
          </c:extLst>
        </c:ser>
        <c:ser>
          <c:idx val="0"/>
          <c:order val="1"/>
          <c:tx>
            <c:strRef>
              <c:f>Financial!$A$69</c:f>
              <c:strCache>
                <c:ptCount val="1"/>
                <c:pt idx="0">
                  <c:v>Inventory Days 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Financial!$C$69:$O$69</c:f>
              <c:numCache>
                <c:formatCode>_ * #,##0_ ;_ * \-#,##0_ ;_ * "-"??_ ;_ @_ </c:formatCode>
                <c:ptCount val="13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87.348256398360789</c:v>
                </c:pt>
                <c:pt idx="6">
                  <c:v>56.441395878113546</c:v>
                </c:pt>
                <c:pt idx="7">
                  <c:v>58.891917434656008</c:v>
                </c:pt>
                <c:pt idx="8">
                  <c:v>46.271754150008299</c:v>
                </c:pt>
                <c:pt idx="9">
                  <c:v>59.334748335968932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28-4CA3-BBBC-88D212D04D99}"/>
            </c:ext>
          </c:extLst>
        </c:ser>
        <c:ser>
          <c:idx val="2"/>
          <c:order val="2"/>
          <c:tx>
            <c:strRef>
              <c:f>Financial!$A$70</c:f>
              <c:strCache>
                <c:ptCount val="1"/>
                <c:pt idx="0">
                  <c:v>Working Cap Days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Financial!$C$70:$O$70</c:f>
              <c:numCache>
                <c:formatCode>_ * #,##0_ ;_ * \-#,##0_ ;_ * "-"??_ ;_ @_ </c:formatCode>
                <c:ptCount val="13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493.5569583899437</c:v>
                </c:pt>
                <c:pt idx="6">
                  <c:v>276.01074059532448</c:v>
                </c:pt>
                <c:pt idx="7">
                  <c:v>38.833456968397819</c:v>
                </c:pt>
                <c:pt idx="8">
                  <c:v>84.073668404664971</c:v>
                </c:pt>
                <c:pt idx="9">
                  <c:v>71.080004269058946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28-4CA3-BBBC-88D212D04D9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Capital Efficiency Ratios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Financial!$A$71</c:f>
              <c:strCache>
                <c:ptCount val="1"/>
                <c:pt idx="0">
                  <c:v>Working Cap/Sales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B8AB-4F7F-AE18-AA6C68897C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Financial!$C$71:$O$71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1.3522108449039554</c:v>
                </c:pt>
                <c:pt idx="6">
                  <c:v>0.75619380985020401</c:v>
                </c:pt>
                <c:pt idx="7">
                  <c:v>0.106393032790131</c:v>
                </c:pt>
                <c:pt idx="8">
                  <c:v>0.23033881754702731</c:v>
                </c:pt>
                <c:pt idx="9">
                  <c:v>0.19473973772344916</c:v>
                </c:pt>
                <c:pt idx="10">
                  <c:v>0.1771571960202025</c:v>
                </c:pt>
                <c:pt idx="11">
                  <c:v>0.1771571960202025</c:v>
                </c:pt>
                <c:pt idx="12">
                  <c:v>0.1771571960202025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AB-4F7F-AE18-AA6C68897CAD}"/>
            </c:ext>
          </c:extLst>
        </c:ser>
        <c:ser>
          <c:idx val="0"/>
          <c:order val="1"/>
          <c:tx>
            <c:strRef>
              <c:f>Financial!$A$73</c:f>
              <c:strCache>
                <c:ptCount val="1"/>
                <c:pt idx="0">
                  <c:v>OCF/EBITDA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Financial!$C$73:$O$73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2.4877529286475011</c:v>
                </c:pt>
                <c:pt idx="6">
                  <c:v>1.5966841186736456</c:v>
                </c:pt>
                <c:pt idx="7">
                  <c:v>0.3591629388126466</c:v>
                </c:pt>
                <c:pt idx="8">
                  <c:v>0.71723102732771205</c:v>
                </c:pt>
                <c:pt idx="9">
                  <c:v>1.2590080412497699</c:v>
                </c:pt>
                <c:pt idx="10">
                  <c:v>0.67144553244970206</c:v>
                </c:pt>
                <c:pt idx="11">
                  <c:v>0.82394795522167441</c:v>
                </c:pt>
                <c:pt idx="12">
                  <c:v>1.1394841702670793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AB-4F7F-AE18-AA6C68897C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EPS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Financial!$A$22</c:f>
              <c:strCache>
                <c:ptCount val="1"/>
                <c:pt idx="0">
                  <c:v> EPS </c:v>
                </c:pt>
              </c:strCache>
            </c:strRef>
          </c:tx>
          <c:spPr>
            <a:solidFill>
              <a:srgbClr val="1F4690"/>
            </a:solidFill>
            <a:ln>
              <a:solidFill>
                <a:srgbClr val="375AA2"/>
              </a:solidFill>
            </a:ln>
          </c:spPr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AC33-4F39-8A56-CDEB18D87E7C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C33-4F39-8A56-CDEB18D87E7C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AC33-4F39-8A56-CDEB18D87E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Financial!$C$22:$O$22</c:f>
              <c:numCache>
                <c:formatCode>_ * #,##0.0_ ;_ * \-#,##0.0_ ;_ * "-"??_ ;_ @_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3.7853403141361261</c:v>
                </c:pt>
                <c:pt idx="6">
                  <c:v>-13.391361256544503</c:v>
                </c:pt>
                <c:pt idx="7">
                  <c:v>-8.345549738219896</c:v>
                </c:pt>
                <c:pt idx="8">
                  <c:v>-2.2645914396887159</c:v>
                </c:pt>
                <c:pt idx="9">
                  <c:v>3.8303744978618628</c:v>
                </c:pt>
                <c:pt idx="10">
                  <c:v>-2.0332023205971312</c:v>
                </c:pt>
                <c:pt idx="11">
                  <c:v>-7.7756786666669324</c:v>
                </c:pt>
                <c:pt idx="12">
                  <c:v>-22.093962901618436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C33-4F39-8A56-CDEB18D87E7C}"/>
            </c:ext>
          </c:extLst>
        </c:ser>
        <c:ser>
          <c:idx val="3"/>
          <c:order val="1"/>
          <c:tx>
            <c:strRef>
              <c:f>Financial!$A$86</c:f>
              <c:strCache>
                <c:ptCount val="1"/>
                <c:pt idx="0">
                  <c:v>Book Value/share</c:v>
                </c:pt>
              </c:strCache>
            </c:strRef>
          </c:tx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</c:spPr>
            <c:extLst>
              <c:ext xmlns:c16="http://schemas.microsoft.com/office/drawing/2014/chart" uri="{C3380CC4-5D6E-409C-BE32-E72D297353CC}">
                <c16:uniqueId val="{00000008-AA06-4518-B7FE-18D11596C992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</c:spPr>
            <c:extLst>
              <c:ext xmlns:c16="http://schemas.microsoft.com/office/drawing/2014/chart" uri="{C3380CC4-5D6E-409C-BE32-E72D297353CC}">
                <c16:uniqueId val="{00000007-AA06-4518-B7FE-18D11596C992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</c:spPr>
            <c:extLst>
              <c:ext xmlns:c16="http://schemas.microsoft.com/office/drawing/2014/chart" uri="{C3380CC4-5D6E-409C-BE32-E72D297353CC}">
                <c16:uniqueId val="{00000006-AA06-4518-B7FE-18D11596C9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Financial!$C$86:$O$86</c:f>
              <c:numCache>
                <c:formatCode>_ * #,##0_ ;_ * \-#,##0_ ;_ * "-"??_ ;_ @_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311.29057591623035</c:v>
                </c:pt>
                <c:pt idx="6">
                  <c:v>383.93062827225134</c:v>
                </c:pt>
                <c:pt idx="7">
                  <c:v>714.21073298429314</c:v>
                </c:pt>
                <c:pt idx="8">
                  <c:v>711.06744487678338</c:v>
                </c:pt>
                <c:pt idx="9">
                  <c:v>76.864584683167038</c:v>
                </c:pt>
                <c:pt idx="10">
                  <c:v>74.831382362569911</c:v>
                </c:pt>
                <c:pt idx="11">
                  <c:v>67.055703695902977</c:v>
                </c:pt>
                <c:pt idx="12">
                  <c:v>44.961740794284545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C33-4F39-8A56-CDEB18D87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17216"/>
        <c:axId val="756424144"/>
      </c:bar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Price to Book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Financial!$A$92</c:f>
              <c:strCache>
                <c:ptCount val="1"/>
                <c:pt idx="0">
                  <c:v>Price/Book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1787-4398-9867-8A6FA6B00B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Financial!$C$92:$O$92</c:f>
              <c:numCache>
                <c:formatCode>0.0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6.5747816553245269</c:v>
                </c:pt>
                <c:pt idx="11">
                  <c:v>7.3371834591612917</c:v>
                </c:pt>
                <c:pt idx="12">
                  <c:v>10.942636813175662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87-4398-9867-8A6FA6B00BB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P/E &amp; EV/EBITDA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Financial!$A$91</c:f>
              <c:strCache>
                <c:ptCount val="1"/>
                <c:pt idx="0">
                  <c:v>Price/Earnings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AA56-40D5-9583-C88DE53E67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Financial!$C$91:$O$91</c:f>
              <c:numCache>
                <c:formatCode>0.0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-241.98280467017395</c:v>
                </c:pt>
                <c:pt idx="11">
                  <c:v>-63.274219665110884</c:v>
                </c:pt>
                <c:pt idx="12">
                  <c:v>-22.268526574015375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56-40D5-9583-C88DE53E67A9}"/>
            </c:ext>
          </c:extLst>
        </c:ser>
        <c:ser>
          <c:idx val="0"/>
          <c:order val="1"/>
          <c:tx>
            <c:strRef>
              <c:f>Financial!$A$95</c:f>
              <c:strCache>
                <c:ptCount val="1"/>
                <c:pt idx="0">
                  <c:v>EV/EBITDA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Financial!$C$95:$O$95</c:f>
              <c:numCache>
                <c:formatCode>_ * #,##0.0_ ;_ * \-#,##0.0_ ;_ * "-"??_ ;_ @_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-0.63876464323748761</c:v>
                </c:pt>
                <c:pt idx="6">
                  <c:v>-0.295636998254799</c:v>
                </c:pt>
                <c:pt idx="7">
                  <c:v>3.5425354462051684</c:v>
                </c:pt>
                <c:pt idx="8">
                  <c:v>3.4476770709166646</c:v>
                </c:pt>
                <c:pt idx="9">
                  <c:v>2.8030609948233174</c:v>
                </c:pt>
                <c:pt idx="10">
                  <c:v>33.985719628733889</c:v>
                </c:pt>
                <c:pt idx="11">
                  <c:v>20.668418763871312</c:v>
                </c:pt>
                <c:pt idx="12">
                  <c:v>11.994560797326855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56-40D5-9583-C88DE53E67A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://www.tikonacapital.com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tikonacapital.com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tikonacapital.com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1.xml"/><Relationship Id="rId18" Type="http://schemas.openxmlformats.org/officeDocument/2006/relationships/chart" Target="../charts/chart16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0.xml"/><Relationship Id="rId17" Type="http://schemas.openxmlformats.org/officeDocument/2006/relationships/chart" Target="../charts/chart15.xml"/><Relationship Id="rId2" Type="http://schemas.openxmlformats.org/officeDocument/2006/relationships/chart" Target="../charts/chart2.xml"/><Relationship Id="rId16" Type="http://schemas.openxmlformats.org/officeDocument/2006/relationships/chart" Target="../charts/chart14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5" Type="http://schemas.openxmlformats.org/officeDocument/2006/relationships/chart" Target="../charts/chart13.xml"/><Relationship Id="rId10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hyperlink" Target="http://www.tikonacapital.com" TargetMode="External"/><Relationship Id="rId1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tikonacapital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63688" cy="317500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7BF65D-2916-4808-B745-7B218A3A3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63688" cy="317500"/>
        </a:xfrm>
        <a:prstGeom prst="rect">
          <a:avLst/>
        </a:prstGeom>
        <a:solidFill>
          <a:schemeClr val="bg1"/>
        </a:solidFill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</xdr:colOff>
      <xdr:row>1</xdr:row>
      <xdr:rowOff>5818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60F804-89FE-1FDF-90D3-B4FDFBDE7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306286" cy="5501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C1615A-E45F-D82C-88CE-88010AA79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3333" cy="6773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3697A8-CA2D-F947-98D7-29925AFC7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</xdr:colOff>
      <xdr:row>1</xdr:row>
      <xdr:rowOff>0</xdr:rowOff>
    </xdr:from>
    <xdr:to>
      <xdr:col>18</xdr:col>
      <xdr:colOff>1</xdr:colOff>
      <xdr:row>15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75566F9-2C6D-456C-B3DB-8B1388E36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1</xdr:row>
      <xdr:rowOff>1</xdr:rowOff>
    </xdr:from>
    <xdr:to>
      <xdr:col>24</xdr:col>
      <xdr:colOff>0</xdr:colOff>
      <xdr:row>15</xdr:row>
      <xdr:rowOff>1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5981D7F9-35F0-4373-8E8C-B761B3881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6</xdr:col>
      <xdr:colOff>0</xdr:colOff>
      <xdr:row>15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54703E55-4C48-44B2-9050-5AFEAAD382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D802EB74-67B7-4F81-B23B-ABFEE4527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761999</xdr:colOff>
      <xdr:row>15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F4DAF371-F80B-42ED-8D5B-A11066D0A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18</xdr:col>
      <xdr:colOff>1</xdr:colOff>
      <xdr:row>29</xdr:row>
      <xdr:rowOff>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FE9925DD-7192-4286-A37C-FF78169DD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15</xdr:row>
      <xdr:rowOff>0</xdr:rowOff>
    </xdr:from>
    <xdr:to>
      <xdr:col>24</xdr:col>
      <xdr:colOff>0</xdr:colOff>
      <xdr:row>29</xdr:row>
      <xdr:rowOff>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5420ACA-AA59-4B12-9501-C9643ACF41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40105</xdr:colOff>
      <xdr:row>1</xdr:row>
      <xdr:rowOff>0</xdr:rowOff>
    </xdr:to>
    <xdr:pic>
      <xdr:nvPicPr>
        <xdr:cNvPr id="44" name="Picture 4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D738C62-B144-4A88-9BBE-7AAE6CA7E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72168" cy="433413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6</xdr:col>
      <xdr:colOff>0</xdr:colOff>
      <xdr:row>43</xdr:row>
      <xdr:rowOff>-1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EC9D8E51-7992-4788-AD79-56CB98F0DE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12</xdr:col>
      <xdr:colOff>-1</xdr:colOff>
      <xdr:row>43</xdr:row>
      <xdr:rowOff>-1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19AFB629-E8C4-4EBF-8872-6E26B4BE7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29</xdr:row>
      <xdr:rowOff>0</xdr:rowOff>
    </xdr:from>
    <xdr:to>
      <xdr:col>18</xdr:col>
      <xdr:colOff>0</xdr:colOff>
      <xdr:row>43</xdr:row>
      <xdr:rowOff>-1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CD52BA7D-09BF-4952-8E03-F5C7541E2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29</xdr:row>
      <xdr:rowOff>0</xdr:rowOff>
    </xdr:from>
    <xdr:to>
      <xdr:col>24</xdr:col>
      <xdr:colOff>0</xdr:colOff>
      <xdr:row>43</xdr:row>
      <xdr:rowOff>-1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C77D56BE-2507-4DC9-93A3-447F737CD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6</xdr:col>
      <xdr:colOff>0</xdr:colOff>
      <xdr:row>57</xdr:row>
      <xdr:rowOff>-1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708889FD-9312-4A4D-9863-E10621650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12</xdr:col>
      <xdr:colOff>0</xdr:colOff>
      <xdr:row>57</xdr:row>
      <xdr:rowOff>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9A9D1505-F0C6-4B18-A68D-F8D231262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0</xdr:colOff>
      <xdr:row>43</xdr:row>
      <xdr:rowOff>0</xdr:rowOff>
    </xdr:from>
    <xdr:to>
      <xdr:col>18</xdr:col>
      <xdr:colOff>0</xdr:colOff>
      <xdr:row>57</xdr:row>
      <xdr:rowOff>-1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520467BB-2466-4753-B421-91F01A69F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18</xdr:col>
      <xdr:colOff>0</xdr:colOff>
      <xdr:row>43</xdr:row>
      <xdr:rowOff>0</xdr:rowOff>
    </xdr:from>
    <xdr:to>
      <xdr:col>24</xdr:col>
      <xdr:colOff>0</xdr:colOff>
      <xdr:row>57</xdr:row>
      <xdr:rowOff>-1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6F48E922-9EE1-4CAC-AB53-4EBEF1EA4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127002</xdr:colOff>
      <xdr:row>0</xdr:row>
      <xdr:rowOff>0</xdr:rowOff>
    </xdr:from>
    <xdr:to>
      <xdr:col>22</xdr:col>
      <xdr:colOff>351694</xdr:colOff>
      <xdr:row>0</xdr:row>
      <xdr:rowOff>439614</xdr:rowOff>
    </xdr:to>
    <xdr:sp macro="[0]!HideForecast" textlink="">
      <xdr:nvSpPr>
        <xdr:cNvPr id="3" name="Rectangle 2">
          <a:extLst>
            <a:ext uri="{FF2B5EF4-FFF2-40B4-BE49-F238E27FC236}">
              <a16:creationId xmlns:a16="http://schemas.microsoft.com/office/drawing/2014/main" id="{0E4558AE-6EC7-70B4-DF70-E0636DBEB55B}"/>
            </a:ext>
          </a:extLst>
        </xdr:cNvPr>
        <xdr:cNvSpPr/>
      </xdr:nvSpPr>
      <xdr:spPr>
        <a:xfrm>
          <a:off x="16129002" y="0"/>
          <a:ext cx="986692" cy="439614"/>
        </a:xfrm>
        <a:prstGeom prst="rect">
          <a:avLst/>
        </a:prstGeom>
        <a:solidFill>
          <a:srgbClr val="FFA5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rgbClr val="1F4690"/>
              </a:solidFill>
            </a:rPr>
            <a:t>Hide Forecast</a:t>
          </a:r>
        </a:p>
      </xdr:txBody>
    </xdr:sp>
    <xdr:clientData/>
  </xdr:twoCellAnchor>
  <xdr:twoCellAnchor>
    <xdr:from>
      <xdr:col>22</xdr:col>
      <xdr:colOff>322385</xdr:colOff>
      <xdr:row>0</xdr:row>
      <xdr:rowOff>0</xdr:rowOff>
    </xdr:from>
    <xdr:to>
      <xdr:col>23</xdr:col>
      <xdr:colOff>166077</xdr:colOff>
      <xdr:row>1</xdr:row>
      <xdr:rowOff>0</xdr:rowOff>
    </xdr:to>
    <xdr:sp macro="[0]!Tenyear" textlink="">
      <xdr:nvSpPr>
        <xdr:cNvPr id="5" name="Rectangle 4">
          <a:extLst>
            <a:ext uri="{FF2B5EF4-FFF2-40B4-BE49-F238E27FC236}">
              <a16:creationId xmlns:a16="http://schemas.microsoft.com/office/drawing/2014/main" id="{94084078-13C4-49D7-84E2-FE6B017123F1}"/>
            </a:ext>
          </a:extLst>
        </xdr:cNvPr>
        <xdr:cNvSpPr/>
      </xdr:nvSpPr>
      <xdr:spPr>
        <a:xfrm>
          <a:off x="17086385" y="0"/>
          <a:ext cx="605692" cy="439615"/>
        </a:xfrm>
        <a:prstGeom prst="rect">
          <a:avLst/>
        </a:prstGeom>
        <a:solidFill>
          <a:srgbClr val="FFA5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rgbClr val="1F4690"/>
              </a:solidFill>
            </a:rPr>
            <a:t>10Y+3Y</a:t>
          </a:r>
        </a:p>
      </xdr:txBody>
    </xdr:sp>
    <xdr:clientData/>
  </xdr:twoCellAnchor>
  <xdr:twoCellAnchor>
    <xdr:from>
      <xdr:col>23</xdr:col>
      <xdr:colOff>156308</xdr:colOff>
      <xdr:row>0</xdr:row>
      <xdr:rowOff>1</xdr:rowOff>
    </xdr:from>
    <xdr:to>
      <xdr:col>24</xdr:col>
      <xdr:colOff>0</xdr:colOff>
      <xdr:row>1</xdr:row>
      <xdr:rowOff>0</xdr:rowOff>
    </xdr:to>
    <xdr:sp macro="[0]!Fiveyear" textlink="">
      <xdr:nvSpPr>
        <xdr:cNvPr id="7" name="Rectangle 6">
          <a:extLst>
            <a:ext uri="{FF2B5EF4-FFF2-40B4-BE49-F238E27FC236}">
              <a16:creationId xmlns:a16="http://schemas.microsoft.com/office/drawing/2014/main" id="{BC694796-CC42-497C-96AC-480C6034FE3D}"/>
            </a:ext>
          </a:extLst>
        </xdr:cNvPr>
        <xdr:cNvSpPr/>
      </xdr:nvSpPr>
      <xdr:spPr>
        <a:xfrm>
          <a:off x="17682308" y="1"/>
          <a:ext cx="605692" cy="439614"/>
        </a:xfrm>
        <a:prstGeom prst="rect">
          <a:avLst/>
        </a:prstGeom>
        <a:solidFill>
          <a:srgbClr val="FFA5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rgbClr val="1F4690"/>
              </a:solidFill>
            </a:rPr>
            <a:t>5Y+3Y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11FE87-A0B6-4316-B462-853AE2549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693332" cy="3386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241300</xdr:colOff>
      <xdr:row>0</xdr:row>
      <xdr:rowOff>0</xdr:rowOff>
    </xdr:from>
    <xdr:to>
      <xdr:col>13</xdr:col>
      <xdr:colOff>12700</xdr:colOff>
      <xdr:row>1</xdr:row>
      <xdr:rowOff>127000</xdr:rowOff>
    </xdr:to>
    <xdr:sp macro="[0]!OpenStockDashboard" textlink="">
      <xdr:nvSpPr>
        <xdr:cNvPr id="2" name="Rectangle 1">
          <a:extLst>
            <a:ext uri="{FF2B5EF4-FFF2-40B4-BE49-F238E27FC236}">
              <a16:creationId xmlns:a16="http://schemas.microsoft.com/office/drawing/2014/main" id="{0BFBA16C-77C9-77FE-4E49-4E47CF75338A}"/>
            </a:ext>
          </a:extLst>
        </xdr:cNvPr>
        <xdr:cNvSpPr/>
      </xdr:nvSpPr>
      <xdr:spPr>
        <a:xfrm>
          <a:off x="7613650" y="0"/>
          <a:ext cx="1600200" cy="311150"/>
        </a:xfrm>
        <a:prstGeom prst="rect">
          <a:avLst/>
        </a:prstGeom>
        <a:solidFill>
          <a:srgbClr val="FFA500"/>
        </a:solidFill>
        <a:ln>
          <a:solidFill>
            <a:srgbClr val="1F469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rgbClr val="1F4690"/>
              </a:solidFill>
            </a:rPr>
            <a:t>Goindiastocks</a:t>
          </a:r>
        </a:p>
      </xdr:txBody>
    </xdr:sp>
    <xdr:clientData/>
  </xdr:twoCellAnchor>
  <xdr:twoCellAnchor>
    <xdr:from>
      <xdr:col>13</xdr:col>
      <xdr:colOff>83297</xdr:colOff>
      <xdr:row>0</xdr:row>
      <xdr:rowOff>0</xdr:rowOff>
    </xdr:from>
    <xdr:to>
      <xdr:col>16</xdr:col>
      <xdr:colOff>33991</xdr:colOff>
      <xdr:row>1</xdr:row>
      <xdr:rowOff>127000</xdr:rowOff>
    </xdr:to>
    <xdr:sp macro="[0]!Rfresh" textlink="">
      <xdr:nvSpPr>
        <xdr:cNvPr id="3" name="Rectangle 2">
          <a:extLst>
            <a:ext uri="{FF2B5EF4-FFF2-40B4-BE49-F238E27FC236}">
              <a16:creationId xmlns:a16="http://schemas.microsoft.com/office/drawing/2014/main" id="{23C1ADB3-E0D1-4416-8800-A7C9C1E93914}"/>
            </a:ext>
          </a:extLst>
        </xdr:cNvPr>
        <xdr:cNvSpPr/>
      </xdr:nvSpPr>
      <xdr:spPr>
        <a:xfrm>
          <a:off x="9802532" y="0"/>
          <a:ext cx="1878106" cy="291353"/>
        </a:xfrm>
        <a:prstGeom prst="rect">
          <a:avLst/>
        </a:prstGeom>
        <a:solidFill>
          <a:srgbClr val="FFA500"/>
        </a:solidFill>
        <a:ln>
          <a:solidFill>
            <a:srgbClr val="1F469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rgbClr val="1F4690"/>
              </a:solidFill>
            </a:rPr>
            <a:t>Refresh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ingh/Downloads/GIA%20Stocks.xlsx" TargetMode="External"/><Relationship Id="rId1" Type="http://schemas.openxmlformats.org/officeDocument/2006/relationships/externalLinkPath" Target="/Users/singh/Downloads/GIA%20Stoc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2">
          <cell r="A2" t="str">
            <v>Actuals &amp; Forward Estimates</v>
          </cell>
          <cell r="B2" t="str">
            <v>Mar2026 E</v>
          </cell>
          <cell r="C2" t="str">
            <v>Mar2025 E</v>
          </cell>
          <cell r="D2" t="str">
            <v>Mar2024 E</v>
          </cell>
          <cell r="E2" t="str">
            <v>Mar2023</v>
          </cell>
          <cell r="F2" t="str">
            <v>Mar2022</v>
          </cell>
          <cell r="G2" t="str">
            <v>Mar2021</v>
          </cell>
          <cell r="H2" t="str">
            <v>Mar2020</v>
          </cell>
          <cell r="I2" t="str">
            <v>Mar2019</v>
          </cell>
          <cell r="J2" t="str">
            <v>Mar2018</v>
          </cell>
          <cell r="K2" t="str">
            <v>Mar2017</v>
          </cell>
          <cell r="L2" t="str">
            <v>Mar2016</v>
          </cell>
        </row>
        <row r="3">
          <cell r="A3" t="str">
            <v>Net Income</v>
          </cell>
          <cell r="B3" t="str">
            <v>42,757.3</v>
          </cell>
          <cell r="C3" t="str">
            <v>35,770.4</v>
          </cell>
          <cell r="D3" t="str">
            <v>30,374.7</v>
          </cell>
          <cell r="E3" t="str">
            <v>25,764.9</v>
          </cell>
          <cell r="F3" t="str">
            <v>22,345.6</v>
          </cell>
          <cell r="G3" t="str">
            <v>20,028.8</v>
          </cell>
          <cell r="H3" t="str">
            <v>19,011.4</v>
          </cell>
          <cell r="I3" t="str">
            <v>14,492.9</v>
          </cell>
          <cell r="J3" t="str">
            <v>12,247.5</v>
          </cell>
          <cell r="K3" t="str">
            <v>10,234.1</v>
          </cell>
          <cell r="L3" t="str">
            <v>7,813.5</v>
          </cell>
        </row>
        <row r="4">
          <cell r="A4" t="str">
            <v>% Change YoY</v>
          </cell>
          <cell r="B4">
            <v>0.19500000000000001</v>
          </cell>
          <cell r="C4">
            <v>0.17800000000000002</v>
          </cell>
          <cell r="D4">
            <v>0.17899999999999999</v>
          </cell>
          <cell r="E4">
            <v>0.153</v>
          </cell>
          <cell r="F4">
            <v>0.11599999999999999</v>
          </cell>
          <cell r="G4">
            <v>5.2999999999999999E-2</v>
          </cell>
          <cell r="H4">
            <v>0.312</v>
          </cell>
          <cell r="I4">
            <v>0.183</v>
          </cell>
          <cell r="J4">
            <v>0.19699999999999998</v>
          </cell>
          <cell r="K4">
            <v>0.31</v>
          </cell>
          <cell r="L4">
            <v>0</v>
          </cell>
        </row>
        <row r="5">
          <cell r="A5" t="str">
            <v>EBITDA</v>
          </cell>
          <cell r="B5" t="str">
            <v>NaN</v>
          </cell>
          <cell r="C5" t="str">
            <v>NaN</v>
          </cell>
          <cell r="D5" t="str">
            <v>NaN</v>
          </cell>
          <cell r="E5" t="str">
            <v>14,419.0</v>
          </cell>
          <cell r="F5" t="str">
            <v>13,034.9</v>
          </cell>
          <cell r="G5" t="str">
            <v>11,871.9</v>
          </cell>
          <cell r="H5" t="str">
            <v>10,828.8</v>
          </cell>
          <cell r="I5" t="str">
            <v>8,087.6</v>
          </cell>
          <cell r="J5" t="str">
            <v>6,656.1</v>
          </cell>
          <cell r="K5" t="str">
            <v>5,451.0</v>
          </cell>
          <cell r="L5" t="str">
            <v>4,141.4</v>
          </cell>
        </row>
        <row r="6">
          <cell r="A6" t="str">
            <v>% Change YoY</v>
          </cell>
          <cell r="B6">
            <v>0</v>
          </cell>
          <cell r="C6">
            <v>0</v>
          </cell>
          <cell r="D6">
            <v>0</v>
          </cell>
          <cell r="E6">
            <v>0.106</v>
          </cell>
          <cell r="F6">
            <v>9.8000000000000004E-2</v>
          </cell>
          <cell r="G6">
            <v>9.6000000000000002E-2</v>
          </cell>
          <cell r="H6">
            <v>0.33899999999999997</v>
          </cell>
          <cell r="I6">
            <v>0.215</v>
          </cell>
          <cell r="J6">
            <v>0.221</v>
          </cell>
          <cell r="K6">
            <v>0.316</v>
          </cell>
          <cell r="L6">
            <v>0</v>
          </cell>
        </row>
        <row r="7">
          <cell r="A7" t="str">
            <v>% EBITDA Margin</v>
          </cell>
          <cell r="B7">
            <v>0</v>
          </cell>
          <cell r="C7">
            <v>0</v>
          </cell>
          <cell r="D7">
            <v>0</v>
          </cell>
          <cell r="E7">
            <v>0.56000000000000005</v>
          </cell>
          <cell r="F7">
            <v>0.58299999999999996</v>
          </cell>
          <cell r="G7">
            <v>0.59299999999999997</v>
          </cell>
          <cell r="H7">
            <v>0.56999999999999995</v>
          </cell>
          <cell r="I7">
            <v>0.55799999999999994</v>
          </cell>
          <cell r="J7">
            <v>0.54400000000000004</v>
          </cell>
          <cell r="K7">
            <v>0.53299999999999992</v>
          </cell>
          <cell r="L7">
            <v>0.53</v>
          </cell>
        </row>
        <row r="8">
          <cell r="A8" t="str">
            <v>PAT</v>
          </cell>
          <cell r="B8" t="str">
            <v>12,873.2</v>
          </cell>
          <cell r="C8" t="str">
            <v>10,680.4</v>
          </cell>
          <cell r="D8" t="str">
            <v>9,195.1</v>
          </cell>
          <cell r="E8" t="str">
            <v>7,443.5</v>
          </cell>
          <cell r="F8" t="str">
            <v>4,805.0</v>
          </cell>
          <cell r="G8" t="str">
            <v>2,930.1</v>
          </cell>
          <cell r="H8" t="str">
            <v>4,458.2</v>
          </cell>
          <cell r="I8" t="str">
            <v>3,300.8</v>
          </cell>
          <cell r="J8" t="str">
            <v>3,606.1</v>
          </cell>
          <cell r="K8" t="str">
            <v>2,868.2</v>
          </cell>
          <cell r="L8" t="str">
            <v>2,286.7</v>
          </cell>
        </row>
        <row r="9">
          <cell r="A9" t="str">
            <v>% Change YoY</v>
          </cell>
          <cell r="B9">
            <v>0.20499999999999999</v>
          </cell>
          <cell r="C9">
            <v>0.161</v>
          </cell>
          <cell r="D9">
            <v>0.23499999999999999</v>
          </cell>
          <cell r="E9">
            <v>0.54899999999999993</v>
          </cell>
          <cell r="F9">
            <v>0.64</v>
          </cell>
          <cell r="G9">
            <v>-0.34299999999999997</v>
          </cell>
          <cell r="H9">
            <v>0.35100000000000003</v>
          </cell>
          <cell r="I9">
            <v>-8.5000000000000006E-2</v>
          </cell>
          <cell r="J9">
            <v>0.25700000000000001</v>
          </cell>
          <cell r="K9">
            <v>0.254</v>
          </cell>
          <cell r="L9">
            <v>0</v>
          </cell>
        </row>
        <row r="10">
          <cell r="A10" t="str">
            <v>% PAT Margin</v>
          </cell>
          <cell r="B10">
            <v>0.30099999999999999</v>
          </cell>
          <cell r="C10">
            <v>0.29899999999999999</v>
          </cell>
          <cell r="D10">
            <v>0.30299999999999999</v>
          </cell>
          <cell r="E10">
            <v>0.28899999999999998</v>
          </cell>
          <cell r="F10">
            <v>0.215</v>
          </cell>
          <cell r="G10">
            <v>0.14599999999999999</v>
          </cell>
          <cell r="H10">
            <v>0.23399999999999999</v>
          </cell>
          <cell r="I10">
            <v>0.22800000000000001</v>
          </cell>
          <cell r="J10">
            <v>0.29399999999999998</v>
          </cell>
          <cell r="K10">
            <v>0.28000000000000003</v>
          </cell>
          <cell r="L10">
            <v>0.29299999999999998</v>
          </cell>
        </row>
        <row r="11">
          <cell r="A11" t="str">
            <v>Diluted EPS</v>
          </cell>
          <cell r="B11">
            <v>166</v>
          </cell>
          <cell r="C11">
            <v>137.6</v>
          </cell>
          <cell r="D11">
            <v>118.4</v>
          </cell>
          <cell r="E11">
            <v>95.9</v>
          </cell>
          <cell r="F11">
            <v>62</v>
          </cell>
          <cell r="G11">
            <v>37.9</v>
          </cell>
          <cell r="H11">
            <v>64.3</v>
          </cell>
          <cell r="I11">
            <v>54.8</v>
          </cell>
          <cell r="J11">
            <v>60.1</v>
          </cell>
          <cell r="K11">
            <v>48</v>
          </cell>
          <cell r="L11">
            <v>38.4</v>
          </cell>
        </row>
        <row r="12">
          <cell r="A12" t="str">
            <v>% Change YoY</v>
          </cell>
          <cell r="B12">
            <v>0.20600000000000002</v>
          </cell>
          <cell r="C12">
            <v>0.16300000000000001</v>
          </cell>
          <cell r="D12">
            <v>0.23399999999999999</v>
          </cell>
          <cell r="E12">
            <v>0.54600000000000004</v>
          </cell>
          <cell r="F12">
            <v>0.63700000000000001</v>
          </cell>
          <cell r="G12">
            <v>-0.41</v>
          </cell>
          <cell r="H12">
            <v>0.17399999999999999</v>
          </cell>
          <cell r="I12">
            <v>-8.8000000000000009E-2</v>
          </cell>
          <cell r="J12">
            <v>0.253</v>
          </cell>
          <cell r="K12">
            <v>0.248</v>
          </cell>
          <cell r="L12">
            <v>0</v>
          </cell>
        </row>
        <row r="13">
          <cell r="A13" t="str">
            <v>Net Debt</v>
          </cell>
        </row>
        <row r="14">
          <cell r="A14" t="str">
            <v>% Change YoY</v>
          </cell>
        </row>
        <row r="15">
          <cell r="A15" t="str">
            <v>Net Debt/EBITDA</v>
          </cell>
        </row>
        <row r="16">
          <cell r="A16" t="str">
            <v>BVPS</v>
          </cell>
          <cell r="B16" t="str">
            <v>1,080.3</v>
          </cell>
          <cell r="C16">
            <v>929</v>
          </cell>
          <cell r="D16">
            <v>814.3</v>
          </cell>
          <cell r="E16">
            <v>704.5</v>
          </cell>
          <cell r="F16">
            <v>615.79999999999995</v>
          </cell>
          <cell r="G16">
            <v>558.4</v>
          </cell>
          <cell r="H16">
            <v>486.6</v>
          </cell>
          <cell r="I16">
            <v>437.2</v>
          </cell>
          <cell r="J16">
            <v>391</v>
          </cell>
          <cell r="K16">
            <v>338.7</v>
          </cell>
          <cell r="L16">
            <v>290.8</v>
          </cell>
        </row>
        <row r="17">
          <cell r="A17" t="str">
            <v>% Change YoY</v>
          </cell>
          <cell r="B17">
            <v>0.16300000000000001</v>
          </cell>
          <cell r="C17">
            <v>0.14099999999999999</v>
          </cell>
          <cell r="D17">
            <v>0.156</v>
          </cell>
          <cell r="E17">
            <v>0.14400000000000002</v>
          </cell>
          <cell r="F17">
            <v>0.10300000000000001</v>
          </cell>
          <cell r="G17">
            <v>0.14800000000000002</v>
          </cell>
          <cell r="H17">
            <v>0.113</v>
          </cell>
          <cell r="I17">
            <v>0.11800000000000001</v>
          </cell>
          <cell r="J17">
            <v>0.154</v>
          </cell>
          <cell r="K17">
            <v>0.16500000000000001</v>
          </cell>
          <cell r="L17">
            <v>0</v>
          </cell>
        </row>
      </sheetData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goindiastocks.com/GIA/stockDashboard?Fincode=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D7D1-AEF8-4249-99B9-6E5BE993BD25}">
  <sheetPr codeName="Sheet1"/>
  <dimension ref="A1:R17"/>
  <sheetViews>
    <sheetView zoomScale="80" zoomScaleNormal="80" workbookViewId="0">
      <selection activeCell="N64" sqref="N64"/>
    </sheetView>
  </sheetViews>
  <sheetFormatPr defaultColWidth="10.85546875" defaultRowHeight="15"/>
  <cols>
    <col min="1" max="1" width="13.42578125" bestFit="1" customWidth="1"/>
    <col min="2" max="8" width="9" customWidth="1"/>
    <col min="9" max="9" width="7.85546875" bestFit="1" customWidth="1"/>
    <col min="10" max="11" width="9.140625" customWidth="1"/>
    <col min="14" max="14" width="17.42578125" customWidth="1"/>
    <col min="15" max="15" width="11.85546875" bestFit="1" customWidth="1"/>
    <col min="16" max="16" width="12.42578125" bestFit="1" customWidth="1"/>
  </cols>
  <sheetData>
    <row r="1" spans="1:18" ht="24.95" customHeight="1" thickBot="1">
      <c r="A1" s="368"/>
      <c r="B1" s="369"/>
      <c r="C1" s="421" t="str">
        <f>Financial!A2</f>
      </c>
      <c r="D1" s="421"/>
      <c r="E1" s="421"/>
      <c r="F1" s="421"/>
      <c r="G1" s="421"/>
      <c r="H1" s="421"/>
      <c r="I1" s="421"/>
      <c r="J1" s="421"/>
      <c r="K1" s="422"/>
    </row>
    <row r="2" spans="1:18">
      <c r="A2" s="370" t="s">
        <v>223</v>
      </c>
      <c r="B2" s="371">
        <f>Financial!I3</f>
      </c>
      <c r="C2" s="364">
        <f>Financial!J3</f>
      </c>
      <c r="D2" s="364">
        <f>Financial!K3</f>
      </c>
      <c r="E2" s="364">
        <f>Financial!L3</f>
      </c>
      <c r="F2" s="364" t="str">
        <f>CONCATENATE(TEXT(Financial!M3,"MMM-YY")," e")</f>
      </c>
      <c r="G2" s="364" t="str">
        <f>CONCATENATE(TEXT(Financial!N3,"MMM-YY")," e")</f>
      </c>
      <c r="H2" s="365" t="str">
        <f>CONCATENATE(TEXT(Financial!O3,"MMM-YY")," e")</f>
      </c>
      <c r="I2" s="366" t="str">
        <f>CONCATENATE(TEXT(B2,"YY"),"-",TEXT(E2,"YY"),"       3Y CAGR")</f>
      </c>
      <c r="J2" s="367" t="str">
        <f>CONCATENATE(TEXT(E2,"YY"),"-",MID(TRIM(G2), 5, 2),"          2Y CAGR")</f>
      </c>
      <c r="K2" s="367" t="str">
        <f>CONCATENATE(TEXT(E2,"YY"),"-",MID(TRIM(H2), 5, 2),"          3Y CAGR")</f>
      </c>
      <c r="N2" s="371" t="s">
        <v>5152</v>
      </c>
      <c r="O2" s="371" t="s">
        <v>5141</v>
      </c>
      <c r="P2" s="371" t="s">
        <v>5142</v>
      </c>
      <c r="Q2" s="371" t="s">
        <v>5143</v>
      </c>
      <c r="R2" s="371" t="s">
        <v>5144</v>
      </c>
    </row>
    <row r="3" spans="1:18" ht="15.75" thickBot="1">
      <c r="A3" s="105" t="s">
        <v>213</v>
      </c>
      <c r="B3" s="135">
        <f>Financial!I9</f>
      </c>
      <c r="C3" s="132">
        <f>Financial!J9</f>
      </c>
      <c r="D3" s="132">
        <f>Financial!K9</f>
      </c>
      <c r="E3" s="132">
        <f>Financial!L9</f>
      </c>
      <c r="F3" s="132">
        <f>Financial!M9</f>
      </c>
      <c r="G3" s="132">
        <f>Financial!N9</f>
      </c>
      <c r="H3" s="136">
        <f>Financial!O9</f>
      </c>
      <c r="I3" s="87">
        <f>(E3/B3)^(1/3)-1</f>
      </c>
      <c r="J3" s="83">
        <f>(G3/E3)^(1/2)-1</f>
      </c>
      <c r="K3" s="83">
        <f>(H3/E3)^(1/3)-1</f>
      </c>
      <c r="N3" s="390" t="s">
        <v>5145</v>
      </c>
      <c r="O3" s="391">
        <f>D3</f>
      </c>
      <c r="P3" s="391">
        <f t="shared" ref="P3:R3" si="0">E3</f>
      </c>
      <c r="Q3" s="391">
        <f t="shared" si="0"/>
      </c>
      <c r="R3" s="391">
        <f t="shared" si="0"/>
      </c>
    </row>
    <row r="4" spans="1:18" ht="15.75" thickBot="1">
      <c r="A4" s="105" t="s">
        <v>68</v>
      </c>
      <c r="B4" s="135">
        <f>Financial!I13</f>
      </c>
      <c r="C4" s="132">
        <f>Financial!J13</f>
      </c>
      <c r="D4" s="132">
        <f>Financial!K13</f>
      </c>
      <c r="E4" s="132">
        <f>Financial!L13</f>
      </c>
      <c r="F4" s="132">
        <f>Financial!M13</f>
      </c>
      <c r="G4" s="132">
        <f>Financial!N13</f>
      </c>
      <c r="H4" s="136">
        <f>Financial!O13</f>
      </c>
      <c r="I4" s="87">
        <f>(E4/B4)^(1/3)-1</f>
      </c>
      <c r="J4" s="83">
        <f>(G4/E4)^(1/2)-1</f>
      </c>
      <c r="K4" s="83">
        <f>(H4/E4)^(1/3)-1</f>
      </c>
      <c r="N4" s="390" t="s">
        <v>5155</v>
      </c>
      <c r="O4" s="398">
        <f>(O3-C3)/C3</f>
      </c>
      <c r="P4" s="398">
        <f>(P3-O3)/O3</f>
      </c>
      <c r="Q4" s="398">
        <f t="shared" ref="Q4:R4" si="1">(Q3-P3)/P3</f>
      </c>
      <c r="R4" s="398">
        <f t="shared" si="1"/>
      </c>
    </row>
    <row r="5" spans="1:18" ht="15.75" thickBot="1">
      <c r="A5" s="105" t="s">
        <v>215</v>
      </c>
      <c r="B5" s="108">
        <f>Financial!I27</f>
      </c>
      <c r="C5" s="87">
        <f>Financial!J27</f>
      </c>
      <c r="D5" s="87">
        <f>Financial!K27</f>
      </c>
      <c r="E5" s="87">
        <f>Financial!L27</f>
      </c>
      <c r="F5" s="87">
        <f>Financial!M27</f>
      </c>
      <c r="G5" s="87">
        <f>Financial!N27</f>
      </c>
      <c r="H5" s="83">
        <f>Financial!O27</f>
      </c>
      <c r="I5" s="87"/>
      <c r="J5" s="83"/>
      <c r="K5" s="83"/>
      <c r="N5" s="390" t="s">
        <v>68</v>
      </c>
      <c r="O5" s="391">
        <f t="shared" ref="O5:R7" si="2">D4</f>
      </c>
      <c r="P5" s="391">
        <f t="shared" si="2"/>
      </c>
      <c r="Q5" s="391">
        <f t="shared" si="2"/>
      </c>
      <c r="R5" s="391">
        <f t="shared" si="2"/>
      </c>
    </row>
    <row r="6" spans="1:18" ht="14.45" customHeight="1">
      <c r="A6" s="105" t="s">
        <v>69</v>
      </c>
      <c r="B6" s="135">
        <f>Financial!I20</f>
      </c>
      <c r="C6" s="132">
        <f>Financial!J20</f>
      </c>
      <c r="D6" s="132">
        <f>Financial!K20</f>
      </c>
      <c r="E6" s="132">
        <f>Financial!L20</f>
      </c>
      <c r="F6" s="132">
        <f>Financial!M20</f>
      </c>
      <c r="G6" s="132">
        <f>Financial!N20</f>
      </c>
      <c r="H6" s="136">
        <f>Financial!O20</f>
      </c>
      <c r="I6" s="87">
        <f>(E6/B6)^(1/3)-1</f>
      </c>
      <c r="J6" s="83" t="e">
        <f>(G6/E6)^(1/2)-1</f>
      </c>
      <c r="K6" s="83">
        <f>(H6/E6)^(1/3)-1</f>
      </c>
      <c r="N6" s="392" t="s">
        <v>5146</v>
      </c>
      <c r="O6" s="393">
        <f t="shared" si="2"/>
      </c>
      <c r="P6" s="393">
        <f t="shared" si="2"/>
      </c>
      <c r="Q6" s="393">
        <f t="shared" si="2"/>
      </c>
      <c r="R6" s="393">
        <f t="shared" si="2"/>
      </c>
    </row>
    <row r="7" spans="1:18" ht="15.75" thickBot="1">
      <c r="A7" s="105" t="s">
        <v>216</v>
      </c>
      <c r="B7" s="108">
        <f>Financial!I31</f>
      </c>
      <c r="C7" s="87">
        <f>Financial!J31</f>
      </c>
      <c r="D7" s="87">
        <f>Financial!K31</f>
      </c>
      <c r="E7" s="87">
        <f>Financial!L31</f>
      </c>
      <c r="F7" s="87">
        <f>Financial!M31</f>
      </c>
      <c r="G7" s="87">
        <f>Financial!N31</f>
      </c>
      <c r="H7" s="83">
        <f>Financial!O31</f>
      </c>
      <c r="I7" s="87"/>
      <c r="J7" s="83"/>
      <c r="K7" s="83"/>
      <c r="N7" s="390" t="s">
        <v>5147</v>
      </c>
      <c r="O7" s="391">
        <f t="shared" si="2"/>
      </c>
      <c r="P7" s="391">
        <f t="shared" si="2"/>
      </c>
      <c r="Q7" s="391">
        <f t="shared" si="2"/>
      </c>
      <c r="R7" s="391">
        <f t="shared" si="2"/>
      </c>
    </row>
    <row r="8" spans="1:18" ht="15.75" thickBot="1">
      <c r="A8" s="105" t="s">
        <v>40</v>
      </c>
      <c r="B8" s="106">
        <f>Financial!I22</f>
      </c>
      <c r="C8" s="96">
        <f>Financial!J22</f>
      </c>
      <c r="D8" s="96">
        <f>Financial!K22</f>
      </c>
      <c r="E8" s="96">
        <f>Financial!L22</f>
      </c>
      <c r="F8" s="96">
        <f>Financial!M22</f>
      </c>
      <c r="G8" s="96">
        <f>Financial!N22</f>
      </c>
      <c r="H8" s="110">
        <f>Financial!O22</f>
      </c>
      <c r="I8" s="87">
        <f>(E8/B8)^(1/3)-1</f>
      </c>
      <c r="J8" s="83" t="e">
        <f>(G8/E8)^(1/2)-1</f>
      </c>
      <c r="K8" s="83">
        <f>(H8/E8)^(1/3)-1</f>
      </c>
      <c r="N8" s="390" t="s">
        <v>5148</v>
      </c>
      <c r="O8" s="394">
        <f>D8</f>
      </c>
      <c r="P8" s="394">
        <f>E8</f>
      </c>
      <c r="Q8" s="394">
        <f>F8</f>
      </c>
      <c r="R8" s="394">
        <f>G8</f>
      </c>
    </row>
    <row r="9" spans="1:18" ht="15.75" thickBot="1">
      <c r="A9" s="105" t="s">
        <v>217</v>
      </c>
      <c r="B9" s="106">
        <f>Financial!I86</f>
      </c>
      <c r="C9" s="96">
        <f>Financial!J86</f>
      </c>
      <c r="D9" s="96">
        <f>Financial!K86</f>
      </c>
      <c r="E9" s="96">
        <f>Financial!L86</f>
      </c>
      <c r="F9" s="96">
        <f>Financial!M86</f>
      </c>
      <c r="G9" s="96">
        <f>Financial!N86</f>
      </c>
      <c r="H9" s="110">
        <f>Financial!O86</f>
      </c>
      <c r="I9" s="87">
        <f>(E9/B9)^(1/3)-1</f>
      </c>
      <c r="J9" s="83">
        <f>(G9/E9)^(1/2)-1</f>
      </c>
      <c r="K9" s="83">
        <f>(H9/E9)^(1/3)-1</f>
      </c>
      <c r="N9" s="392" t="s">
        <v>5149</v>
      </c>
      <c r="O9" s="395">
        <f>(O8-C8)/C8</f>
      </c>
      <c r="P9" s="396">
        <f>(P8-O8)/O8</f>
      </c>
      <c r="Q9" s="396">
        <f t="shared" ref="Q9:R9" si="3">(Q8-P8)/P8</f>
      </c>
      <c r="R9" s="396">
        <f t="shared" si="3"/>
      </c>
    </row>
    <row r="10" spans="1:18" ht="15.75" thickBot="1">
      <c r="A10" s="133" t="s">
        <v>221</v>
      </c>
      <c r="B10" s="137">
        <f>'Data Sheet'!$B$8/Summary!B8</f>
      </c>
      <c r="C10" s="134">
        <f>'Data Sheet'!$B$8/Summary!C8</f>
      </c>
      <c r="D10" s="134">
        <f>'Data Sheet'!$B$8/Summary!D8</f>
      </c>
      <c r="E10" s="134">
        <f>'Data Sheet'!$B$8/Summary!E8</f>
      </c>
      <c r="F10" s="134">
        <f>'Data Sheet'!$B$8/Summary!F8</f>
      </c>
      <c r="G10" s="134">
        <f>'Data Sheet'!$B$8/Summary!G8</f>
      </c>
      <c r="H10" s="138">
        <f>'Data Sheet'!$B$8/Summary!H8</f>
      </c>
      <c r="I10" s="101"/>
      <c r="J10" s="74"/>
      <c r="K10" s="74"/>
      <c r="N10" s="390" t="s">
        <v>5150</v>
      </c>
      <c r="O10" s="394">
        <f>D10</f>
      </c>
      <c r="P10" s="394">
        <f>E10</f>
      </c>
      <c r="Q10" s="394">
        <f>F10</f>
      </c>
      <c r="R10" s="394">
        <f>G10</f>
      </c>
    </row>
    <row r="11" spans="1:18" ht="15.75" thickBot="1">
      <c r="A11" s="105" t="s">
        <v>222</v>
      </c>
      <c r="B11" s="106">
        <f>'Data Sheet'!$B$8/Summary!B9</f>
      </c>
      <c r="C11" s="96">
        <f>'Data Sheet'!$B$8/Summary!C9</f>
      </c>
      <c r="D11" s="96">
        <f>'Data Sheet'!$B$8/Summary!D9</f>
      </c>
      <c r="E11" s="96">
        <f>'Data Sheet'!$B$8/Summary!E9</f>
      </c>
      <c r="F11" s="96">
        <f>'Data Sheet'!$B$8/Summary!F9</f>
      </c>
      <c r="G11" s="96">
        <f>'Data Sheet'!$B$8/Summary!G9</f>
      </c>
      <c r="H11" s="110">
        <f>'Data Sheet'!$B$8/Summary!H9</f>
      </c>
      <c r="I11" s="87"/>
      <c r="J11" s="83"/>
      <c r="K11" s="83"/>
      <c r="N11" s="390" t="s">
        <v>5151</v>
      </c>
      <c r="O11" s="394">
        <f>D12</f>
      </c>
      <c r="P11" s="394">
        <f>E12</f>
      </c>
      <c r="Q11" s="394">
        <f>F12</f>
      </c>
      <c r="R11" s="394">
        <f>G12</f>
      </c>
    </row>
    <row r="12" spans="1:18" ht="15.75" thickBot="1">
      <c r="A12" s="120" t="s">
        <v>108</v>
      </c>
      <c r="B12" s="113">
        <f>Financial!I95</f>
      </c>
      <c r="C12" s="16">
        <f>Financial!J95</f>
      </c>
      <c r="D12" s="16">
        <f>Financial!K95</f>
      </c>
      <c r="E12" s="16">
        <f>Financial!L95</f>
      </c>
      <c r="F12" s="16">
        <f>Financial!M95</f>
      </c>
      <c r="G12" s="16">
        <f>Financial!N95</f>
      </c>
      <c r="H12" s="114">
        <f>Financial!O95</f>
      </c>
      <c r="I12" s="103"/>
      <c r="J12" s="84"/>
      <c r="K12" s="84"/>
      <c r="N12" s="390" t="s">
        <v>5153</v>
      </c>
      <c r="O12" s="394">
        <f>D11</f>
      </c>
      <c r="P12" s="394">
        <f>E11</f>
      </c>
      <c r="Q12" s="394">
        <f>F11</f>
      </c>
      <c r="R12" s="394">
        <f>G11</f>
      </c>
    </row>
    <row r="13" spans="1:18" ht="15.75" thickBot="1">
      <c r="A13" s="105" t="s">
        <v>218</v>
      </c>
      <c r="B13" s="112">
        <f>Financial!I79</f>
      </c>
      <c r="C13" s="99">
        <f>Financial!J79</f>
      </c>
      <c r="D13" s="99">
        <f>Financial!K79</f>
      </c>
      <c r="E13" s="99">
        <f>Financial!L79</f>
      </c>
      <c r="F13" s="99">
        <f>Financial!M79</f>
      </c>
      <c r="G13" s="99">
        <f>Financial!N79</f>
      </c>
      <c r="H13" s="98">
        <f>Financial!O79</f>
      </c>
      <c r="I13" s="87"/>
      <c r="J13" s="83"/>
      <c r="K13" s="83"/>
      <c r="N13" s="390" t="s">
        <v>5154</v>
      </c>
      <c r="O13" s="394">
        <f>D9</f>
      </c>
      <c r="P13" s="394">
        <f>E9</f>
      </c>
      <c r="Q13" s="394">
        <f>F9</f>
      </c>
      <c r="R13" s="394">
        <f>G9</f>
      </c>
    </row>
    <row r="14" spans="1:18">
      <c r="A14" s="105" t="s">
        <v>219</v>
      </c>
      <c r="B14" s="112">
        <f>Financial!I80</f>
      </c>
      <c r="C14" s="99">
        <f>Financial!J80</f>
      </c>
      <c r="D14" s="99">
        <f>Financial!K80</f>
      </c>
      <c r="E14" s="99">
        <f>Financial!L80</f>
      </c>
      <c r="F14" s="99">
        <f>Financial!M80</f>
      </c>
      <c r="G14" s="99">
        <f>Financial!N80</f>
      </c>
      <c r="H14" s="98">
        <f>Financial!O80</f>
      </c>
      <c r="I14" s="87"/>
      <c r="J14" s="83"/>
      <c r="K14" s="83"/>
      <c r="N14" s="397" t="s">
        <v>76</v>
      </c>
      <c r="O14" s="99">
        <f t="shared" ref="O14:R15" si="4">D13</f>
      </c>
      <c r="P14" s="99">
        <f t="shared" si="4"/>
      </c>
      <c r="Q14" s="99">
        <f t="shared" si="4"/>
      </c>
      <c r="R14" s="99">
        <f t="shared" si="4"/>
      </c>
    </row>
    <row r="15" spans="1:18">
      <c r="A15" s="105" t="s">
        <v>220</v>
      </c>
      <c r="B15" s="112">
        <f>Financial!I81</f>
      </c>
      <c r="C15" s="99">
        <f>Financial!J81</f>
      </c>
      <c r="D15" s="99">
        <f>Financial!K81</f>
      </c>
      <c r="E15" s="99">
        <f>Financial!L81</f>
      </c>
      <c r="F15" s="99">
        <f>Financial!M81</f>
      </c>
      <c r="G15" s="99">
        <f>Financial!N81</f>
      </c>
      <c r="H15" s="98">
        <f>Financial!O81</f>
      </c>
      <c r="I15" s="87"/>
      <c r="J15" s="83"/>
      <c r="K15" s="83"/>
      <c r="N15" s="397" t="s">
        <v>77</v>
      </c>
      <c r="O15" s="99">
        <f t="shared" si="4"/>
      </c>
      <c r="P15" s="99">
        <f t="shared" si="4"/>
      </c>
      <c r="Q15" s="99">
        <f t="shared" si="4"/>
      </c>
      <c r="R15" s="99">
        <f t="shared" si="4"/>
      </c>
    </row>
    <row r="16" spans="1:18">
      <c r="A16" s="105" t="s">
        <v>224</v>
      </c>
      <c r="B16" s="112">
        <f>Financial!I71</f>
      </c>
      <c r="C16" s="99">
        <f>Financial!J71</f>
      </c>
      <c r="D16" s="99">
        <f>Financial!K71</f>
      </c>
      <c r="E16" s="99">
        <f>Financial!L71</f>
      </c>
      <c r="F16" s="99">
        <f>Financial!M71</f>
      </c>
      <c r="G16" s="99">
        <f>Financial!N71</f>
      </c>
      <c r="H16" s="98">
        <f>Financial!O71</f>
      </c>
      <c r="I16" s="87"/>
      <c r="J16" s="83"/>
      <c r="K16" s="83"/>
    </row>
    <row r="17" spans="1:11" ht="15.75" thickBot="1">
      <c r="A17" s="120" t="s">
        <v>225</v>
      </c>
      <c r="B17" s="139">
        <f>Financial!I73</f>
      </c>
      <c r="C17" s="104">
        <f>Financial!J73</f>
      </c>
      <c r="D17" s="104">
        <f>Financial!K73</f>
      </c>
      <c r="E17" s="104">
        <f>Financial!L73</f>
      </c>
      <c r="F17" s="104">
        <f>Financial!M73</f>
      </c>
      <c r="G17" s="104">
        <f>Financial!N73</f>
      </c>
      <c r="H17" s="140">
        <f>Financial!O73</f>
      </c>
      <c r="I17" s="103"/>
      <c r="J17" s="84"/>
      <c r="K17" s="84"/>
    </row>
  </sheetData>
  <sheetProtection selectLockedCells="1"/>
  <mergeCells count="1">
    <mergeCell ref="C1:K1"/>
  </mergeCells>
  <phoneticPr fontId="1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63854-AA7B-4131-BEDC-CC87A5BE622F}">
  <sheetPr codeName="Sheet2"/>
  <dimension ref="A1:W24"/>
  <sheetViews>
    <sheetView topLeftCell="B2" zoomScale="200" zoomScaleNormal="200" workbookViewId="0">
      <selection activeCell="R24" sqref="R24"/>
    </sheetView>
  </sheetViews>
  <sheetFormatPr defaultColWidth="8.85546875" defaultRowHeight="15"/>
  <cols>
    <col min="1" max="1" width="18.7109375" customWidth="1"/>
    <col min="2" max="2" width="8.140625" customWidth="1"/>
    <col min="3" max="3" width="9.140625" bestFit="1" customWidth="1"/>
    <col min="4" max="5" width="9.28515625" bestFit="1" customWidth="1"/>
    <col min="6" max="13" width="10" bestFit="1" customWidth="1"/>
    <col min="14" max="14" width="13.7109375" bestFit="1" customWidth="1"/>
    <col min="15" max="15" width="10.140625" bestFit="1" customWidth="1"/>
    <col min="16" max="16" width="10" bestFit="1" customWidth="1"/>
    <col min="17" max="17" width="12.7109375" bestFit="1" customWidth="1"/>
    <col min="18" max="18" width="9" bestFit="1" customWidth="1"/>
    <col min="19" max="19" width="10" bestFit="1" customWidth="1"/>
    <col min="20" max="20" width="10.42578125" bestFit="1" customWidth="1"/>
    <col min="21" max="22" width="6.7109375" bestFit="1" customWidth="1"/>
    <col min="23" max="23" width="8.140625" bestFit="1" customWidth="1"/>
    <col min="24" max="24" width="5.42578125" bestFit="1" customWidth="1"/>
    <col min="25" max="25" width="7" bestFit="1" customWidth="1"/>
  </cols>
  <sheetData>
    <row r="1" spans="1:20" ht="42.95" customHeight="1" thickBot="1">
      <c r="A1" s="423" t="str">
        <f>Financial!A2</f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5"/>
    </row>
    <row r="2" spans="1:20">
      <c r="A2" s="56" t="s">
        <v>195</v>
      </c>
      <c r="B2" s="432" t="s">
        <v>185</v>
      </c>
      <c r="C2" s="433"/>
      <c r="D2" s="433"/>
      <c r="E2" s="434"/>
      <c r="F2" s="42" t="s">
        <v>183</v>
      </c>
      <c r="G2" s="49">
        <v>0</v>
      </c>
      <c r="H2" s="50">
        <f>G2+1</f>
      </c>
      <c r="I2" s="50">
        <f t="shared" ref="I2:Q2" si="0">H2+1</f>
      </c>
      <c r="J2" s="50">
        <f t="shared" si="0"/>
      </c>
      <c r="K2" s="50">
        <f t="shared" si="0"/>
      </c>
      <c r="L2" s="50">
        <f t="shared" si="0"/>
      </c>
      <c r="M2" s="50">
        <f t="shared" si="0"/>
      </c>
      <c r="N2" s="50">
        <f t="shared" si="0"/>
      </c>
      <c r="O2" s="50">
        <f t="shared" si="0"/>
      </c>
      <c r="P2" s="50">
        <f t="shared" si="0"/>
      </c>
      <c r="Q2" s="50">
        <f t="shared" si="0"/>
      </c>
      <c r="S2" s="115" t="s">
        <v>197</v>
      </c>
      <c r="T2" s="115" t="s">
        <v>198</v>
      </c>
    </row>
    <row r="3" spans="1:20">
      <c r="A3" s="57" t="s">
        <v>177</v>
      </c>
      <c r="B3" s="30" t="s">
        <v>180</v>
      </c>
      <c r="C3" s="19" t="s">
        <v>181</v>
      </c>
      <c r="D3" s="19" t="s">
        <v>184</v>
      </c>
      <c r="E3" s="36" t="s">
        <v>182</v>
      </c>
      <c r="F3" s="43" t="s">
        <v>184</v>
      </c>
      <c r="G3" s="30" t="s">
        <v>152</v>
      </c>
      <c r="H3" s="19" t="s">
        <v>153</v>
      </c>
      <c r="I3" s="19" t="s">
        <v>154</v>
      </c>
      <c r="J3" s="19" t="s">
        <v>155</v>
      </c>
      <c r="K3" s="19" t="s">
        <v>156</v>
      </c>
      <c r="L3" s="19" t="s">
        <v>157</v>
      </c>
      <c r="M3" s="19" t="s">
        <v>158</v>
      </c>
      <c r="N3" s="19" t="s">
        <v>159</v>
      </c>
      <c r="O3" s="19" t="s">
        <v>160</v>
      </c>
      <c r="P3" s="19" t="s">
        <v>161</v>
      </c>
      <c r="Q3" s="19" t="s">
        <v>162</v>
      </c>
    </row>
    <row r="4" spans="1:20">
      <c r="A4" s="58" t="s">
        <v>163</v>
      </c>
      <c r="B4" s="31">
        <f>MAX(Financial!D9:L9)</f>
      </c>
      <c r="C4" s="20">
        <f>MIN(Financial!D9:L9)</f>
      </c>
      <c r="D4" s="20">
        <f>AVERAGE(Financial!D9:L9)</f>
      </c>
      <c r="E4" s="37">
        <f>MEDIAN(Financial!D9:L9)</f>
      </c>
      <c r="F4" s="44">
        <f>AVERAGE(Financial!J9:L9)</f>
      </c>
      <c r="G4" s="51">
        <f>Financial!M9</f>
      </c>
      <c r="H4" s="21">
        <f>Financial!N9</f>
      </c>
      <c r="I4" s="21">
        <f>Financial!O9</f>
      </c>
      <c r="J4" s="21">
        <f>+I4*(1+J5)</f>
      </c>
      <c r="K4" s="21">
        <f>+J4*(1+K5)</f>
      </c>
      <c r="L4" s="21">
        <f>+K4*(1+L5)</f>
      </c>
      <c r="M4" s="21">
        <f t="shared" ref="M4:Q4" si="1">+L4*(1+M5)</f>
      </c>
      <c r="N4" s="21">
        <f t="shared" si="1"/>
      </c>
      <c r="O4" s="21">
        <f t="shared" si="1"/>
      </c>
      <c r="P4" s="21">
        <f t="shared" si="1"/>
      </c>
      <c r="Q4" s="21">
        <f t="shared" si="1"/>
      </c>
      <c r="S4" s="128">
        <v>0.66</v>
      </c>
      <c r="T4" s="128">
        <v>0.66</v>
      </c>
    </row>
    <row r="5" spans="1:20">
      <c r="A5" s="59" t="s">
        <v>164</v>
      </c>
      <c r="B5" s="32" t="e">
        <f>MAX(Financial!D35:L35)</f>
      </c>
      <c r="C5" s="22" t="e">
        <f>MIN(Financial!D35:L35)</f>
      </c>
      <c r="D5" s="22" t="e">
        <f>AVERAGE(Financial!D35:L35)</f>
      </c>
      <c r="E5" s="38" t="e">
        <f>MEDIAN(Financial!D35:L35)</f>
      </c>
      <c r="F5" s="45">
        <f>AVERAGE(Financial!J35:L35)</f>
      </c>
      <c r="G5" s="52"/>
      <c r="H5" s="23">
        <f>+H4/G4-1</f>
      </c>
      <c r="I5" s="23">
        <f t="shared" ref="I5" si="2">+I4/H4-1</f>
      </c>
      <c r="J5" s="129">
        <f>I5</f>
      </c>
      <c r="K5" s="129">
        <f>S5</f>
      </c>
      <c r="L5" s="129">
        <f>+K5</f>
      </c>
      <c r="M5" s="129">
        <f t="shared" ref="M5:Q5" si="3">+L5</f>
      </c>
      <c r="N5" s="129">
        <f t="shared" si="3"/>
      </c>
      <c r="O5" s="129">
        <f>T5</f>
      </c>
      <c r="P5" s="129">
        <f t="shared" si="3"/>
      </c>
      <c r="Q5" s="129">
        <f t="shared" si="3"/>
      </c>
      <c r="S5" s="129">
        <f>J5*S4</f>
      </c>
      <c r="T5" s="129">
        <f>S5*T4</f>
      </c>
    </row>
    <row r="6" spans="1:20">
      <c r="A6" s="58" t="s">
        <v>68</v>
      </c>
      <c r="B6" s="31">
        <f>MAX(Financial!D13:L13)</f>
      </c>
      <c r="C6" s="20">
        <f>MIN(Financial!D13:L13)</f>
      </c>
      <c r="D6" s="20">
        <f>AVERAGE(Financial!D13:L13)</f>
      </c>
      <c r="E6" s="37">
        <f>MEDIAN(Financial!D13:L13)</f>
      </c>
      <c r="F6" s="46">
        <f>AVERAGE(Financial!J13:L13)</f>
      </c>
      <c r="G6" s="51">
        <f>Financial!M13</f>
      </c>
      <c r="H6" s="21">
        <f>Financial!N13</f>
      </c>
      <c r="I6" s="21">
        <f>Financial!O13</f>
      </c>
      <c r="J6" s="21">
        <f>+J7*J4</f>
      </c>
      <c r="K6" s="21">
        <f>+K7*K4</f>
      </c>
      <c r="L6" s="21">
        <f t="shared" ref="L6:Q6" si="4">+L7*L4</f>
      </c>
      <c r="M6" s="21">
        <f t="shared" si="4"/>
      </c>
      <c r="N6" s="21">
        <f t="shared" si="4"/>
      </c>
      <c r="O6" s="21">
        <f t="shared" si="4"/>
      </c>
      <c r="P6" s="21">
        <f t="shared" si="4"/>
      </c>
      <c r="Q6" s="21">
        <f t="shared" si="4"/>
      </c>
      <c r="S6" s="128">
        <v>0.9</v>
      </c>
      <c r="T6" s="128">
        <v>0.9</v>
      </c>
    </row>
    <row r="7" spans="1:20">
      <c r="A7" s="60" t="s">
        <v>165</v>
      </c>
      <c r="B7" s="33" t="e">
        <f>MAX(Financial!C27:L27)</f>
      </c>
      <c r="C7" s="25" t="e">
        <f>MIN(Financial!C27:L27)</f>
      </c>
      <c r="D7" s="25" t="e">
        <f>AVERAGE(Financial!C27:L27)</f>
      </c>
      <c r="E7" s="39" t="e">
        <f>MEDIAN(Financial!C27:L27)</f>
      </c>
      <c r="F7" s="47">
        <f>AVERAGE(Financial!J27:L27)</f>
      </c>
      <c r="G7" s="53">
        <f>+G6/G4</f>
      </c>
      <c r="H7" s="26">
        <f t="shared" ref="H7:I7" si="5">+H6/H4</f>
      </c>
      <c r="I7" s="26">
        <f t="shared" si="5"/>
      </c>
      <c r="J7" s="130">
        <f>I7</f>
      </c>
      <c r="K7" s="130">
        <f>S7</f>
      </c>
      <c r="L7" s="130">
        <f t="shared" ref="L7:Q7" si="6">+K7</f>
      </c>
      <c r="M7" s="130">
        <f t="shared" si="6"/>
      </c>
      <c r="N7" s="130">
        <f t="shared" si="6"/>
      </c>
      <c r="O7" s="130">
        <f>T7</f>
      </c>
      <c r="P7" s="130">
        <f t="shared" si="6"/>
      </c>
      <c r="Q7" s="130">
        <f t="shared" si="6"/>
      </c>
      <c r="S7" s="130">
        <f>J7*S6</f>
      </c>
      <c r="T7" s="131">
        <f>S7*T6</f>
      </c>
    </row>
    <row r="8" spans="1:20">
      <c r="A8" s="58" t="s">
        <v>166</v>
      </c>
      <c r="B8" s="32" t="e">
        <f>MAX(Financial!C73:L73)</f>
      </c>
      <c r="C8" s="22" t="e">
        <f>MIN(Financial!C73:L73)</f>
      </c>
      <c r="D8" s="22" t="e">
        <f>AVERAGE(Financial!C73:L73)</f>
      </c>
      <c r="E8" s="38" t="e">
        <f>MEDIAN(Financial!C73:L73)</f>
      </c>
      <c r="F8" s="45">
        <f>AVERAGE(Financial!J73:L73)</f>
      </c>
      <c r="G8" s="54">
        <f>Financial!M73</f>
      </c>
      <c r="H8" s="27">
        <f>Financial!N73</f>
      </c>
      <c r="I8" s="27">
        <f>Financial!O73</f>
      </c>
      <c r="J8" s="27">
        <f>I8</f>
      </c>
      <c r="K8" s="27">
        <f t="shared" ref="K8" si="7">+J8</f>
      </c>
      <c r="L8" s="27">
        <f t="shared" ref="L8" si="8">+K8</f>
      </c>
      <c r="M8" s="27">
        <f t="shared" ref="M8" si="9">+L8</f>
      </c>
      <c r="N8" s="27">
        <f t="shared" ref="N8" si="10">+M8</f>
      </c>
      <c r="O8" s="27">
        <f t="shared" ref="O8" si="11">+N8</f>
      </c>
      <c r="P8" s="27">
        <f t="shared" ref="P8" si="12">+O8</f>
      </c>
      <c r="Q8" s="27">
        <f t="shared" ref="Q8" si="13">+P8</f>
      </c>
    </row>
    <row r="9" spans="1:20">
      <c r="A9" s="58" t="s">
        <v>143</v>
      </c>
      <c r="B9" s="34">
        <f>MAX(Financial!C64:L64)</f>
      </c>
      <c r="C9" s="24">
        <f>MIN(Financial!C64:L64)</f>
      </c>
      <c r="D9" s="24">
        <f>AVERAGE(Financial!C64:L64)</f>
      </c>
      <c r="E9" s="40">
        <f>MEDIAN(Financial!C64:L64)</f>
      </c>
      <c r="F9" s="46">
        <f>AVERAGE(Financial!J64:L64)</f>
      </c>
      <c r="G9" s="51">
        <f>+G8*G6</f>
      </c>
      <c r="H9" s="21">
        <f t="shared" ref="H9:Q9" si="14">+H8*H6</f>
      </c>
      <c r="I9" s="21">
        <f t="shared" si="14"/>
      </c>
      <c r="J9" s="21">
        <f t="shared" si="14"/>
      </c>
      <c r="K9" s="21">
        <f t="shared" si="14"/>
      </c>
      <c r="L9" s="21">
        <f t="shared" si="14"/>
      </c>
      <c r="M9" s="21">
        <f t="shared" si="14"/>
      </c>
      <c r="N9" s="21">
        <f t="shared" si="14"/>
      </c>
      <c r="O9" s="21">
        <f t="shared" si="14"/>
      </c>
      <c r="P9" s="21">
        <f t="shared" si="14"/>
      </c>
      <c r="Q9" s="21">
        <f t="shared" si="14"/>
      </c>
    </row>
    <row r="10" spans="1:20">
      <c r="A10" s="58" t="s">
        <v>167</v>
      </c>
      <c r="B10" s="35" t="e">
        <f>MAX(Financial!C72:L72)</f>
      </c>
      <c r="C10" s="28" t="e">
        <f>MIN(Financial!C72:L72)</f>
      </c>
      <c r="D10" s="28" t="e">
        <f>AVERAGE(Financial!C72:L72)</f>
      </c>
      <c r="E10" s="41" t="e">
        <f>MEDIAN(Financial!C72:L72)</f>
      </c>
      <c r="F10" s="48">
        <f>AVERAGE(Financial!J72:L72)</f>
      </c>
      <c r="G10" s="55">
        <f>Financial!M72</f>
      </c>
      <c r="H10" s="29">
        <f>Financial!N72</f>
      </c>
      <c r="I10" s="141">
        <f>Financial!O72</f>
      </c>
      <c r="J10" s="381">
        <f>I10</f>
      </c>
      <c r="K10" s="381">
        <f t="shared" ref="K10" si="15">+J10</f>
      </c>
      <c r="L10" s="381">
        <f t="shared" ref="L10" si="16">+K10</f>
      </c>
      <c r="M10" s="381">
        <f t="shared" ref="M10" si="17">+L10</f>
      </c>
      <c r="N10" s="381">
        <f t="shared" ref="N10" si="18">+M10</f>
      </c>
      <c r="O10" s="381">
        <f t="shared" ref="O10" si="19">+N10</f>
      </c>
      <c r="P10" s="381">
        <f t="shared" ref="P10" si="20">+O10</f>
      </c>
      <c r="Q10" s="381">
        <f t="shared" ref="Q10" si="21">+P10</f>
      </c>
    </row>
    <row r="11" spans="1:20">
      <c r="A11" s="58" t="s">
        <v>168</v>
      </c>
      <c r="B11" s="34">
        <f>MAX(Financial!C65:L65)</f>
      </c>
      <c r="C11" s="24">
        <f>MIN(Financial!C65:L65)</f>
      </c>
      <c r="D11" s="24">
        <f>AVERAGE(Financial!C65:L65)</f>
      </c>
      <c r="E11" s="40">
        <f>MEDIAN(Financial!C65:L65)</f>
      </c>
      <c r="F11" s="46">
        <f>AVERAGE(Financial!J65:L65)</f>
      </c>
      <c r="G11" s="51">
        <f>-Financial!M65</f>
      </c>
      <c r="H11" s="21">
        <f>-Financial!N65</f>
      </c>
      <c r="I11" s="21">
        <f>-Financial!O65</f>
      </c>
      <c r="J11" s="21">
        <f>-+(J4-I4)/J10</f>
      </c>
      <c r="K11" s="21">
        <f>-+(K4-J4)/K10</f>
      </c>
      <c r="L11" s="21">
        <f t="shared" ref="L11:Q11" si="22">-+(L4-K4)/L10</f>
      </c>
      <c r="M11" s="21">
        <f t="shared" si="22"/>
      </c>
      <c r="N11" s="21">
        <f t="shared" si="22"/>
      </c>
      <c r="O11" s="21">
        <f t="shared" si="22"/>
      </c>
      <c r="P11" s="21">
        <f t="shared" si="22"/>
      </c>
      <c r="Q11" s="21">
        <f t="shared" si="22"/>
      </c>
    </row>
    <row r="12" spans="1:20">
      <c r="A12" s="58" t="s">
        <v>169</v>
      </c>
      <c r="B12" s="34">
        <f>MAX(Financial!C66:L66)</f>
      </c>
      <c r="C12" s="24">
        <f>MIN(Financial!C66:L66)</f>
      </c>
      <c r="D12" s="24">
        <f>AVERAGE(Financial!C66:L66)</f>
      </c>
      <c r="E12" s="40">
        <f>MEDIAN(Financial!C66:L66)</f>
      </c>
      <c r="F12" s="46">
        <f>AVERAGE(Financial!J66:L66)</f>
      </c>
      <c r="G12" s="51">
        <f>+G9+G11</f>
      </c>
      <c r="H12" s="21">
        <f t="shared" ref="H12:Q12" si="23">+H9+H11</f>
      </c>
      <c r="I12" s="21">
        <f t="shared" si="23"/>
      </c>
      <c r="J12" s="21">
        <f t="shared" si="23"/>
      </c>
      <c r="K12" s="21">
        <f t="shared" si="23"/>
      </c>
      <c r="L12" s="21">
        <f t="shared" si="23"/>
      </c>
      <c r="M12" s="21">
        <f t="shared" si="23"/>
      </c>
      <c r="N12" s="21">
        <f t="shared" si="23"/>
      </c>
      <c r="O12" s="21">
        <f t="shared" si="23"/>
      </c>
      <c r="P12" s="21">
        <f t="shared" si="23"/>
      </c>
      <c r="Q12" s="21">
        <f t="shared" si="23"/>
      </c>
    </row>
    <row r="13" spans="1:20" ht="15.75" thickBot="1">
      <c r="A13" s="61" t="s">
        <v>170</v>
      </c>
      <c r="B13" s="62"/>
      <c r="C13" s="63"/>
      <c r="D13" s="63"/>
      <c r="E13" s="64"/>
      <c r="F13" s="65"/>
      <c r="G13" s="66">
        <f t="shared" ref="G13:Q13" si="24">1/((1+$N$17)^G2)</f>
      </c>
      <c r="H13" s="67">
        <f t="shared" si="24"/>
      </c>
      <c r="I13" s="67">
        <f t="shared" si="24"/>
      </c>
      <c r="J13" s="67">
        <f t="shared" si="24"/>
      </c>
      <c r="K13" s="67">
        <f t="shared" si="24"/>
      </c>
      <c r="L13" s="67">
        <f t="shared" si="24"/>
      </c>
      <c r="M13" s="67">
        <f t="shared" si="24"/>
      </c>
      <c r="N13" s="67">
        <f t="shared" si="24"/>
      </c>
      <c r="O13" s="67">
        <f t="shared" si="24"/>
      </c>
      <c r="P13" s="67">
        <f t="shared" si="24"/>
      </c>
      <c r="Q13" s="67">
        <f t="shared" si="24"/>
      </c>
    </row>
    <row r="14" spans="1:20" ht="15.75" thickBot="1">
      <c r="A14" s="68" t="s">
        <v>171</v>
      </c>
      <c r="B14" s="69"/>
      <c r="C14" s="70"/>
      <c r="D14" s="70"/>
      <c r="E14" s="71"/>
      <c r="F14" s="72"/>
      <c r="G14" s="69"/>
      <c r="H14" s="70"/>
      <c r="I14" s="70"/>
      <c r="J14" s="70"/>
      <c r="K14" s="70"/>
      <c r="L14" s="70"/>
      <c r="M14" s="70"/>
      <c r="N14" s="70"/>
      <c r="O14" s="70"/>
      <c r="P14" s="70"/>
      <c r="Q14" s="94">
        <f>+Q12*(1+$N$18)/($N$17-$N$18)</f>
      </c>
    </row>
    <row r="15" spans="1:20" ht="15.75" thickBot="1"/>
    <row r="16" spans="1:20" ht="15.75" thickBot="1">
      <c r="A16" s="426" t="s">
        <v>174</v>
      </c>
      <c r="B16" s="427"/>
      <c r="C16" s="427"/>
      <c r="D16" s="427"/>
      <c r="E16" s="427"/>
      <c r="F16" s="427"/>
      <c r="G16" s="428"/>
      <c r="H16" s="426" t="s">
        <v>179</v>
      </c>
      <c r="I16" s="427"/>
      <c r="J16" s="428"/>
      <c r="K16" s="426" t="s">
        <v>199</v>
      </c>
      <c r="L16" s="427"/>
      <c r="M16" s="427"/>
      <c r="N16" s="427"/>
      <c r="O16" s="428"/>
      <c r="P16" s="73" t="s">
        <v>106</v>
      </c>
      <c r="Q16" s="121">
        <f>Financial!P6</f>
      </c>
      <c r="R16" s="14"/>
      <c r="S16" s="14" t="s">
        <v>211</v>
      </c>
      <c r="T16" s="111">
        <f>Financial!P42</f>
      </c>
    </row>
    <row r="17" spans="1:23" ht="15.75" thickBot="1">
      <c r="A17" s="13"/>
      <c r="B17" s="85" t="str">
        <f>B3</f>
      </c>
      <c r="C17" s="85" t="str">
        <f>C3</f>
      </c>
      <c r="D17" s="85" t="str">
        <f>D3</f>
      </c>
      <c r="E17" s="85" t="str">
        <f>E3</f>
      </c>
      <c r="F17" s="85" t="str">
        <f>F3</f>
      </c>
      <c r="G17" s="86"/>
      <c r="H17" s="73" t="s">
        <v>179</v>
      </c>
      <c r="I17" s="14"/>
      <c r="J17" s="77">
        <f>J18+J19*(J20-J18)</f>
      </c>
      <c r="K17" s="73" t="s">
        <v>191</v>
      </c>
      <c r="L17" s="14"/>
      <c r="M17" s="14"/>
      <c r="N17" s="95">
        <f>G22</f>
      </c>
      <c r="O17" s="86" t="s">
        <v>200</v>
      </c>
      <c r="P17" s="76" t="s">
        <v>88</v>
      </c>
      <c r="Q17" s="122">
        <f>Financial!P4</f>
      </c>
      <c r="R17" s="18"/>
      <c r="S17" s="18"/>
      <c r="T17" s="100"/>
    </row>
    <row r="18" spans="1:23" ht="15.75" thickBot="1">
      <c r="A18" s="75" t="s">
        <v>175</v>
      </c>
      <c r="B18" s="80" t="e">
        <f>MAX(Financial!D76:L76)</f>
      </c>
      <c r="C18" s="80" t="e">
        <f>MIN(Financial!D76:L76)</f>
      </c>
      <c r="D18" s="80" t="e">
        <f>AVERAGE(Financial!D76:L76)</f>
      </c>
      <c r="E18" s="80" t="e">
        <f>MEDIAN(Financial!D76:L76)</f>
      </c>
      <c r="F18" s="80">
        <f>AVERAGE(Financial!J76:L76)</f>
      </c>
      <c r="G18" s="81">
        <f>MAX(Financial!L76)/(1+MAX(Financial!L76))</f>
      </c>
      <c r="H18" s="75" t="s">
        <v>194</v>
      </c>
      <c r="J18" s="123">
        <v>7.0000000000000007E-2</v>
      </c>
      <c r="K18" s="75" t="s">
        <v>172</v>
      </c>
      <c r="N18" s="127">
        <v>0.03</v>
      </c>
      <c r="O18" s="79"/>
    </row>
    <row r="19" spans="1:23" ht="15.75" thickBot="1">
      <c r="A19" s="75" t="s">
        <v>189</v>
      </c>
      <c r="B19" s="82" t="e">
        <f>MAX(Financial!D29:L29)</f>
      </c>
      <c r="C19" s="82" t="e">
        <f>MIN(Financial!D29:L29)</f>
      </c>
      <c r="D19" s="82" t="e">
        <f>AVERAGE(Financial!D29:L29)</f>
      </c>
      <c r="E19" s="82" t="e">
        <f>MEDIAN(Financial!D29:L29)</f>
      </c>
      <c r="F19" s="82">
        <f>AVERAGE(Financial!J29:L29)</f>
      </c>
      <c r="G19" s="83">
        <f>F19+J22</f>
      </c>
      <c r="H19" s="75" t="s">
        <v>178</v>
      </c>
      <c r="J19" s="124">
        <v>2</v>
      </c>
      <c r="K19" s="75" t="s">
        <v>188</v>
      </c>
      <c r="N19" s="91">
        <f>Q14*Q13</f>
      </c>
      <c r="O19" s="83">
        <f>N19/$N$22</f>
      </c>
      <c r="P19" s="429" t="s">
        <v>208</v>
      </c>
      <c r="Q19" s="430"/>
      <c r="R19" s="430"/>
      <c r="S19" s="431"/>
      <c r="T19" s="430" t="s">
        <v>181</v>
      </c>
      <c r="U19" s="430"/>
      <c r="V19" s="430"/>
      <c r="W19" s="431"/>
    </row>
    <row r="20" spans="1:23" ht="15.75" thickBot="1">
      <c r="A20" s="75" t="s">
        <v>115</v>
      </c>
      <c r="B20" s="82"/>
      <c r="C20" s="82"/>
      <c r="D20" s="82"/>
      <c r="E20" s="82"/>
      <c r="F20" s="82"/>
      <c r="G20" s="83">
        <f>AVERAGE(Financial!J30:L30)</f>
      </c>
      <c r="H20" s="76" t="s">
        <v>193</v>
      </c>
      <c r="I20" s="18"/>
      <c r="J20" s="125">
        <v>0.12</v>
      </c>
      <c r="K20" s="75" t="s">
        <v>186</v>
      </c>
      <c r="N20" s="91">
        <f>SUMPRODUCT(G12:Q12,G13:Q13)</f>
      </c>
      <c r="O20" s="83">
        <f>N20/$N$22</f>
      </c>
      <c r="P20" s="78" t="s">
        <v>202</v>
      </c>
      <c r="Q20" s="96">
        <f>MAX(Financial!J91:L91,Financial!P91)</f>
      </c>
      <c r="R20" s="97">
        <f>Financial!$O$22*Q20</f>
      </c>
      <c r="S20" s="81">
        <f>R20/Financial!$P$4-1</f>
      </c>
      <c r="T20" s="3" t="s">
        <v>205</v>
      </c>
      <c r="U20" s="96">
        <f>MIN(Financial!I91:L91,Financial!P91)</f>
      </c>
      <c r="V20" s="97">
        <f>Financial!$O$22*U20</f>
      </c>
      <c r="W20" s="81">
        <f>V20/Financial!$P$4-1</f>
      </c>
    </row>
    <row r="21" spans="1:23" ht="15.75" thickBot="1">
      <c r="A21" s="75" t="s">
        <v>190</v>
      </c>
      <c r="G21" s="83">
        <f>J17</f>
      </c>
      <c r="K21" s="75" t="s">
        <v>187</v>
      </c>
      <c r="N21" s="91">
        <f>-Financial!L42+Financial!L47</f>
      </c>
      <c r="O21" s="83">
        <f>N21/$N$22</f>
      </c>
      <c r="P21" s="78" t="s">
        <v>203</v>
      </c>
      <c r="Q21" s="96">
        <f>MAX(Financial!J95:L95,Financial!P95)</f>
      </c>
      <c r="R21" s="97">
        <f>((Q21*Financial!$O$13)-Financial!$O$42)/Financial!$O$5</f>
      </c>
      <c r="S21" s="81">
        <f>R21/Financial!$P$4-1</f>
      </c>
      <c r="T21" s="3" t="s">
        <v>206</v>
      </c>
      <c r="U21" s="96">
        <f>MIN(Financial!I95:L95,Financial!P95)</f>
      </c>
      <c r="V21" s="97">
        <f>((U21*Financial!$O$13)-Financial!$O$42)/Financial!$O$5</f>
      </c>
      <c r="W21" s="81">
        <f>V21/Financial!$P$4-1</f>
      </c>
    </row>
    <row r="22" spans="1:23" ht="15.75" thickBot="1">
      <c r="A22" s="76" t="s">
        <v>176</v>
      </c>
      <c r="B22" s="18"/>
      <c r="C22" s="18"/>
      <c r="D22" s="18"/>
      <c r="E22" s="18"/>
      <c r="F22" s="18"/>
      <c r="G22" s="84">
        <f>G21*(1-G18)+((G18*G19)*(1-G20))</f>
      </c>
      <c r="H22" s="117" t="s">
        <v>201</v>
      </c>
      <c r="I22" s="118"/>
      <c r="J22" s="126">
        <v>5.0000000000000001E-3</v>
      </c>
      <c r="K22" s="75" t="s">
        <v>173</v>
      </c>
      <c r="N22" s="92">
        <f>SUM(N19:N21)</f>
      </c>
      <c r="O22" s="109">
        <f>SUM(O19:O21)</f>
      </c>
      <c r="P22" s="15" t="s">
        <v>204</v>
      </c>
      <c r="Q22" s="102">
        <f>MAX(Financial!J96:L96,Financial!P96)</f>
      </c>
      <c r="R22" s="17">
        <f>((Q22*Financial!$O$9)-Financial!$O$42)/Financial!$O$5</f>
      </c>
      <c r="S22" s="107">
        <f>R22/Financial!$P$4-1</f>
      </c>
      <c r="T22" s="119" t="s">
        <v>207</v>
      </c>
      <c r="U22" s="102">
        <f>MIN(Financial!I96:L96,Financial!P96)</f>
      </c>
      <c r="V22" s="17">
        <f>((U22*Financial!$O$9)-Financial!$O$42)/Financial!$O$5</f>
      </c>
      <c r="W22" s="107">
        <f>V22/Financial!$P$4-1</f>
      </c>
    </row>
    <row r="23" spans="1:23">
      <c r="K23" s="75" t="s">
        <v>110</v>
      </c>
      <c r="N23" s="92">
        <f>Financial!O5</f>
      </c>
      <c r="O23" s="79"/>
      <c r="P23" s="75"/>
      <c r="S23" s="79"/>
    </row>
    <row r="24" spans="1:23" ht="15.75" thickBot="1">
      <c r="K24" s="88" t="s">
        <v>196</v>
      </c>
      <c r="L24" s="89"/>
      <c r="M24" s="89"/>
      <c r="N24" s="93">
        <f>+N22/N23</f>
      </c>
      <c r="O24" s="116"/>
      <c r="P24" s="15" t="s">
        <v>210</v>
      </c>
      <c r="Q24" s="18"/>
      <c r="R24" s="90">
        <f>N24</f>
      </c>
      <c r="S24" s="84">
        <f>R24/Financial!$P$4-1</f>
      </c>
    </row>
  </sheetData>
  <sheetProtection selectLockedCells="1"/>
  <mergeCells count="7">
    <mergeCell ref="A1:Q1"/>
    <mergeCell ref="H16:J16"/>
    <mergeCell ref="K16:O16"/>
    <mergeCell ref="P19:S19"/>
    <mergeCell ref="T19:W19"/>
    <mergeCell ref="B2:E2"/>
    <mergeCell ref="A16:G1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5224-533F-47F4-924D-2FA88114C1A2}">
  <sheetPr codeName="Sheet3"/>
  <dimension ref="A1:AE141"/>
  <sheetViews>
    <sheetView tabSelected="1" zoomScale="200" zoomScaleNormal="200" workbookViewId="0">
      <pane xSplit="1" ySplit="3" topLeftCell="Q115" activePane="bottomRight" state="frozen"/>
      <selection activeCell="C8" sqref="C8"/>
      <selection pane="topRight" activeCell="C8" sqref="C8"/>
      <selection pane="bottomLeft" activeCell="C8" sqref="C8"/>
      <selection pane="bottomRight" activeCell="X138" sqref="X138"/>
    </sheetView>
  </sheetViews>
  <sheetFormatPr defaultColWidth="8.85546875" defaultRowHeight="12.75" outlineLevelRow="1"/>
  <cols>
    <col min="1" max="1" width="24.140625" style="143" customWidth="1"/>
    <col min="2" max="2" width="4.140625" style="143" customWidth="1"/>
    <col min="3" max="9" width="9" style="143" customWidth="1"/>
    <col min="10" max="12" width="10.140625" style="143" customWidth="1"/>
    <col min="13" max="13" width="9.5703125" style="143" customWidth="1"/>
    <col min="14" max="14" width="9.85546875" style="143" customWidth="1"/>
    <col min="15" max="15" width="9.28515625" style="143" customWidth="1"/>
    <col min="16" max="16" width="9.85546875" style="143" customWidth="1"/>
    <col min="17" max="17" width="9.140625" style="143" customWidth="1"/>
    <col min="18" max="18" width="7" style="143" customWidth="1"/>
    <col min="19" max="19" width="6.85546875" style="143" customWidth="1"/>
    <col min="20" max="20" width="7.7109375" style="143" customWidth="1"/>
    <col min="21" max="23" width="7" style="143" customWidth="1"/>
    <col min="24" max="25" width="8.85546875" style="143"/>
    <col min="26" max="27" width="12.5703125" style="143" bestFit="1" customWidth="1"/>
    <col min="28" max="16384" width="8.85546875" style="143"/>
  </cols>
  <sheetData>
    <row r="1" spans="1:23" ht="13.5" thickBot="1">
      <c r="A1" s="142"/>
      <c r="B1" s="409" t="s">
        <v>89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1"/>
    </row>
    <row r="2" spans="1:23" ht="13.5" thickBot="1">
      <c r="A2" s="418" t="str">
        <f>CONCATENATE('Data Sheet'!$B$1,"           Mcap ",TEXT(ROUND($P$6,0),"0,000")," Cr        CMP ",TEXT($P$4,"##,##0.0"))</f>
      </c>
      <c r="B2" s="419"/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20"/>
      <c r="U2" s="416" t="s">
        <v>140</v>
      </c>
      <c r="V2" s="416"/>
      <c r="W2" s="417"/>
    </row>
    <row r="3" spans="1:23" ht="26.25" thickBot="1">
      <c r="A3" s="144"/>
      <c r="B3" s="145"/>
      <c r="C3" s="144">
        <f>'Data Sheet'!B16</f>
      </c>
      <c r="D3" s="145">
        <f>'Data Sheet'!C16</f>
      </c>
      <c r="E3" s="145">
        <f>'Data Sheet'!D16</f>
      </c>
      <c r="F3" s="145">
        <f>'Data Sheet'!E16</f>
      </c>
      <c r="G3" s="145">
        <f>'Data Sheet'!F16</f>
      </c>
      <c r="H3" s="145">
        <f>'Data Sheet'!G16</f>
      </c>
      <c r="I3" s="145">
        <f>'Data Sheet'!H16</f>
      </c>
      <c r="J3" s="145">
        <f>'Data Sheet'!I16</f>
      </c>
      <c r="K3" s="145">
        <f>'Data Sheet'!J16</f>
      </c>
      <c r="L3" s="146">
        <f>'Data Sheet'!K16</f>
      </c>
      <c r="M3" s="147">
        <f>L3+365</f>
      </c>
      <c r="N3" s="148">
        <f>M3+365</f>
      </c>
      <c r="O3" s="149">
        <f>N3+365</f>
      </c>
      <c r="P3" s="150" t="s">
        <v>116</v>
      </c>
      <c r="Q3" s="151" t="s">
        <v>125</v>
      </c>
      <c r="R3" s="152" t="s">
        <v>81</v>
      </c>
      <c r="S3" s="152" t="s">
        <v>82</v>
      </c>
      <c r="T3" s="152" t="s">
        <v>209</v>
      </c>
      <c r="U3" s="151">
        <f>M3</f>
      </c>
      <c r="V3" s="152">
        <f>N3</f>
      </c>
      <c r="W3" s="153">
        <f>O3</f>
      </c>
    </row>
    <row r="4" spans="1:23">
      <c r="A4" s="154" t="s">
        <v>112</v>
      </c>
      <c r="B4" s="143" t="s">
        <v>90</v>
      </c>
      <c r="C4" s="155">
        <f>'Data Sheet'!B90</f>
      </c>
      <c r="D4" s="156">
        <f>'Data Sheet'!C90</f>
      </c>
      <c r="E4" s="156">
        <f>'Data Sheet'!D90</f>
      </c>
      <c r="F4" s="156">
        <f>'Data Sheet'!E90</f>
      </c>
      <c r="G4" s="156">
        <f>'Data Sheet'!F90</f>
      </c>
      <c r="H4" s="156">
        <f>'Data Sheet'!G90</f>
      </c>
      <c r="I4" s="156">
        <f>'Data Sheet'!H90</f>
      </c>
      <c r="J4" s="156">
        <f>'Data Sheet'!I90</f>
      </c>
      <c r="K4" s="156">
        <f>'Data Sheet'!J90</f>
      </c>
      <c r="L4" s="157">
        <f>'Data Sheet'!K90</f>
      </c>
      <c r="M4" s="158">
        <f>P4</f>
      </c>
      <c r="N4" s="159">
        <f>P4</f>
      </c>
      <c r="O4" s="160">
        <f>P4</f>
      </c>
      <c r="P4" s="161">
        <f>'Data Sheet'!B8</f>
      </c>
      <c r="Q4" s="155"/>
      <c r="R4" s="162" t="e">
        <f ca="1">((P4/I4)^(1/R8))-1</f>
      </c>
      <c r="S4" s="162" t="e">
        <f ca="1">((P4/G4)^(1/S8))-1</f>
      </c>
      <c r="T4" s="162" t="str">
        <f>IF(C4&gt;0,((P4/C4)^(1/T8))-1,"-")</f>
      </c>
      <c r="U4" s="154"/>
      <c r="W4" s="163"/>
    </row>
    <row r="5" spans="1:23">
      <c r="A5" s="154" t="s">
        <v>110</v>
      </c>
      <c r="B5" s="143" t="s">
        <v>91</v>
      </c>
      <c r="C5" s="164">
        <f>'Data Sheet'!B93</f>
      </c>
      <c r="D5" s="165">
        <f>'Data Sheet'!C93</f>
      </c>
      <c r="E5" s="165">
        <f>'Data Sheet'!D93</f>
      </c>
      <c r="F5" s="165">
        <f>'Data Sheet'!E93</f>
      </c>
      <c r="G5" s="165">
        <f>'Data Sheet'!F93</f>
      </c>
      <c r="H5" s="165">
        <f>'Data Sheet'!G93</f>
      </c>
      <c r="I5" s="165">
        <f>'Data Sheet'!H93</f>
      </c>
      <c r="J5" s="165">
        <f>'Data Sheet'!I93</f>
      </c>
      <c r="K5" s="165">
        <f>'Data Sheet'!J93</f>
      </c>
      <c r="L5" s="166">
        <f>'Data Sheet'!K93</f>
      </c>
      <c r="M5" s="167">
        <f>L5</f>
      </c>
      <c r="N5" s="168">
        <f>M5</f>
      </c>
      <c r="O5" s="169">
        <f>N5</f>
      </c>
      <c r="P5" s="170">
        <f>O5</f>
      </c>
      <c r="Q5" s="164"/>
      <c r="R5" s="162">
        <f>((L5/I5)^(1/3))-1</f>
      </c>
      <c r="S5" s="162" t="e">
        <f>((L5/G5)^(1/5))-1</f>
      </c>
      <c r="T5" s="162" t="str">
        <f>IF(C5&gt;0,((L5/C5)^(1/9))-1,"-")</f>
      </c>
      <c r="U5" s="154"/>
      <c r="W5" s="163"/>
    </row>
    <row r="6" spans="1:23">
      <c r="A6" s="154" t="s">
        <v>106</v>
      </c>
      <c r="B6" s="143" t="s">
        <v>91</v>
      </c>
      <c r="C6" s="155">
        <f>C4*C5</f>
      </c>
      <c r="D6" s="156">
        <f t="shared" ref="D6:L6" si="0">D4*D5</f>
      </c>
      <c r="E6" s="156">
        <f t="shared" si="0"/>
      </c>
      <c r="F6" s="156">
        <f t="shared" si="0"/>
      </c>
      <c r="G6" s="156">
        <f t="shared" si="0"/>
      </c>
      <c r="H6" s="156">
        <f t="shared" si="0"/>
      </c>
      <c r="I6" s="156">
        <f t="shared" si="0"/>
      </c>
      <c r="J6" s="156">
        <f t="shared" si="0"/>
      </c>
      <c r="K6" s="156">
        <f t="shared" si="0"/>
      </c>
      <c r="L6" s="157">
        <f t="shared" si="0"/>
      </c>
      <c r="M6" s="171">
        <f>P6</f>
      </c>
      <c r="N6" s="172">
        <f>P6</f>
      </c>
      <c r="O6" s="173">
        <f>P6</f>
      </c>
      <c r="P6" s="161">
        <f>P4*P5</f>
      </c>
      <c r="Q6" s="155"/>
      <c r="R6" s="162" t="e">
        <f>((L6/I6)^(1/3))-1</f>
      </c>
      <c r="S6" s="162" t="e">
        <f>((L6/G6)^(1/5))-1</f>
      </c>
      <c r="T6" s="162" t="str">
        <f>IF(C6&gt;0,((L6/C6)^(1/9))-1,"-")</f>
      </c>
      <c r="U6" s="154"/>
      <c r="W6" s="163"/>
    </row>
    <row r="7" spans="1:23" ht="13.5" thickBot="1">
      <c r="A7" s="174" t="s">
        <v>111</v>
      </c>
      <c r="B7" s="175" t="s">
        <v>91</v>
      </c>
      <c r="C7" s="176">
        <f t="shared" ref="C7:P7" si="1">C6+C42</f>
      </c>
      <c r="D7" s="177">
        <f t="shared" si="1"/>
      </c>
      <c r="E7" s="177">
        <f t="shared" si="1"/>
      </c>
      <c r="F7" s="177">
        <f t="shared" si="1"/>
      </c>
      <c r="G7" s="177">
        <f t="shared" si="1"/>
      </c>
      <c r="H7" s="177">
        <f t="shared" si="1"/>
      </c>
      <c r="I7" s="177">
        <f t="shared" si="1"/>
      </c>
      <c r="J7" s="177">
        <f t="shared" si="1"/>
      </c>
      <c r="K7" s="177">
        <f t="shared" si="1"/>
      </c>
      <c r="L7" s="178">
        <f t="shared" si="1"/>
      </c>
      <c r="M7" s="179">
        <f t="shared" si="1"/>
      </c>
      <c r="N7" s="180">
        <f t="shared" si="1"/>
      </c>
      <c r="O7" s="181">
        <f t="shared" si="1"/>
      </c>
      <c r="P7" s="182">
        <f t="shared" si="1"/>
      </c>
      <c r="Q7" s="176"/>
      <c r="R7" s="183">
        <f>((L7/I7)^(1/3))-1</f>
      </c>
      <c r="S7" s="183" t="e">
        <f>((L7/G7)^(1/5))-1</f>
      </c>
      <c r="T7" s="183" t="str">
        <f>IF(C7&gt;0,((L7/C7)^(1/9))-1,"-")</f>
      </c>
      <c r="U7" s="154"/>
      <c r="W7" s="163"/>
    </row>
    <row r="8" spans="1:23" ht="13.5" thickBot="1">
      <c r="A8" s="154"/>
      <c r="C8" s="154"/>
      <c r="L8" s="163"/>
      <c r="M8" s="184"/>
      <c r="N8" s="185"/>
      <c r="O8" s="186"/>
      <c r="P8" s="187"/>
      <c r="Q8" s="154"/>
      <c r="R8" s="188">
        <f ca="1">(TODAY()-I3)/365</f>
      </c>
      <c r="S8" s="188">
        <f ca="1">(TODAY()-G3)/365</f>
      </c>
      <c r="T8" s="188">
        <f ca="1">(TODAY()-C3)/365</f>
      </c>
      <c r="U8" s="154"/>
      <c r="W8" s="163"/>
    </row>
    <row r="9" spans="1:23">
      <c r="A9" s="189" t="s">
        <v>83</v>
      </c>
      <c r="B9" s="190" t="s">
        <v>91</v>
      </c>
      <c r="C9" s="191">
        <f>'Data Sheet'!B17</f>
      </c>
      <c r="D9" s="192">
        <f>'Data Sheet'!C17</f>
      </c>
      <c r="E9" s="192">
        <f>'Data Sheet'!D17</f>
      </c>
      <c r="F9" s="192">
        <f>'Data Sheet'!E17</f>
      </c>
      <c r="G9" s="192">
        <f>'Data Sheet'!F17</f>
      </c>
      <c r="H9" s="192">
        <f>'Data Sheet'!G17</f>
      </c>
      <c r="I9" s="192">
        <f>'Data Sheet'!H17</f>
      </c>
      <c r="J9" s="192">
        <f>'Data Sheet'!I17</f>
      </c>
      <c r="K9" s="192">
        <f>'Data Sheet'!J17</f>
      </c>
      <c r="L9" s="192">
        <f>'Data Sheet'!K17</f>
      </c>
      <c r="M9" s="193">
        <f>L9*(1+$U9)</f>
      </c>
      <c r="N9" s="194">
        <f>M9*(1+$V9)</f>
      </c>
      <c r="O9" s="195">
        <f>N9*(1+$W9)</f>
      </c>
      <c r="P9" s="196">
        <f>SUM(I99:L99)</f>
      </c>
      <c r="Q9" s="197">
        <f>((O9/L9)^(1/3))-1</f>
      </c>
      <c r="R9" s="198">
        <f>((L9/I9)^(1/3))-1</f>
      </c>
      <c r="S9" s="198" t="e">
        <f>((L9/G9)^(1/5))-1</f>
      </c>
      <c r="T9" s="198" t="str">
        <f>IF(C9&gt;0,((L9/C9)^(1/9))-1,"-")</f>
      </c>
      <c r="U9" s="199">
        <f>R9</f>
      </c>
      <c r="V9" s="200">
        <f>U9</f>
      </c>
      <c r="W9" s="201">
        <f>V9</f>
      </c>
    </row>
    <row r="10" spans="1:23">
      <c r="A10" s="154" t="s">
        <v>212</v>
      </c>
      <c r="C10" s="155"/>
      <c r="D10" s="162" t="e">
        <f>D9/C9-1</f>
      </c>
      <c r="E10" s="162" t="e">
        <f t="shared" ref="E10:L10" si="2">E9/D9-1</f>
      </c>
      <c r="F10" s="162" t="e">
        <f t="shared" si="2"/>
      </c>
      <c r="G10" s="162" t="e">
        <f t="shared" si="2"/>
      </c>
      <c r="H10" s="162" t="e">
        <f>H9/G9-1</f>
      </c>
      <c r="I10" s="162">
        <f t="shared" si="2"/>
      </c>
      <c r="J10" s="162">
        <f>J9/I9-1</f>
      </c>
      <c r="K10" s="162">
        <f>K9/J9-1</f>
      </c>
      <c r="L10" s="162">
        <f t="shared" si="2"/>
      </c>
      <c r="M10" s="202">
        <f t="shared" ref="M10" si="3">M9/L9-1</f>
      </c>
      <c r="N10" s="203">
        <f t="shared" ref="N10" si="4">N9/M9-1</f>
      </c>
      <c r="O10" s="204">
        <f t="shared" ref="O10" si="5">O9/N9-1</f>
      </c>
      <c r="P10" s="161"/>
      <c r="Q10" s="205"/>
      <c r="R10" s="162"/>
      <c r="S10" s="162"/>
      <c r="T10" s="162"/>
      <c r="U10" s="154"/>
      <c r="W10" s="163"/>
    </row>
    <row r="11" spans="1:23">
      <c r="A11" s="154" t="s">
        <v>92</v>
      </c>
      <c r="B11" s="143" t="s">
        <v>91</v>
      </c>
      <c r="C11" s="206">
        <f>C9-SUM('Data Sheet'!B18,-1*'Data Sheet'!B19)</f>
      </c>
      <c r="D11" s="156">
        <f>D9-SUM('Data Sheet'!C18,-1*'Data Sheet'!C19)</f>
      </c>
      <c r="E11" s="156">
        <f>E9-SUM('Data Sheet'!D18,-1*'Data Sheet'!D19)</f>
      </c>
      <c r="F11" s="156">
        <f>F9-SUM('Data Sheet'!E18,-1*'Data Sheet'!E19)</f>
      </c>
      <c r="G11" s="156">
        <f>G9-SUM('Data Sheet'!F18,-1*'Data Sheet'!F19)</f>
      </c>
      <c r="H11" s="156">
        <f>H9-SUM('Data Sheet'!G18,-1*'Data Sheet'!G19)</f>
      </c>
      <c r="I11" s="156">
        <f>I9-SUM('Data Sheet'!H18,-1*'Data Sheet'!H19)</f>
      </c>
      <c r="J11" s="156">
        <f>J9-SUM('Data Sheet'!I18,-1*'Data Sheet'!I19)</f>
      </c>
      <c r="K11" s="156">
        <f>K9-SUM('Data Sheet'!J18,-1*'Data Sheet'!J19)</f>
      </c>
      <c r="L11" s="156">
        <f>L9-SUM('Data Sheet'!K18,-1*'Data Sheet'!K19)</f>
      </c>
      <c r="M11" s="184"/>
      <c r="N11" s="185"/>
      <c r="O11" s="186"/>
      <c r="P11" s="161"/>
      <c r="Q11" s="155"/>
      <c r="R11" s="207"/>
      <c r="S11" s="207"/>
      <c r="T11" s="207"/>
      <c r="U11" s="154"/>
      <c r="W11" s="163"/>
    </row>
    <row r="12" spans="1:23">
      <c r="A12" s="154" t="s">
        <v>212</v>
      </c>
      <c r="C12" s="206"/>
      <c r="D12" s="162" t="e">
        <f>D11/C11-1</f>
      </c>
      <c r="E12" s="162" t="e">
        <f t="shared" ref="E12:L12" si="6">E11/D11-1</f>
      </c>
      <c r="F12" s="162" t="e">
        <f t="shared" si="6"/>
      </c>
      <c r="H12" s="162" t="e">
        <f t="shared" si="6"/>
      </c>
      <c r="I12" s="162">
        <f t="shared" si="6"/>
      </c>
      <c r="J12" s="162">
        <f>J11/I11-1</f>
      </c>
      <c r="K12" s="162">
        <f>K11/J11-1</f>
      </c>
      <c r="L12" s="162">
        <f t="shared" si="6"/>
      </c>
      <c r="M12" s="202"/>
      <c r="N12" s="203"/>
      <c r="O12" s="204"/>
      <c r="P12" s="161"/>
      <c r="Q12" s="155"/>
      <c r="R12" s="207"/>
      <c r="S12" s="207"/>
      <c r="T12" s="207"/>
      <c r="U12" s="154"/>
      <c r="W12" s="163"/>
    </row>
    <row r="13" spans="1:23">
      <c r="A13" s="154" t="s">
        <v>68</v>
      </c>
      <c r="B13" s="143" t="s">
        <v>91</v>
      </c>
      <c r="C13" s="206">
        <f>C9-SUM('Data Sheet'!B18,'Data Sheet'!B20:B24,-1*'Data Sheet'!B19)</f>
      </c>
      <c r="D13" s="156">
        <f>D9-SUM('Data Sheet'!C18,'Data Sheet'!C20:C24,-1*'Data Sheet'!C19)</f>
      </c>
      <c r="E13" s="156">
        <f>E9-SUM('Data Sheet'!D18,'Data Sheet'!D20:D24,-1*'Data Sheet'!D19)</f>
      </c>
      <c r="F13" s="156">
        <f>F9-SUM('Data Sheet'!E18,'Data Sheet'!E20:E24,-1*'Data Sheet'!E19)</f>
      </c>
      <c r="G13" s="156">
        <f>G9-SUM('Data Sheet'!F18,'Data Sheet'!F20:F24,-1*'Data Sheet'!F19)</f>
      </c>
      <c r="H13" s="156">
        <f>H9-SUM('Data Sheet'!G18,'Data Sheet'!G20:G24,-1*'Data Sheet'!G19)</f>
      </c>
      <c r="I13" s="156">
        <f>I9-SUM('Data Sheet'!H18,'Data Sheet'!H20:H24,-1*'Data Sheet'!H19)</f>
      </c>
      <c r="J13" s="156">
        <f>J9-SUM('Data Sheet'!I18,'Data Sheet'!I20:I24,-1*'Data Sheet'!I19)</f>
      </c>
      <c r="K13" s="156">
        <f>K9-SUM('Data Sheet'!J18,'Data Sheet'!J20:J24,-1*'Data Sheet'!J19)</f>
      </c>
      <c r="L13" s="156">
        <f>L9-SUM('Data Sheet'!K18,'Data Sheet'!K20:K24,-1*'Data Sheet'!K19)</f>
      </c>
      <c r="M13" s="158">
        <f>M9*$U27</f>
      </c>
      <c r="N13" s="159">
        <f>N9*$V27</f>
      </c>
      <c r="O13" s="160">
        <f>O9*$W27</f>
      </c>
      <c r="P13" s="208">
        <f>SUM(I101:L101)</f>
      </c>
      <c r="Q13" s="205">
        <f>((O13/L13)^(1/3))-1</f>
      </c>
      <c r="R13" s="162">
        <f>((L13/I13)^(1/3))-1</f>
      </c>
      <c r="S13" s="162" t="e">
        <f>((L13/G13)^(1/5))-1</f>
      </c>
      <c r="T13" s="162" t="str">
        <f>IF(C13&gt;0,((L13/C13)^(1/9))-1,"-")</f>
      </c>
      <c r="U13" s="154"/>
      <c r="W13" s="163"/>
    </row>
    <row r="14" spans="1:23">
      <c r="A14" s="154" t="s">
        <v>212</v>
      </c>
      <c r="C14" s="206"/>
      <c r="D14" s="162" t="e">
        <f>D13/C13-1</f>
      </c>
      <c r="E14" s="162" t="e">
        <f t="shared" ref="E14:O14" si="7">E13/D13-1</f>
      </c>
      <c r="F14" s="162" t="e">
        <f t="shared" si="7"/>
      </c>
      <c r="G14" s="162" t="e">
        <f t="shared" si="7"/>
      </c>
      <c r="H14" s="162" t="e">
        <f t="shared" si="7"/>
      </c>
      <c r="I14" s="162">
        <f t="shared" si="7"/>
      </c>
      <c r="J14" s="162">
        <f>J13/I13-1</f>
      </c>
      <c r="K14" s="162">
        <f>K13/J13-1</f>
      </c>
      <c r="L14" s="162">
        <f t="shared" si="7"/>
      </c>
      <c r="M14" s="202">
        <f t="shared" si="7"/>
      </c>
      <c r="N14" s="203">
        <f t="shared" si="7"/>
      </c>
      <c r="O14" s="204">
        <f t="shared" si="7"/>
      </c>
      <c r="P14" s="208"/>
      <c r="Q14" s="205"/>
      <c r="R14" s="162"/>
      <c r="S14" s="162"/>
      <c r="T14" s="162"/>
      <c r="U14" s="154"/>
      <c r="W14" s="163"/>
    </row>
    <row r="15" spans="1:23" outlineLevel="1">
      <c r="A15" s="209" t="s">
        <v>4</v>
      </c>
      <c r="B15" s="143" t="s">
        <v>91</v>
      </c>
      <c r="C15" s="206">
        <f>'Data Sheet'!B25</f>
      </c>
      <c r="D15" s="210">
        <f>'Data Sheet'!C25</f>
      </c>
      <c r="E15" s="210">
        <f>'Data Sheet'!D25</f>
      </c>
      <c r="F15" s="210">
        <f>'Data Sheet'!E25</f>
      </c>
      <c r="G15" s="210">
        <f>'Data Sheet'!F25</f>
      </c>
      <c r="H15" s="210">
        <f>'Data Sheet'!G25</f>
      </c>
      <c r="I15" s="210">
        <f>'Data Sheet'!H25</f>
      </c>
      <c r="J15" s="210">
        <f>'Data Sheet'!I25</f>
      </c>
      <c r="K15" s="210">
        <f>'Data Sheet'!J25</f>
      </c>
      <c r="L15" s="210">
        <f>'Data Sheet'!K25</f>
      </c>
      <c r="M15" s="171">
        <f>AVERAGE(J15:L15)</f>
      </c>
      <c r="N15" s="172">
        <f>AVERAGE(K15:M15)</f>
      </c>
      <c r="O15" s="173">
        <f>AVERAGE(L15:N15)</f>
      </c>
      <c r="P15" s="208">
        <f>SUM(I114:L114)</f>
      </c>
      <c r="Q15" s="206"/>
      <c r="R15" s="207"/>
      <c r="S15" s="207"/>
      <c r="U15" s="211"/>
      <c r="W15" s="163"/>
    </row>
    <row r="16" spans="1:23" outlineLevel="1">
      <c r="A16" s="209" t="s">
        <v>5</v>
      </c>
      <c r="B16" s="143" t="s">
        <v>91</v>
      </c>
      <c r="C16" s="206">
        <f>'Data Sheet'!B26</f>
      </c>
      <c r="D16" s="210">
        <f>'Data Sheet'!C26</f>
      </c>
      <c r="E16" s="210">
        <f>'Data Sheet'!D26</f>
      </c>
      <c r="F16" s="210">
        <f>'Data Sheet'!E26</f>
      </c>
      <c r="G16" s="210">
        <f>'Data Sheet'!F26</f>
      </c>
      <c r="H16" s="210">
        <f>'Data Sheet'!G26</f>
      </c>
      <c r="I16" s="210">
        <f>'Data Sheet'!H26</f>
      </c>
      <c r="J16" s="210">
        <f>'Data Sheet'!I26</f>
      </c>
      <c r="K16" s="210">
        <f>'Data Sheet'!J26</f>
      </c>
      <c r="L16" s="210">
        <f>'Data Sheet'!K26</f>
      </c>
      <c r="M16" s="171">
        <f t="shared" ref="M16" si="8">L16*(1+$U16)</f>
      </c>
      <c r="N16" s="172">
        <f>M16*(1+$V16)</f>
      </c>
      <c r="O16" s="173">
        <f>N16*(1+$W16)</f>
      </c>
      <c r="P16" s="208">
        <f>SUM(I115:L115)</f>
      </c>
      <c r="Q16" s="206"/>
      <c r="R16" s="162"/>
      <c r="S16" s="162"/>
      <c r="T16" s="162"/>
      <c r="U16" s="199">
        <f>R45</f>
      </c>
      <c r="V16" s="200">
        <f>U16</f>
      </c>
      <c r="W16" s="201">
        <f>V16</f>
      </c>
    </row>
    <row r="17" spans="1:23" outlineLevel="1">
      <c r="A17" s="209" t="s">
        <v>6</v>
      </c>
      <c r="B17" s="143" t="s">
        <v>91</v>
      </c>
      <c r="C17" s="206">
        <f>'Data Sheet'!B27</f>
      </c>
      <c r="D17" s="210">
        <f>'Data Sheet'!C27</f>
      </c>
      <c r="E17" s="210">
        <f>'Data Sheet'!D27</f>
      </c>
      <c r="F17" s="210">
        <f>'Data Sheet'!E27</f>
      </c>
      <c r="G17" s="210">
        <f>'Data Sheet'!F27</f>
      </c>
      <c r="H17" s="210">
        <f>'Data Sheet'!G27</f>
      </c>
      <c r="I17" s="210">
        <f>'Data Sheet'!H27</f>
      </c>
      <c r="J17" s="210">
        <f>'Data Sheet'!I27</f>
      </c>
      <c r="K17" s="210">
        <f>'Data Sheet'!J27</f>
      </c>
      <c r="L17" s="210">
        <f>'Data Sheet'!K27</f>
      </c>
      <c r="M17" s="171">
        <f t="shared" ref="M17" si="9">L17*(1+$U17)</f>
      </c>
      <c r="N17" s="172">
        <f>M17*(1+$V17)</f>
      </c>
      <c r="O17" s="173">
        <f>N17*(1+$W17)</f>
      </c>
      <c r="P17" s="208">
        <f>SUM(I116:L116)</f>
      </c>
      <c r="Q17" s="206"/>
      <c r="R17" s="207"/>
      <c r="S17" s="207"/>
      <c r="U17" s="199">
        <v>0.1</v>
      </c>
      <c r="V17" s="200">
        <f>U17</f>
      </c>
      <c r="W17" s="201">
        <f>V17</f>
      </c>
    </row>
    <row r="18" spans="1:23" outlineLevel="1">
      <c r="A18" s="209" t="s">
        <v>97</v>
      </c>
      <c r="B18" s="143" t="s">
        <v>91</v>
      </c>
      <c r="C18" s="206">
        <f>'Data Sheet'!B28</f>
      </c>
      <c r="D18" s="210">
        <f>'Data Sheet'!C28</f>
      </c>
      <c r="E18" s="210">
        <f>'Data Sheet'!D28</f>
      </c>
      <c r="F18" s="210">
        <f>'Data Sheet'!E28</f>
      </c>
      <c r="G18" s="210">
        <f>'Data Sheet'!F28</f>
      </c>
      <c r="H18" s="210">
        <f>'Data Sheet'!G28</f>
      </c>
      <c r="I18" s="210">
        <f>'Data Sheet'!H28</f>
      </c>
      <c r="J18" s="210">
        <f>'Data Sheet'!I28</f>
      </c>
      <c r="K18" s="210">
        <f>'Data Sheet'!J28</f>
      </c>
      <c r="L18" s="210">
        <f>'Data Sheet'!K28</f>
      </c>
      <c r="M18" s="158">
        <f>M13+M15-M16-M17</f>
      </c>
      <c r="N18" s="159">
        <f>N13+N15-N16-N17</f>
      </c>
      <c r="O18" s="160">
        <f>O13+O15-O16-O17</f>
      </c>
      <c r="P18" s="208">
        <f>P13+P15-P16-P17</f>
      </c>
      <c r="Q18" s="206"/>
      <c r="R18" s="207"/>
      <c r="S18" s="207"/>
      <c r="U18" s="154"/>
      <c r="W18" s="163"/>
    </row>
    <row r="19" spans="1:23" outlineLevel="1">
      <c r="A19" s="209" t="s">
        <v>8</v>
      </c>
      <c r="B19" s="143" t="s">
        <v>91</v>
      </c>
      <c r="C19" s="206">
        <f>'Data Sheet'!B29</f>
      </c>
      <c r="D19" s="210">
        <f>'Data Sheet'!C29</f>
      </c>
      <c r="E19" s="210">
        <f>'Data Sheet'!D29</f>
      </c>
      <c r="F19" s="210">
        <f>'Data Sheet'!E29</f>
      </c>
      <c r="G19" s="210">
        <f>'Data Sheet'!F29</f>
      </c>
      <c r="H19" s="210">
        <f>'Data Sheet'!G29</f>
      </c>
      <c r="I19" s="210">
        <f>'Data Sheet'!H29</f>
      </c>
      <c r="J19" s="210">
        <f>'Data Sheet'!I29</f>
      </c>
      <c r="K19" s="210">
        <f>'Data Sheet'!J29</f>
      </c>
      <c r="L19" s="210">
        <f>'Data Sheet'!K29</f>
      </c>
      <c r="M19" s="158">
        <f>M18*$U30</f>
      </c>
      <c r="N19" s="159">
        <f>N18*$V30</f>
      </c>
      <c r="O19" s="160">
        <f>O18*$W30</f>
      </c>
      <c r="P19" s="208">
        <f>P18-P20</f>
      </c>
      <c r="Q19" s="206"/>
      <c r="R19" s="207"/>
      <c r="S19" s="207"/>
      <c r="U19" s="154"/>
      <c r="W19" s="163"/>
    </row>
    <row r="20" spans="1:23">
      <c r="A20" s="209" t="s">
        <v>69</v>
      </c>
      <c r="B20" s="143" t="s">
        <v>91</v>
      </c>
      <c r="C20" s="206">
        <f>'Data Sheet'!B30</f>
      </c>
      <c r="D20" s="156">
        <f>'Data Sheet'!C30</f>
      </c>
      <c r="E20" s="156">
        <f>'Data Sheet'!D30</f>
      </c>
      <c r="F20" s="156">
        <f>'Data Sheet'!E30</f>
      </c>
      <c r="G20" s="156">
        <f>'Data Sheet'!F30</f>
      </c>
      <c r="H20" s="156">
        <f>'Data Sheet'!G30</f>
      </c>
      <c r="I20" s="156">
        <f>'Data Sheet'!H30</f>
      </c>
      <c r="J20" s="156">
        <f>'Data Sheet'!I30</f>
      </c>
      <c r="K20" s="156">
        <f>'Data Sheet'!J30</f>
      </c>
      <c r="L20" s="156">
        <f>'Data Sheet'!K30</f>
      </c>
      <c r="M20" s="158">
        <f>M18-M19</f>
      </c>
      <c r="N20" s="159">
        <f>N18-N19</f>
      </c>
      <c r="O20" s="160">
        <f>O18-O19</f>
      </c>
      <c r="P20" s="208">
        <f>SUM(I105:L105)</f>
      </c>
      <c r="Q20" s="205">
        <f>((O20/L20)^(1/3))-1</f>
      </c>
      <c r="R20" s="162">
        <f>((L20/I20)^(1/3))-1</f>
      </c>
      <c r="S20" s="162" t="e">
        <f>((L20/G20)^(1/5))-1</f>
      </c>
      <c r="T20" s="162" t="str">
        <f>IF(C20&gt;0,((L20/C20)^(1/9))-1,"-")</f>
      </c>
      <c r="U20" s="154"/>
      <c r="W20" s="163"/>
    </row>
    <row r="21" spans="1:23">
      <c r="A21" s="209" t="s">
        <v>212</v>
      </c>
      <c r="C21" s="206"/>
      <c r="D21" s="162" t="e">
        <f>D20/C20-1</f>
      </c>
      <c r="E21" s="162" t="e">
        <f t="shared" ref="E21:O21" si="10">E20/D20-1</f>
      </c>
      <c r="F21" s="162" t="e">
        <f t="shared" si="10"/>
      </c>
      <c r="G21" s="162" t="e">
        <f t="shared" si="10"/>
      </c>
      <c r="H21" s="162" t="e">
        <f t="shared" si="10"/>
      </c>
      <c r="I21" s="162">
        <f t="shared" si="10"/>
      </c>
      <c r="J21" s="162">
        <f>J20/I20-1</f>
      </c>
      <c r="K21" s="162">
        <f>K20/J20-1</f>
      </c>
      <c r="L21" s="162">
        <f t="shared" si="10"/>
      </c>
      <c r="M21" s="202">
        <f t="shared" si="10"/>
      </c>
      <c r="N21" s="203">
        <f t="shared" si="10"/>
      </c>
      <c r="O21" s="204">
        <f t="shared" si="10"/>
      </c>
      <c r="P21" s="208"/>
      <c r="Q21" s="205"/>
      <c r="R21" s="162"/>
      <c r="S21" s="162"/>
      <c r="T21" s="162"/>
      <c r="U21" s="154"/>
      <c r="W21" s="163"/>
    </row>
    <row r="22" spans="1:23">
      <c r="A22" s="209" t="s">
        <v>40</v>
      </c>
      <c r="B22" s="143" t="s">
        <v>90</v>
      </c>
      <c r="C22" s="212" t="e">
        <f t="shared" ref="C22:P22" si="11">C20/C5</f>
      </c>
      <c r="D22" s="213" t="e">
        <f t="shared" si="11"/>
      </c>
      <c r="E22" s="213" t="e">
        <f t="shared" si="11"/>
      </c>
      <c r="F22" s="213" t="e">
        <f t="shared" si="11"/>
      </c>
      <c r="G22" s="213" t="e">
        <f t="shared" si="11"/>
      </c>
      <c r="H22" s="213">
        <f t="shared" si="11"/>
      </c>
      <c r="I22" s="213">
        <f t="shared" si="11"/>
      </c>
      <c r="J22" s="213">
        <f t="shared" si="11"/>
      </c>
      <c r="K22" s="213">
        <f t="shared" si="11"/>
      </c>
      <c r="L22" s="213">
        <f t="shared" si="11"/>
      </c>
      <c r="M22" s="214">
        <f t="shared" si="11"/>
      </c>
      <c r="N22" s="215">
        <f t="shared" si="11"/>
      </c>
      <c r="O22" s="216">
        <f t="shared" si="11"/>
      </c>
      <c r="P22" s="217">
        <f t="shared" si="11"/>
      </c>
      <c r="Q22" s="212"/>
      <c r="R22" s="162">
        <f>((L22/I22)^(1/3))-1</f>
      </c>
      <c r="S22" s="162" t="e">
        <f>((L22/G22)^(1/5))-1</f>
      </c>
      <c r="T22" s="162" t="e">
        <f>IF(C22&gt;0,((L22/C22)^(1/9))-1,"-")</f>
      </c>
      <c r="U22" s="154"/>
      <c r="W22" s="163"/>
    </row>
    <row r="23" spans="1:23" ht="13.5" thickBot="1">
      <c r="A23" s="218" t="s">
        <v>101</v>
      </c>
      <c r="B23" s="175" t="s">
        <v>90</v>
      </c>
      <c r="C23" s="219" t="e">
        <f>'Data Sheet'!B31/C5</f>
      </c>
      <c r="D23" s="220" t="e">
        <f>'Data Sheet'!C31/D5</f>
      </c>
      <c r="E23" s="220" t="e">
        <f>'Data Sheet'!D31/E5</f>
      </c>
      <c r="F23" s="220" t="e">
        <f>'Data Sheet'!E31/F5</f>
      </c>
      <c r="G23" s="220" t="e">
        <f>'Data Sheet'!F31/G5</f>
      </c>
      <c r="H23" s="220">
        <f>'Data Sheet'!G31/H5</f>
      </c>
      <c r="I23" s="220">
        <f>'Data Sheet'!H31/I5</f>
      </c>
      <c r="J23" s="220">
        <f>'Data Sheet'!I31/J5</f>
      </c>
      <c r="K23" s="220">
        <f>'Data Sheet'!J31/K5</f>
      </c>
      <c r="L23" s="220">
        <f>'Data Sheet'!K31/L5</f>
      </c>
      <c r="M23" s="221">
        <f>M22*$U32</f>
      </c>
      <c r="N23" s="222">
        <f>N22*$V32</f>
      </c>
      <c r="O23" s="223">
        <f>O22*$W32</f>
      </c>
      <c r="P23" s="224"/>
      <c r="Q23" s="219"/>
      <c r="R23" s="183" t="e">
        <f>((L23/I23)^(1/3))-1</f>
      </c>
      <c r="S23" s="183" t="e">
        <f>((L23/G23)^(1/5))-1</f>
      </c>
      <c r="T23" s="183" t="e">
        <f>IF(C23&gt;0,((L23/C23)^(1/9))-1,"-")</f>
      </c>
      <c r="U23" s="154"/>
      <c r="W23" s="163"/>
    </row>
    <row r="24" spans="1:23" ht="13.5" thickBot="1">
      <c r="A24" s="209"/>
      <c r="C24" s="154"/>
      <c r="G24" s="225"/>
      <c r="H24" s="225"/>
      <c r="I24" s="225"/>
      <c r="J24" s="225"/>
      <c r="K24" s="225"/>
      <c r="L24" s="226"/>
      <c r="M24" s="214"/>
      <c r="N24" s="215"/>
      <c r="O24" s="216"/>
      <c r="P24" s="217"/>
      <c r="Q24" s="212"/>
      <c r="R24" s="207"/>
      <c r="S24" s="207"/>
      <c r="U24" s="154"/>
      <c r="W24" s="163"/>
    </row>
    <row r="25" spans="1:23">
      <c r="A25" s="227" t="s">
        <v>119</v>
      </c>
      <c r="B25" s="190"/>
      <c r="C25" s="189"/>
      <c r="D25" s="190"/>
      <c r="E25" s="190"/>
      <c r="F25" s="190"/>
      <c r="G25" s="228"/>
      <c r="H25" s="228"/>
      <c r="I25" s="228"/>
      <c r="J25" s="228"/>
      <c r="K25" s="228"/>
      <c r="L25" s="229"/>
      <c r="M25" s="230"/>
      <c r="N25" s="231"/>
      <c r="O25" s="232"/>
      <c r="P25" s="233"/>
      <c r="Q25" s="234"/>
      <c r="R25" s="235"/>
      <c r="S25" s="235"/>
      <c r="T25" s="190"/>
      <c r="U25" s="154"/>
      <c r="W25" s="163"/>
    </row>
    <row r="26" spans="1:23">
      <c r="A26" s="209" t="s">
        <v>94</v>
      </c>
      <c r="B26" s="143" t="s">
        <v>95</v>
      </c>
      <c r="C26" s="205" t="e">
        <f t="shared" ref="C26:L26" si="12">C11/C$9</f>
      </c>
      <c r="D26" s="207" t="e">
        <f t="shared" si="12"/>
      </c>
      <c r="E26" s="207" t="e">
        <f t="shared" si="12"/>
      </c>
      <c r="F26" s="207" t="e">
        <f t="shared" si="12"/>
      </c>
      <c r="G26" s="207" t="e">
        <f t="shared" si="12"/>
      </c>
      <c r="H26" s="207">
        <f t="shared" si="12"/>
      </c>
      <c r="I26" s="207">
        <f t="shared" si="12"/>
      </c>
      <c r="J26" s="207">
        <f>J11/J$9</f>
      </c>
      <c r="K26" s="207">
        <f t="shared" si="12"/>
      </c>
      <c r="L26" s="207">
        <f t="shared" si="12"/>
      </c>
      <c r="M26" s="214"/>
      <c r="N26" s="215"/>
      <c r="O26" s="216"/>
      <c r="P26" s="236"/>
      <c r="Q26" s="205"/>
      <c r="R26" s="237">
        <f t="shared" ref="R26:R32" si="13">AVERAGE(J26:L26)</f>
      </c>
      <c r="S26" s="237">
        <f t="shared" ref="S26:S32" si="14">AVERAGE(H26:L26)</f>
      </c>
      <c r="T26" s="237" t="e">
        <f t="shared" ref="T26:T32" si="15">AVERAGE(C26:L26)</f>
      </c>
      <c r="U26" s="154"/>
      <c r="W26" s="163"/>
    </row>
    <row r="27" spans="1:23">
      <c r="A27" s="209" t="s">
        <v>118</v>
      </c>
      <c r="B27" s="143" t="s">
        <v>95</v>
      </c>
      <c r="C27" s="205" t="e">
        <f t="shared" ref="C27:L27" si="16">C13/C$9</f>
      </c>
      <c r="D27" s="207" t="e">
        <f t="shared" si="16"/>
      </c>
      <c r="E27" s="207" t="e">
        <f t="shared" si="16"/>
      </c>
      <c r="F27" s="207" t="e">
        <f t="shared" si="16"/>
      </c>
      <c r="G27" s="207" t="e">
        <f t="shared" si="16"/>
      </c>
      <c r="H27" s="207">
        <f t="shared" si="16"/>
      </c>
      <c r="I27" s="207">
        <f t="shared" si="16"/>
      </c>
      <c r="J27" s="207">
        <f>J13/J$9</f>
      </c>
      <c r="K27" s="207">
        <f t="shared" si="16"/>
      </c>
      <c r="L27" s="207">
        <f t="shared" si="16"/>
      </c>
      <c r="M27" s="238">
        <f t="shared" ref="M27:O27" si="17">M13/M$9</f>
      </c>
      <c r="N27" s="239">
        <f t="shared" si="17"/>
      </c>
      <c r="O27" s="240">
        <f t="shared" si="17"/>
      </c>
      <c r="P27" s="236">
        <f>P13/P$9</f>
      </c>
      <c r="Q27" s="205"/>
      <c r="R27" s="237">
        <f t="shared" si="13"/>
      </c>
      <c r="S27" s="237">
        <f t="shared" si="14"/>
      </c>
      <c r="T27" s="237" t="e">
        <f t="shared" si="15"/>
      </c>
      <c r="U27" s="241">
        <f>R27</f>
      </c>
      <c r="V27" s="242">
        <f>U27</f>
      </c>
      <c r="W27" s="243">
        <f>V27</f>
      </c>
    </row>
    <row r="28" spans="1:23" outlineLevel="1">
      <c r="A28" s="209" t="s">
        <v>99</v>
      </c>
      <c r="B28" s="143" t="s">
        <v>95</v>
      </c>
      <c r="C28" s="205" t="e">
        <f t="shared" ref="C28:O28" si="18">C16/(C45+C46)</f>
      </c>
      <c r="D28" s="207" t="e">
        <f t="shared" si="18"/>
      </c>
      <c r="E28" s="207" t="e">
        <f t="shared" si="18"/>
      </c>
      <c r="F28" s="207" t="e">
        <f t="shared" si="18"/>
      </c>
      <c r="G28" s="207" t="e">
        <f t="shared" si="18"/>
      </c>
      <c r="H28" s="207">
        <f t="shared" si="18"/>
      </c>
      <c r="I28" s="207">
        <f t="shared" si="18"/>
      </c>
      <c r="J28" s="207">
        <f t="shared" si="18"/>
      </c>
      <c r="K28" s="207">
        <f t="shared" si="18"/>
      </c>
      <c r="L28" s="207">
        <f t="shared" si="18"/>
      </c>
      <c r="M28" s="238">
        <f t="shared" si="18"/>
      </c>
      <c r="N28" s="239">
        <f t="shared" si="18"/>
      </c>
      <c r="O28" s="240">
        <f t="shared" si="18"/>
      </c>
      <c r="P28" s="236"/>
      <c r="Q28" s="244">
        <f>AVERAGE(M28:O28)</f>
      </c>
      <c r="R28" s="245">
        <f t="shared" si="13"/>
      </c>
      <c r="S28" s="245">
        <f t="shared" si="14"/>
      </c>
      <c r="T28" s="245" t="e">
        <f t="shared" si="15"/>
      </c>
      <c r="U28" s="211"/>
      <c r="W28" s="163"/>
    </row>
    <row r="29" spans="1:23" outlineLevel="1">
      <c r="A29" s="209" t="s">
        <v>117</v>
      </c>
      <c r="B29" s="143" t="s">
        <v>95</v>
      </c>
      <c r="C29" s="205" t="e">
        <f t="shared" ref="C29:O29" si="19">C17/C42</f>
      </c>
      <c r="D29" s="207" t="e">
        <f t="shared" si="19"/>
      </c>
      <c r="E29" s="207" t="e">
        <f t="shared" si="19"/>
      </c>
      <c r="F29" s="207" t="e">
        <f t="shared" si="19"/>
      </c>
      <c r="G29" s="207" t="e">
        <f t="shared" si="19"/>
      </c>
      <c r="H29" s="207">
        <f t="shared" si="19"/>
      </c>
      <c r="I29" s="207">
        <f t="shared" si="19"/>
      </c>
      <c r="J29" s="207">
        <f t="shared" si="19"/>
      </c>
      <c r="K29" s="207">
        <f t="shared" si="19"/>
      </c>
      <c r="L29" s="207">
        <f t="shared" si="19"/>
      </c>
      <c r="M29" s="238">
        <f t="shared" si="19"/>
      </c>
      <c r="N29" s="239">
        <f t="shared" si="19"/>
      </c>
      <c r="O29" s="240">
        <f t="shared" si="19"/>
      </c>
      <c r="P29" s="187"/>
      <c r="Q29" s="244">
        <f>AVERAGE(M29:O29)</f>
      </c>
      <c r="R29" s="245">
        <f t="shared" si="13"/>
      </c>
      <c r="S29" s="245">
        <f t="shared" si="14"/>
      </c>
      <c r="T29" s="245" t="e">
        <f t="shared" si="15"/>
      </c>
      <c r="U29" s="154"/>
      <c r="W29" s="163"/>
    </row>
    <row r="30" spans="1:23" outlineLevel="1">
      <c r="A30" s="209" t="s">
        <v>98</v>
      </c>
      <c r="B30" s="143" t="s">
        <v>95</v>
      </c>
      <c r="C30" s="205" t="e">
        <f t="shared" ref="C30:L30" si="20">C19/C18</f>
      </c>
      <c r="D30" s="207" t="e">
        <f t="shared" si="20"/>
      </c>
      <c r="E30" s="207" t="e">
        <f t="shared" si="20"/>
      </c>
      <c r="F30" s="207" t="e">
        <f t="shared" si="20"/>
      </c>
      <c r="G30" s="207" t="e">
        <f t="shared" si="20"/>
      </c>
      <c r="H30" s="207">
        <f t="shared" si="20"/>
      </c>
      <c r="I30" s="207">
        <f t="shared" si="20"/>
      </c>
      <c r="J30" s="207">
        <f t="shared" si="20"/>
      </c>
      <c r="K30" s="207">
        <f t="shared" si="20"/>
      </c>
      <c r="L30" s="207">
        <f t="shared" si="20"/>
      </c>
      <c r="M30" s="238">
        <f t="shared" ref="M30:P30" si="21">M19/M18</f>
      </c>
      <c r="N30" s="239">
        <f t="shared" si="21"/>
      </c>
      <c r="O30" s="240">
        <f t="shared" si="21"/>
      </c>
      <c r="P30" s="236">
        <f t="shared" si="21"/>
      </c>
      <c r="Q30" s="244">
        <f>AVERAGE(M30:O30)</f>
      </c>
      <c r="R30" s="237">
        <f t="shared" si="13"/>
      </c>
      <c r="S30" s="237">
        <f t="shared" si="14"/>
      </c>
      <c r="T30" s="237" t="e">
        <f t="shared" si="15"/>
      </c>
      <c r="U30" s="199">
        <f>R30</f>
      </c>
      <c r="V30" s="242">
        <f>U30</f>
      </c>
      <c r="W30" s="243">
        <f>V30</f>
      </c>
    </row>
    <row r="31" spans="1:23">
      <c r="A31" s="209" t="s">
        <v>85</v>
      </c>
      <c r="B31" s="143" t="s">
        <v>95</v>
      </c>
      <c r="C31" s="205" t="e">
        <f t="shared" ref="C31:F31" si="22">C20/C$9</f>
      </c>
      <c r="D31" s="207" t="e">
        <f t="shared" si="22"/>
      </c>
      <c r="E31" s="207" t="e">
        <f t="shared" si="22"/>
      </c>
      <c r="F31" s="207" t="e">
        <f t="shared" si="22"/>
      </c>
      <c r="G31" s="207" t="e">
        <f>G20/G$9</f>
      </c>
      <c r="H31" s="207">
        <f t="shared" ref="H31:L31" si="23">H20/H$9</f>
      </c>
      <c r="I31" s="207">
        <f t="shared" si="23"/>
      </c>
      <c r="J31" s="207">
        <f>J20/J$9</f>
      </c>
      <c r="K31" s="207">
        <f t="shared" si="23"/>
      </c>
      <c r="L31" s="207">
        <f t="shared" si="23"/>
      </c>
      <c r="M31" s="238">
        <f t="shared" ref="M31:O31" si="24">M20/M$9</f>
      </c>
      <c r="N31" s="239">
        <f t="shared" si="24"/>
      </c>
      <c r="O31" s="240">
        <f t="shared" si="24"/>
      </c>
      <c r="P31" s="236">
        <f>P20/P$9</f>
      </c>
      <c r="Q31" s="205"/>
      <c r="R31" s="237">
        <f t="shared" si="13"/>
      </c>
      <c r="S31" s="237">
        <f t="shared" si="14"/>
      </c>
      <c r="T31" s="237" t="e">
        <f t="shared" si="15"/>
      </c>
      <c r="U31" s="154"/>
      <c r="W31" s="163"/>
    </row>
    <row r="32" spans="1:23" ht="13.5" thickBot="1">
      <c r="A32" s="218" t="s">
        <v>104</v>
      </c>
      <c r="B32" s="175" t="s">
        <v>95</v>
      </c>
      <c r="C32" s="246" t="e">
        <f>C23/C22</f>
      </c>
      <c r="D32" s="247" t="e">
        <f t="shared" ref="D32:O32" si="25">D23/D22</f>
      </c>
      <c r="E32" s="247" t="e">
        <f t="shared" si="25"/>
      </c>
      <c r="F32" s="247" t="e">
        <f t="shared" si="25"/>
      </c>
      <c r="G32" s="247" t="e">
        <f t="shared" si="25"/>
      </c>
      <c r="H32" s="247">
        <f t="shared" si="25"/>
      </c>
      <c r="I32" s="247">
        <f t="shared" si="25"/>
      </c>
      <c r="J32" s="247">
        <f t="shared" si="25"/>
      </c>
      <c r="K32" s="247">
        <f t="shared" si="25"/>
      </c>
      <c r="L32" s="247">
        <f t="shared" si="25"/>
      </c>
      <c r="M32" s="248">
        <f t="shared" si="25"/>
      </c>
      <c r="N32" s="249">
        <f t="shared" si="25"/>
      </c>
      <c r="O32" s="250">
        <f t="shared" si="25"/>
      </c>
      <c r="P32" s="251"/>
      <c r="Q32" s="246"/>
      <c r="R32" s="252">
        <f t="shared" si="13"/>
      </c>
      <c r="S32" s="252">
        <f t="shared" si="14"/>
      </c>
      <c r="T32" s="252" t="e">
        <f t="shared" si="15"/>
      </c>
      <c r="U32" s="199">
        <f>R32</f>
      </c>
      <c r="V32" s="242">
        <f>U32</f>
      </c>
      <c r="W32" s="243">
        <f>V32</f>
      </c>
    </row>
    <row r="33" spans="1:23" ht="13.5" thickBot="1">
      <c r="A33" s="209"/>
      <c r="C33" s="154"/>
      <c r="H33" s="207"/>
      <c r="I33" s="207"/>
      <c r="J33" s="207"/>
      <c r="K33" s="207"/>
      <c r="L33" s="253"/>
      <c r="M33" s="238"/>
      <c r="N33" s="239"/>
      <c r="O33" s="240"/>
      <c r="P33" s="236"/>
      <c r="Q33" s="205"/>
      <c r="U33" s="154"/>
      <c r="W33" s="163"/>
    </row>
    <row r="34" spans="1:23">
      <c r="A34" s="227" t="s">
        <v>84</v>
      </c>
      <c r="B34" s="190"/>
      <c r="C34" s="189"/>
      <c r="D34" s="190"/>
      <c r="E34" s="190"/>
      <c r="F34" s="190"/>
      <c r="G34" s="190"/>
      <c r="H34" s="235"/>
      <c r="I34" s="235"/>
      <c r="J34" s="235"/>
      <c r="K34" s="235"/>
      <c r="L34" s="254"/>
      <c r="M34" s="255"/>
      <c r="N34" s="256"/>
      <c r="O34" s="257"/>
      <c r="P34" s="258"/>
      <c r="Q34" s="197"/>
      <c r="R34" s="190"/>
      <c r="S34" s="190"/>
      <c r="T34" s="190"/>
      <c r="U34" s="154"/>
      <c r="W34" s="163"/>
    </row>
    <row r="35" spans="1:23">
      <c r="A35" s="209" t="str">
        <f>A9</f>
      </c>
      <c r="B35" s="143" t="s">
        <v>95</v>
      </c>
      <c r="C35" s="205"/>
      <c r="D35" s="207" t="e">
        <f t="shared" ref="D35:O35" si="26">D9/C9-1</f>
      </c>
      <c r="E35" s="207" t="e">
        <f t="shared" si="26"/>
      </c>
      <c r="F35" s="207" t="e">
        <f t="shared" si="26"/>
      </c>
      <c r="G35" s="207" t="e">
        <f t="shared" si="26"/>
      </c>
      <c r="H35" s="207" t="e">
        <f t="shared" si="26"/>
      </c>
      <c r="I35" s="207">
        <f t="shared" si="26"/>
      </c>
      <c r="J35" s="207">
        <f>J9/I9-1</f>
      </c>
      <c r="K35" s="207">
        <f>K9/J9-1</f>
      </c>
      <c r="L35" s="207">
        <f t="shared" si="26"/>
      </c>
      <c r="M35" s="238">
        <f t="shared" si="26"/>
      </c>
      <c r="N35" s="239">
        <f t="shared" si="26"/>
      </c>
      <c r="O35" s="240">
        <f t="shared" si="26"/>
      </c>
      <c r="P35" s="236">
        <f>P9/L9-1</f>
      </c>
      <c r="Q35" s="205"/>
      <c r="U35" s="154"/>
      <c r="W35" s="163"/>
    </row>
    <row r="36" spans="1:23">
      <c r="A36" s="209" t="s">
        <v>96</v>
      </c>
      <c r="B36" s="143" t="s">
        <v>95</v>
      </c>
      <c r="C36" s="154"/>
      <c r="D36" s="207" t="e">
        <f t="shared" ref="D36:L36" si="27">D11/C11-1</f>
      </c>
      <c r="E36" s="207" t="e">
        <f t="shared" si="27"/>
      </c>
      <c r="F36" s="207" t="e">
        <f t="shared" si="27"/>
      </c>
      <c r="G36" s="207" t="e">
        <f t="shared" si="27"/>
      </c>
      <c r="H36" s="207" t="e">
        <f t="shared" si="27"/>
      </c>
      <c r="I36" s="207">
        <f t="shared" si="27"/>
      </c>
      <c r="J36" s="207">
        <f>J11/I11-1</f>
      </c>
      <c r="K36" s="207">
        <f>K11/J11-1</f>
      </c>
      <c r="L36" s="207">
        <f t="shared" si="27"/>
      </c>
      <c r="M36" s="238"/>
      <c r="N36" s="239"/>
      <c r="O36" s="240"/>
      <c r="P36" s="236"/>
      <c r="Q36" s="205"/>
      <c r="U36" s="154"/>
      <c r="W36" s="163"/>
    </row>
    <row r="37" spans="1:23">
      <c r="A37" s="209" t="s">
        <v>68</v>
      </c>
      <c r="B37" s="143" t="s">
        <v>95</v>
      </c>
      <c r="C37" s="154"/>
      <c r="D37" s="207" t="e">
        <f t="shared" ref="D37:L37" si="28">D13/C13-1</f>
      </c>
      <c r="E37" s="207" t="e">
        <f t="shared" si="28"/>
      </c>
      <c r="F37" s="207" t="e">
        <f t="shared" si="28"/>
      </c>
      <c r="G37" s="207" t="e">
        <f t="shared" si="28"/>
      </c>
      <c r="H37" s="207" t="e">
        <f t="shared" si="28"/>
      </c>
      <c r="I37" s="207">
        <f t="shared" si="28"/>
      </c>
      <c r="J37" s="207">
        <f>J13/I13-1</f>
      </c>
      <c r="K37" s="207">
        <f>K13/J13-1</f>
      </c>
      <c r="L37" s="207">
        <f t="shared" si="28"/>
      </c>
      <c r="M37" s="238">
        <f>M13/L13-1</f>
      </c>
      <c r="N37" s="239">
        <f>N13/M13-1</f>
      </c>
      <c r="O37" s="240">
        <f>O13/N13-1</f>
      </c>
      <c r="P37" s="236">
        <f>P13/L13-1</f>
      </c>
      <c r="Q37" s="205"/>
      <c r="U37" s="154"/>
      <c r="W37" s="163"/>
    </row>
    <row r="38" spans="1:23" ht="13.5" thickBot="1">
      <c r="A38" s="218" t="s">
        <v>93</v>
      </c>
      <c r="B38" s="175" t="s">
        <v>95</v>
      </c>
      <c r="C38" s="174"/>
      <c r="D38" s="247" t="e">
        <f t="shared" ref="D38:O38" si="29">D20/C20-1</f>
      </c>
      <c r="E38" s="247" t="e">
        <f t="shared" si="29"/>
      </c>
      <c r="F38" s="247" t="e">
        <f t="shared" si="29"/>
      </c>
      <c r="G38" s="247" t="e">
        <f t="shared" si="29"/>
      </c>
      <c r="H38" s="247" t="e">
        <f t="shared" si="29"/>
      </c>
      <c r="I38" s="247">
        <f t="shared" si="29"/>
      </c>
      <c r="J38" s="247">
        <f>J20/I20-1</f>
      </c>
      <c r="K38" s="247">
        <f>K20/J20-1</f>
      </c>
      <c r="L38" s="247">
        <f t="shared" si="29"/>
      </c>
      <c r="M38" s="248">
        <f t="shared" si="29"/>
      </c>
      <c r="N38" s="249">
        <f t="shared" si="29"/>
      </c>
      <c r="O38" s="250">
        <f t="shared" si="29"/>
      </c>
      <c r="P38" s="251">
        <f>P20/L20-1</f>
      </c>
      <c r="Q38" s="246"/>
      <c r="R38" s="175"/>
      <c r="S38" s="175"/>
      <c r="T38" s="175"/>
      <c r="U38" s="154"/>
      <c r="W38" s="163"/>
    </row>
    <row r="39" spans="1:23" ht="13.5" thickBot="1">
      <c r="A39" s="209"/>
      <c r="C39" s="154"/>
      <c r="D39" s="207"/>
      <c r="E39" s="207"/>
      <c r="F39" s="207"/>
      <c r="G39" s="207"/>
      <c r="H39" s="207"/>
      <c r="I39" s="207"/>
      <c r="J39" s="207"/>
      <c r="K39" s="207"/>
      <c r="L39" s="253"/>
      <c r="M39" s="238"/>
      <c r="N39" s="239"/>
      <c r="O39" s="240"/>
      <c r="P39" s="236"/>
      <c r="Q39" s="205"/>
      <c r="U39" s="154"/>
      <c r="W39" s="163"/>
    </row>
    <row r="40" spans="1:23">
      <c r="A40" s="227" t="s">
        <v>25</v>
      </c>
      <c r="B40" s="190"/>
      <c r="C40" s="189"/>
      <c r="D40" s="235"/>
      <c r="E40" s="235"/>
      <c r="F40" s="235"/>
      <c r="G40" s="235"/>
      <c r="H40" s="235"/>
      <c r="I40" s="235"/>
      <c r="J40" s="235"/>
      <c r="K40" s="235"/>
      <c r="L40" s="254"/>
      <c r="M40" s="255"/>
      <c r="N40" s="256"/>
      <c r="O40" s="257"/>
      <c r="P40" s="258"/>
      <c r="Q40" s="197"/>
      <c r="R40" s="190"/>
      <c r="S40" s="190"/>
      <c r="T40" s="190"/>
      <c r="U40" s="154"/>
      <c r="W40" s="163"/>
    </row>
    <row r="41" spans="1:23">
      <c r="A41" s="209" t="s">
        <v>71</v>
      </c>
      <c r="B41" s="143" t="s">
        <v>91</v>
      </c>
      <c r="C41" s="206">
        <f>'Data Sheet'!B57+'Data Sheet'!B58</f>
      </c>
      <c r="D41" s="210">
        <f>'Data Sheet'!C57+'Data Sheet'!C58</f>
      </c>
      <c r="E41" s="210">
        <f>'Data Sheet'!D57+'Data Sheet'!D58</f>
      </c>
      <c r="F41" s="210">
        <f>'Data Sheet'!E57+'Data Sheet'!E58</f>
      </c>
      <c r="G41" s="210">
        <f>'Data Sheet'!F57+'Data Sheet'!F58</f>
      </c>
      <c r="H41" s="210">
        <f>'Data Sheet'!G57+'Data Sheet'!G58</f>
      </c>
      <c r="I41" s="210">
        <f>'Data Sheet'!H57+'Data Sheet'!H58</f>
      </c>
      <c r="J41" s="210">
        <f>'Data Sheet'!I57+'Data Sheet'!I58</f>
      </c>
      <c r="K41" s="210">
        <f>'Data Sheet'!J57+'Data Sheet'!J58</f>
      </c>
      <c r="L41" s="259">
        <f>'Data Sheet'!K57+'Data Sheet'!K58</f>
      </c>
      <c r="M41" s="158">
        <f>L41+M20-M5*M23</f>
      </c>
      <c r="N41" s="159">
        <f>M41+N20-N5*N23</f>
      </c>
      <c r="O41" s="160">
        <f>N41+O20-O5*O23</f>
      </c>
      <c r="P41" s="187"/>
      <c r="Q41" s="205">
        <f>((O41/L41)^(1/3))-1</f>
      </c>
      <c r="R41" s="162">
        <f>((L41/I41)^(1/3))-1</f>
      </c>
      <c r="S41" s="162" t="e">
        <f>((L41/G41)^(1/5))-1</f>
      </c>
      <c r="T41" s="162" t="str">
        <f>IF(C41&gt;0,((L41/C41)^(1/9))-1,"-")</f>
      </c>
      <c r="U41" s="154"/>
      <c r="W41" s="163"/>
    </row>
    <row r="42" spans="1:23">
      <c r="A42" s="209" t="s">
        <v>72</v>
      </c>
      <c r="B42" s="143" t="s">
        <v>91</v>
      </c>
      <c r="C42" s="206">
        <f>'Data Sheet'!B59</f>
      </c>
      <c r="D42" s="210">
        <f>'Data Sheet'!C59</f>
      </c>
      <c r="E42" s="210">
        <f>'Data Sheet'!D59</f>
      </c>
      <c r="F42" s="210">
        <f>'Data Sheet'!E59</f>
      </c>
      <c r="G42" s="210">
        <f>'Data Sheet'!F59</f>
      </c>
      <c r="H42" s="210">
        <f>'Data Sheet'!G59</f>
      </c>
      <c r="I42" s="210">
        <f>'Data Sheet'!H59</f>
      </c>
      <c r="J42" s="210">
        <f>'Data Sheet'!I59</f>
      </c>
      <c r="K42" s="210">
        <f>'Data Sheet'!J59</f>
      </c>
      <c r="L42" s="259">
        <f>'Data Sheet'!K59</f>
      </c>
      <c r="M42" s="158">
        <f>(M45+M46+M47+M50)-M41</f>
      </c>
      <c r="N42" s="159">
        <f>(N45+N46+N47+N50)-N41</f>
      </c>
      <c r="O42" s="160">
        <f>(O45+O46+O47+O50)-O41</f>
      </c>
      <c r="P42" s="208">
        <f>L42</f>
      </c>
      <c r="Q42" s="205">
        <f>((O42/L42)^(1/3))-1</f>
      </c>
      <c r="R42" s="162">
        <f>((L42/I42)^(1/3))-1</f>
      </c>
      <c r="S42" s="162" t="e">
        <f>((L42/G42)^(1/5))-1</f>
      </c>
      <c r="T42" s="162" t="str">
        <f>IF(C42&gt;0,((L42/C42)^(1/9))-1,"-")</f>
      </c>
      <c r="U42" s="154"/>
      <c r="W42" s="163"/>
    </row>
    <row r="43" spans="1:23">
      <c r="A43" s="260" t="s">
        <v>120</v>
      </c>
      <c r="B43" s="261" t="s">
        <v>91</v>
      </c>
      <c r="C43" s="262">
        <f t="shared" ref="C43:K43" si="30">SUM(C41:C42)</f>
      </c>
      <c r="D43" s="263">
        <f t="shared" si="30"/>
      </c>
      <c r="E43" s="263">
        <f t="shared" si="30"/>
      </c>
      <c r="F43" s="263">
        <f t="shared" si="30"/>
      </c>
      <c r="G43" s="263">
        <f t="shared" si="30"/>
      </c>
      <c r="H43" s="263">
        <f t="shared" si="30"/>
      </c>
      <c r="I43" s="263">
        <f t="shared" si="30"/>
      </c>
      <c r="J43" s="263">
        <f t="shared" si="30"/>
      </c>
      <c r="K43" s="263">
        <f t="shared" si="30"/>
      </c>
      <c r="L43" s="264">
        <f>SUM(L41:L42)</f>
      </c>
      <c r="M43" s="265">
        <f>SUM(M41:M42)</f>
      </c>
      <c r="N43" s="266">
        <f>SUM(N41:N42)</f>
      </c>
      <c r="O43" s="267">
        <f>SUM(O41:O42)</f>
      </c>
      <c r="P43" s="268"/>
      <c r="Q43" s="205">
        <f>((O43/L43)^(1/3))-1</f>
      </c>
      <c r="R43" s="162">
        <f>((L43/I43)^(1/3))-1</f>
      </c>
      <c r="S43" s="162" t="e">
        <f>((L43/G43)^(1/5))-1</f>
      </c>
      <c r="T43" s="162" t="str">
        <f>IF(C43&gt;0,((L43/C43)^(1/9))-1,"-")</f>
      </c>
      <c r="U43" s="154"/>
      <c r="W43" s="163"/>
    </row>
    <row r="44" spans="1:23">
      <c r="A44" s="209" t="s">
        <v>123</v>
      </c>
      <c r="C44" s="206"/>
      <c r="D44" s="210"/>
      <c r="E44" s="210"/>
      <c r="F44" s="210"/>
      <c r="G44" s="210"/>
      <c r="H44" s="210"/>
      <c r="I44" s="210"/>
      <c r="J44" s="210"/>
      <c r="K44" s="210"/>
      <c r="L44" s="259"/>
      <c r="M44" s="158"/>
      <c r="N44" s="159"/>
      <c r="O44" s="160"/>
      <c r="P44" s="187"/>
      <c r="Q44" s="154"/>
      <c r="R44" s="207"/>
      <c r="S44" s="207"/>
      <c r="U44" s="154"/>
      <c r="W44" s="163"/>
    </row>
    <row r="45" spans="1:23">
      <c r="A45" s="209" t="s">
        <v>13</v>
      </c>
      <c r="B45" s="143" t="s">
        <v>91</v>
      </c>
      <c r="C45" s="206">
        <f>'Data Sheet'!B62</f>
      </c>
      <c r="D45" s="210">
        <f>'Data Sheet'!C62</f>
      </c>
      <c r="E45" s="210">
        <f>'Data Sheet'!D62</f>
      </c>
      <c r="F45" s="210">
        <f>'Data Sheet'!E62</f>
      </c>
      <c r="G45" s="210">
        <f>'Data Sheet'!F62</f>
      </c>
      <c r="H45" s="210">
        <f>'Data Sheet'!G62</f>
      </c>
      <c r="I45" s="210">
        <f>'Data Sheet'!H62</f>
      </c>
      <c r="J45" s="210">
        <f>'Data Sheet'!I62</f>
      </c>
      <c r="K45" s="210">
        <f>'Data Sheet'!J62</f>
      </c>
      <c r="L45" s="259">
        <f>'Data Sheet'!K62</f>
      </c>
      <c r="M45" s="158">
        <f>L45+M65-M16</f>
      </c>
      <c r="N45" s="159">
        <f>M45+N65-N16</f>
      </c>
      <c r="O45" s="160">
        <f>N45+O65-O16</f>
      </c>
      <c r="P45" s="187"/>
      <c r="Q45" s="205">
        <f>((O45/L45)^(1/3))-1</f>
      </c>
      <c r="R45" s="162">
        <f>((L45/I45)^(1/3))-1</f>
      </c>
      <c r="S45" s="162" t="e">
        <f>((L45/G45)^(1/5))-1</f>
      </c>
      <c r="T45" s="162" t="str">
        <f>IF(C45&gt;0,((L45/C45)^(1/9))-1,"-")</f>
      </c>
      <c r="U45" s="154"/>
      <c r="W45" s="163"/>
    </row>
    <row r="46" spans="1:23">
      <c r="A46" s="209" t="s">
        <v>141</v>
      </c>
      <c r="B46" s="143" t="s">
        <v>91</v>
      </c>
      <c r="C46" s="206">
        <f>'Data Sheet'!B63</f>
      </c>
      <c r="D46" s="210">
        <f>'Data Sheet'!C63</f>
      </c>
      <c r="E46" s="210">
        <f>'Data Sheet'!D63</f>
      </c>
      <c r="F46" s="210">
        <f>'Data Sheet'!E63</f>
      </c>
      <c r="G46" s="210">
        <f>'Data Sheet'!F63</f>
      </c>
      <c r="H46" s="210">
        <f>'Data Sheet'!G63</f>
      </c>
      <c r="I46" s="210">
        <f>'Data Sheet'!H63</f>
      </c>
      <c r="J46" s="210">
        <f>'Data Sheet'!I63</f>
      </c>
      <c r="K46" s="210">
        <f>'Data Sheet'!J63</f>
      </c>
      <c r="L46" s="259">
        <f>'Data Sheet'!K63</f>
      </c>
      <c r="M46" s="158">
        <f t="shared" ref="M46:O47" si="31">L46</f>
      </c>
      <c r="N46" s="159">
        <f t="shared" si="31"/>
      </c>
      <c r="O46" s="160">
        <f t="shared" si="31"/>
      </c>
      <c r="P46" s="187"/>
      <c r="Q46" s="205">
        <f>((O46/L46)^(1/3))-1</f>
      </c>
      <c r="R46" s="162">
        <f>((L46/I46)^(1/3))-1</f>
      </c>
      <c r="S46" s="162" t="e">
        <f>((L46/G46)^(1/5))-1</f>
      </c>
      <c r="T46" s="162" t="str">
        <f>IF(C46&gt;0,((L46/C46)^(1/9))-1,"-")</f>
      </c>
      <c r="U46" s="154"/>
      <c r="W46" s="163"/>
    </row>
    <row r="47" spans="1:23">
      <c r="A47" s="209" t="s">
        <v>15</v>
      </c>
      <c r="B47" s="143" t="s">
        <v>91</v>
      </c>
      <c r="C47" s="206">
        <f>'Data Sheet'!B64</f>
      </c>
      <c r="D47" s="210">
        <f>'Data Sheet'!C64</f>
      </c>
      <c r="E47" s="210">
        <f>'Data Sheet'!D64</f>
      </c>
      <c r="F47" s="210">
        <f>'Data Sheet'!E64</f>
      </c>
      <c r="G47" s="210">
        <f>'Data Sheet'!F64</f>
      </c>
      <c r="H47" s="210">
        <f>'Data Sheet'!G64</f>
      </c>
      <c r="I47" s="210">
        <f>'Data Sheet'!H64</f>
      </c>
      <c r="J47" s="210">
        <f>'Data Sheet'!I64</f>
      </c>
      <c r="K47" s="210">
        <f>'Data Sheet'!J64</f>
      </c>
      <c r="L47" s="259">
        <f>'Data Sheet'!K64</f>
      </c>
      <c r="M47" s="158">
        <f t="shared" si="31"/>
      </c>
      <c r="N47" s="159">
        <f t="shared" si="31"/>
      </c>
      <c r="O47" s="160">
        <f t="shared" si="31"/>
      </c>
      <c r="P47" s="187"/>
      <c r="Q47" s="154"/>
      <c r="R47" s="207"/>
      <c r="S47" s="207"/>
      <c r="U47" s="154"/>
      <c r="W47" s="163"/>
    </row>
    <row r="48" spans="1:23">
      <c r="A48" s="209" t="s">
        <v>121</v>
      </c>
      <c r="B48" s="143" t="s">
        <v>91</v>
      </c>
      <c r="C48" s="206">
        <f>'Data Sheet'!B65</f>
      </c>
      <c r="D48" s="210">
        <f>'Data Sheet'!C65</f>
      </c>
      <c r="E48" s="210">
        <f>'Data Sheet'!D65</f>
      </c>
      <c r="F48" s="210">
        <f>'Data Sheet'!E65</f>
      </c>
      <c r="G48" s="210">
        <f>'Data Sheet'!F65</f>
      </c>
      <c r="H48" s="210">
        <f>'Data Sheet'!G65</f>
      </c>
      <c r="I48" s="210">
        <f>'Data Sheet'!H65</f>
      </c>
      <c r="J48" s="210">
        <f>'Data Sheet'!I65</f>
      </c>
      <c r="K48" s="210">
        <f>'Data Sheet'!J65</f>
      </c>
      <c r="L48" s="259">
        <f>'Data Sheet'!K65</f>
      </c>
      <c r="M48" s="158"/>
      <c r="N48" s="159"/>
      <c r="O48" s="160"/>
      <c r="P48" s="187"/>
      <c r="Q48" s="154"/>
      <c r="R48" s="162">
        <f>((L48/I48)^(1/3))-1</f>
      </c>
      <c r="S48" s="162" t="e">
        <f>((L48/G48)^(1/5))-1</f>
      </c>
      <c r="T48" s="162" t="str">
        <f>IF(C48&gt;0,((L48/C48)^(1/9))-1,"-")</f>
      </c>
      <c r="U48" s="154"/>
      <c r="W48" s="163"/>
    </row>
    <row r="49" spans="1:23">
      <c r="A49" s="209" t="s">
        <v>122</v>
      </c>
      <c r="B49" s="143" t="s">
        <v>91</v>
      </c>
      <c r="C49" s="206">
        <f>'Data Sheet'!B60</f>
      </c>
      <c r="D49" s="210">
        <f>'Data Sheet'!C60</f>
      </c>
      <c r="E49" s="210">
        <f>'Data Sheet'!D60</f>
      </c>
      <c r="F49" s="210">
        <f>'Data Sheet'!E60</f>
      </c>
      <c r="G49" s="210">
        <f>'Data Sheet'!F60</f>
      </c>
      <c r="H49" s="210">
        <f>'Data Sheet'!G60</f>
      </c>
      <c r="I49" s="210">
        <f>'Data Sheet'!H60</f>
      </c>
      <c r="J49" s="210">
        <f>'Data Sheet'!I60</f>
      </c>
      <c r="K49" s="210">
        <f>'Data Sheet'!J60</f>
      </c>
      <c r="L49" s="259">
        <f>'Data Sheet'!K60</f>
      </c>
      <c r="M49" s="158"/>
      <c r="N49" s="159"/>
      <c r="O49" s="160"/>
      <c r="P49" s="187"/>
      <c r="Q49" s="154"/>
      <c r="R49" s="162">
        <f>((L49/I49)^(1/3))-1</f>
      </c>
      <c r="S49" s="162" t="e">
        <f>((L49/G49)^(1/5))-1</f>
      </c>
      <c r="T49" s="162" t="str">
        <f>IF(C49&gt;0,((L49/C49)^(1/9))-1,"-")</f>
      </c>
      <c r="U49" s="154"/>
      <c r="W49" s="163"/>
    </row>
    <row r="50" spans="1:23">
      <c r="A50" s="260" t="s">
        <v>102</v>
      </c>
      <c r="B50" s="261" t="s">
        <v>91</v>
      </c>
      <c r="C50" s="262">
        <f t="shared" ref="C50:F50" si="32">C48-C49</f>
      </c>
      <c r="D50" s="263">
        <f t="shared" si="32"/>
      </c>
      <c r="E50" s="263">
        <f t="shared" si="32"/>
      </c>
      <c r="F50" s="263">
        <f t="shared" si="32"/>
      </c>
      <c r="G50" s="263">
        <f>G48-G49</f>
      </c>
      <c r="H50" s="263">
        <f t="shared" ref="H50:L50" si="33">H48-H49</f>
      </c>
      <c r="I50" s="263">
        <f t="shared" si="33"/>
      </c>
      <c r="J50" s="263">
        <f t="shared" si="33"/>
      </c>
      <c r="K50" s="263">
        <f t="shared" si="33"/>
      </c>
      <c r="L50" s="264">
        <f t="shared" si="33"/>
      </c>
      <c r="M50" s="265">
        <f>M9*$U71</f>
      </c>
      <c r="N50" s="266">
        <f>N9*$V71</f>
      </c>
      <c r="O50" s="267">
        <f>O9*$W71</f>
      </c>
      <c r="P50" s="269"/>
      <c r="Q50" s="270"/>
      <c r="R50" s="162">
        <f>((L50/I50)^(1/3))-1</f>
      </c>
      <c r="S50" s="162" t="e">
        <f>((L50/G50)^(1/5))-1</f>
      </c>
      <c r="T50" s="162" t="str">
        <f>IF(C50&gt;0,((L50/C50)^(1/9))-1,"-")</f>
      </c>
      <c r="U50" s="154"/>
      <c r="W50" s="163"/>
    </row>
    <row r="51" spans="1:23" ht="13.5" thickBot="1">
      <c r="A51" s="174" t="s">
        <v>103</v>
      </c>
      <c r="B51" s="271"/>
      <c r="C51" s="272">
        <f t="shared" ref="C51:O51" si="34">C45+C46+C47+C50-C43</f>
      </c>
      <c r="D51" s="271">
        <f t="shared" si="34"/>
      </c>
      <c r="E51" s="271">
        <f t="shared" si="34"/>
      </c>
      <c r="F51" s="271">
        <f t="shared" si="34"/>
      </c>
      <c r="G51" s="271">
        <f t="shared" si="34"/>
      </c>
      <c r="H51" s="271">
        <f t="shared" si="34"/>
      </c>
      <c r="I51" s="271">
        <f t="shared" si="34"/>
      </c>
      <c r="J51" s="271">
        <f t="shared" si="34"/>
      </c>
      <c r="K51" s="271">
        <f t="shared" si="34"/>
      </c>
      <c r="L51" s="273">
        <f t="shared" si="34"/>
      </c>
      <c r="M51" s="274">
        <f>M45+M46+M47+M50-M43</f>
      </c>
      <c r="N51" s="275">
        <f t="shared" si="34"/>
      </c>
      <c r="O51" s="276">
        <f t="shared" si="34"/>
      </c>
      <c r="P51" s="277"/>
      <c r="Q51" s="174"/>
      <c r="R51" s="247"/>
      <c r="S51" s="247"/>
      <c r="T51" s="175"/>
      <c r="U51" s="154"/>
      <c r="W51" s="163"/>
    </row>
    <row r="52" spans="1:23" ht="13.5" thickBot="1">
      <c r="A52" s="154"/>
      <c r="B52" s="210"/>
      <c r="C52" s="206"/>
      <c r="D52" s="210"/>
      <c r="E52" s="210"/>
      <c r="F52" s="210"/>
      <c r="G52" s="210"/>
      <c r="H52" s="210"/>
      <c r="I52" s="210"/>
      <c r="J52" s="210"/>
      <c r="K52" s="210"/>
      <c r="L52" s="259"/>
      <c r="M52" s="158"/>
      <c r="N52" s="159"/>
      <c r="O52" s="160"/>
      <c r="P52" s="187"/>
      <c r="Q52" s="154"/>
      <c r="R52" s="207"/>
      <c r="S52" s="207"/>
      <c r="U52" s="154"/>
      <c r="W52" s="163"/>
    </row>
    <row r="53" spans="1:23">
      <c r="A53" s="278" t="str">
        <f>'Data Sheet'!A67</f>
      </c>
      <c r="B53" s="190" t="s">
        <v>91</v>
      </c>
      <c r="C53" s="278">
        <f>'Data Sheet'!B67</f>
      </c>
      <c r="D53" s="279">
        <f>'Data Sheet'!C67</f>
      </c>
      <c r="E53" s="279">
        <f>'Data Sheet'!D67</f>
      </c>
      <c r="F53" s="279">
        <f>'Data Sheet'!E67</f>
      </c>
      <c r="G53" s="279">
        <f>'Data Sheet'!F67</f>
      </c>
      <c r="H53" s="279">
        <f>'Data Sheet'!G67</f>
      </c>
      <c r="I53" s="279">
        <f>'Data Sheet'!H67</f>
      </c>
      <c r="J53" s="279">
        <f>'Data Sheet'!I67</f>
      </c>
      <c r="K53" s="279">
        <f>'Data Sheet'!J67</f>
      </c>
      <c r="L53" s="280">
        <f>'Data Sheet'!K67</f>
      </c>
      <c r="M53" s="281"/>
      <c r="N53" s="282"/>
      <c r="O53" s="283"/>
      <c r="P53" s="284"/>
      <c r="Q53" s="189"/>
      <c r="R53" s="198">
        <f>((L53/I53)^(1/3))-1</f>
      </c>
      <c r="S53" s="198" t="e">
        <f>((L53/G53)^(1/5))-1</f>
      </c>
      <c r="T53" s="198" t="str">
        <f>IF(C53&gt;0,((L53/C53)^(1/9))-1,"-")</f>
      </c>
      <c r="U53" s="154"/>
      <c r="W53" s="163"/>
    </row>
    <row r="54" spans="1:23">
      <c r="A54" s="206" t="str">
        <f>'Data Sheet'!A68</f>
      </c>
      <c r="B54" s="143" t="s">
        <v>91</v>
      </c>
      <c r="C54" s="206">
        <f>'Data Sheet'!B68</f>
      </c>
      <c r="D54" s="210">
        <f>'Data Sheet'!C68</f>
      </c>
      <c r="E54" s="210">
        <f>'Data Sheet'!D68</f>
      </c>
      <c r="F54" s="210">
        <f>'Data Sheet'!E68</f>
      </c>
      <c r="G54" s="210">
        <f>'Data Sheet'!F68</f>
      </c>
      <c r="H54" s="210">
        <f>'Data Sheet'!G68</f>
      </c>
      <c r="I54" s="210">
        <f>'Data Sheet'!H68</f>
      </c>
      <c r="J54" s="210">
        <f>'Data Sheet'!I68</f>
      </c>
      <c r="K54" s="210">
        <f>'Data Sheet'!J68</f>
      </c>
      <c r="L54" s="259">
        <f>'Data Sheet'!K68</f>
      </c>
      <c r="M54" s="158"/>
      <c r="N54" s="159"/>
      <c r="O54" s="160"/>
      <c r="P54" s="187"/>
      <c r="Q54" s="154"/>
      <c r="R54" s="162">
        <f>((L54/I54)^(1/3))-1</f>
      </c>
      <c r="S54" s="162" t="e">
        <f>((L54/G54)^(1/5))-1</f>
      </c>
      <c r="T54" s="162" t="str">
        <f>IF(C54&gt;0,((L54/C54)^(1/9))-1,"-")</f>
      </c>
      <c r="U54" s="154"/>
      <c r="W54" s="163"/>
    </row>
    <row r="55" spans="1:23" ht="13.5" thickBot="1">
      <c r="A55" s="272" t="str">
        <f>'Data Sheet'!A69</f>
      </c>
      <c r="B55" s="175" t="s">
        <v>91</v>
      </c>
      <c r="C55" s="272">
        <f>'Data Sheet'!B69</f>
      </c>
      <c r="D55" s="271">
        <f>'Data Sheet'!C69</f>
      </c>
      <c r="E55" s="271">
        <f>'Data Sheet'!D69</f>
      </c>
      <c r="F55" s="271">
        <f>'Data Sheet'!E69</f>
      </c>
      <c r="G55" s="271">
        <f>'Data Sheet'!F69</f>
      </c>
      <c r="H55" s="271">
        <f>'Data Sheet'!G69</f>
      </c>
      <c r="I55" s="271">
        <f>'Data Sheet'!H69</f>
      </c>
      <c r="J55" s="271">
        <f>'Data Sheet'!I69</f>
      </c>
      <c r="K55" s="271">
        <f>'Data Sheet'!J69</f>
      </c>
      <c r="L55" s="273">
        <f>'Data Sheet'!K69</f>
      </c>
      <c r="M55" s="274"/>
      <c r="N55" s="275"/>
      <c r="O55" s="276"/>
      <c r="P55" s="277"/>
      <c r="Q55" s="174"/>
      <c r="R55" s="183">
        <f>((L55/I55)^(1/3))-1</f>
      </c>
      <c r="S55" s="183" t="e">
        <f>((L55/G55)^(1/5))-1</f>
      </c>
      <c r="T55" s="183" t="str">
        <f>IF(C55&gt;0,((L55/C55)^(1/9))-1,"-")</f>
      </c>
      <c r="U55" s="154"/>
      <c r="W55" s="163"/>
    </row>
    <row r="56" spans="1:23" ht="13.5" thickBot="1">
      <c r="A56" s="154"/>
      <c r="C56" s="154"/>
      <c r="L56" s="163"/>
      <c r="M56" s="184"/>
      <c r="N56" s="185"/>
      <c r="O56" s="186"/>
      <c r="P56" s="187"/>
      <c r="Q56" s="154"/>
      <c r="U56" s="154"/>
      <c r="W56" s="163"/>
    </row>
    <row r="57" spans="1:23">
      <c r="A57" s="285" t="s">
        <v>84</v>
      </c>
      <c r="B57" s="190"/>
      <c r="C57" s="189"/>
      <c r="D57" s="190"/>
      <c r="E57" s="190"/>
      <c r="F57" s="190"/>
      <c r="G57" s="190"/>
      <c r="H57" s="190"/>
      <c r="I57" s="190"/>
      <c r="J57" s="190"/>
      <c r="K57" s="190"/>
      <c r="L57" s="286"/>
      <c r="M57" s="287"/>
      <c r="N57" s="288"/>
      <c r="O57" s="289"/>
      <c r="P57" s="284"/>
      <c r="Q57" s="189"/>
      <c r="R57" s="190"/>
      <c r="S57" s="190"/>
      <c r="T57" s="286"/>
      <c r="U57" s="154"/>
      <c r="W57" s="163"/>
    </row>
    <row r="58" spans="1:23">
      <c r="A58" s="154" t="s">
        <v>71</v>
      </c>
      <c r="B58" s="143" t="s">
        <v>95</v>
      </c>
      <c r="C58" s="205"/>
      <c r="D58" s="162" t="e">
        <f t="shared" ref="D58:L59" si="35">D41/C41-1</f>
      </c>
      <c r="E58" s="207" t="e">
        <f t="shared" si="35"/>
      </c>
      <c r="F58" s="207" t="e">
        <f t="shared" si="35"/>
      </c>
      <c r="G58" s="207" t="e">
        <f t="shared" si="35"/>
      </c>
      <c r="H58" s="207" t="e">
        <f t="shared" ref="H58:H59" si="36">H41/G41-1</f>
      </c>
      <c r="I58" s="207">
        <f t="shared" si="35"/>
      </c>
      <c r="J58" s="207">
        <f t="shared" ref="J58:K60" si="37">J41/I41-1</f>
      </c>
      <c r="K58" s="207">
        <f t="shared" si="37"/>
      </c>
      <c r="L58" s="207">
        <f t="shared" si="35"/>
      </c>
      <c r="M58" s="184"/>
      <c r="N58" s="185"/>
      <c r="O58" s="186"/>
      <c r="P58" s="187"/>
      <c r="Q58" s="154"/>
      <c r="T58" s="163"/>
      <c r="U58" s="154"/>
      <c r="W58" s="163"/>
    </row>
    <row r="59" spans="1:23">
      <c r="A59" s="154" t="s">
        <v>72</v>
      </c>
      <c r="B59" s="143" t="s">
        <v>95</v>
      </c>
      <c r="C59" s="205"/>
      <c r="D59" s="162" t="e">
        <f t="shared" si="35"/>
      </c>
      <c r="E59" s="207" t="e">
        <f t="shared" si="35"/>
      </c>
      <c r="F59" s="207" t="e">
        <f t="shared" si="35"/>
      </c>
      <c r="G59" s="207" t="e">
        <f t="shared" si="35"/>
      </c>
      <c r="H59" s="207" t="e">
        <f t="shared" si="36"/>
      </c>
      <c r="I59" s="207">
        <f t="shared" si="35"/>
      </c>
      <c r="J59" s="207">
        <f t="shared" si="37"/>
      </c>
      <c r="K59" s="207">
        <f t="shared" si="37"/>
      </c>
      <c r="L59" s="207">
        <f t="shared" si="35"/>
      </c>
      <c r="M59" s="184"/>
      <c r="N59" s="185"/>
      <c r="O59" s="186"/>
      <c r="P59" s="187"/>
      <c r="Q59" s="154"/>
      <c r="T59" s="163"/>
      <c r="U59" s="154"/>
      <c r="W59" s="163"/>
    </row>
    <row r="60" spans="1:23">
      <c r="A60" s="290" t="s">
        <v>100</v>
      </c>
      <c r="B60" s="143" t="s">
        <v>95</v>
      </c>
      <c r="C60" s="205"/>
      <c r="D60" s="162" t="e">
        <f t="shared" ref="D60:G60" si="38">D43/C43-1</f>
      </c>
      <c r="E60" s="207" t="e">
        <f t="shared" si="38"/>
      </c>
      <c r="F60" s="207" t="e">
        <f t="shared" si="38"/>
      </c>
      <c r="G60" s="207" t="e">
        <f t="shared" si="38"/>
      </c>
      <c r="H60" s="207" t="e">
        <f>H43/G43-1</f>
      </c>
      <c r="I60" s="207">
        <f t="shared" ref="I60:L60" si="39">I43/H43-1</f>
      </c>
      <c r="J60" s="207">
        <f t="shared" si="37"/>
      </c>
      <c r="K60" s="207">
        <f t="shared" si="37"/>
      </c>
      <c r="L60" s="207">
        <f t="shared" si="39"/>
      </c>
      <c r="M60" s="184"/>
      <c r="N60" s="185"/>
      <c r="O60" s="186"/>
      <c r="P60" s="187"/>
      <c r="Q60" s="154"/>
      <c r="T60" s="163"/>
      <c r="U60" s="154"/>
      <c r="W60" s="163"/>
    </row>
    <row r="61" spans="1:23" ht="13.5" thickBot="1">
      <c r="A61" s="174" t="s">
        <v>102</v>
      </c>
      <c r="B61" s="175" t="s">
        <v>95</v>
      </c>
      <c r="C61" s="246"/>
      <c r="D61" s="183" t="e">
        <f t="shared" ref="D61:G61" si="40">D50/C50-1</f>
      </c>
      <c r="E61" s="247" t="e">
        <f t="shared" si="40"/>
      </c>
      <c r="F61" s="247" t="e">
        <f t="shared" si="40"/>
      </c>
      <c r="G61" s="247" t="e">
        <f t="shared" si="40"/>
      </c>
      <c r="H61" s="247" t="e">
        <f>H50/G50-1</f>
      </c>
      <c r="I61" s="247">
        <f t="shared" ref="I61:L61" si="41">I50/H50-1</f>
      </c>
      <c r="J61" s="247">
        <f>J50/I50-1</f>
      </c>
      <c r="K61" s="247">
        <f>K50/J50-1</f>
      </c>
      <c r="L61" s="247">
        <f t="shared" si="41"/>
      </c>
      <c r="M61" s="291"/>
      <c r="N61" s="292"/>
      <c r="O61" s="293"/>
      <c r="P61" s="277"/>
      <c r="Q61" s="174"/>
      <c r="R61" s="175"/>
      <c r="S61" s="175"/>
      <c r="T61" s="294"/>
      <c r="U61" s="154"/>
      <c r="W61" s="163"/>
    </row>
    <row r="62" spans="1:23" ht="13.5" thickBot="1">
      <c r="A62" s="154"/>
      <c r="C62" s="154"/>
      <c r="G62" s="225"/>
      <c r="L62" s="163"/>
      <c r="M62" s="171"/>
      <c r="N62" s="172"/>
      <c r="O62" s="173"/>
      <c r="P62" s="236"/>
      <c r="Q62" s="205"/>
      <c r="R62" s="207"/>
      <c r="S62" s="207"/>
      <c r="U62" s="154"/>
      <c r="W62" s="163"/>
    </row>
    <row r="63" spans="1:23">
      <c r="A63" s="285" t="s">
        <v>124</v>
      </c>
      <c r="B63" s="190"/>
      <c r="C63" s="189"/>
      <c r="D63" s="190"/>
      <c r="E63" s="190"/>
      <c r="F63" s="190"/>
      <c r="G63" s="228"/>
      <c r="H63" s="190"/>
      <c r="I63" s="190"/>
      <c r="J63" s="190"/>
      <c r="K63" s="190"/>
      <c r="L63" s="286"/>
      <c r="M63" s="193"/>
      <c r="N63" s="194"/>
      <c r="O63" s="195"/>
      <c r="P63" s="258"/>
      <c r="Q63" s="197"/>
      <c r="R63" s="235"/>
      <c r="S63" s="235"/>
      <c r="T63" s="190"/>
      <c r="U63" s="154"/>
      <c r="W63" s="163"/>
    </row>
    <row r="64" spans="1:23">
      <c r="A64" s="154" t="s">
        <v>143</v>
      </c>
      <c r="B64" s="143" t="s">
        <v>91</v>
      </c>
      <c r="C64" s="206">
        <f>'Data Sheet'!B82</f>
      </c>
      <c r="D64" s="156">
        <f>'Data Sheet'!C82</f>
      </c>
      <c r="E64" s="156">
        <f>'Data Sheet'!D82</f>
      </c>
      <c r="F64" s="156">
        <f>'Data Sheet'!E82</f>
      </c>
      <c r="G64" s="156">
        <f>'Data Sheet'!F82</f>
      </c>
      <c r="H64" s="156">
        <f>'Data Sheet'!G82</f>
      </c>
      <c r="I64" s="156">
        <f>'Data Sheet'!H82</f>
      </c>
      <c r="J64" s="156">
        <f>'Data Sheet'!I82</f>
      </c>
      <c r="K64" s="156">
        <f>'Data Sheet'!J82</f>
      </c>
      <c r="L64" s="156">
        <f>'Data Sheet'!K82</f>
      </c>
      <c r="M64" s="158">
        <f>M13-M19-M50+L50</f>
      </c>
      <c r="N64" s="159">
        <f t="shared" ref="N64:O64" si="42">N13-N19-N50+M50</f>
      </c>
      <c r="O64" s="160">
        <f t="shared" si="42"/>
      </c>
      <c r="P64" s="217"/>
      <c r="Q64" s="205">
        <f>((O64/L64)^(1/3))-1</f>
      </c>
      <c r="R64" s="162">
        <f>((L64/I64)^(1/3))-1</f>
      </c>
      <c r="S64" s="162" t="e">
        <f>((L64/G64)^(1/5))-1</f>
      </c>
      <c r="T64" s="162" t="str">
        <f>IF(C64&gt;0,((L64/C64)^(1/9))-1,"-")</f>
      </c>
      <c r="U64" s="154"/>
      <c r="W64" s="163"/>
    </row>
    <row r="65" spans="1:23">
      <c r="A65" s="154" t="s">
        <v>70</v>
      </c>
      <c r="B65" s="143" t="s">
        <v>91</v>
      </c>
      <c r="C65" s="206">
        <f>C16</f>
      </c>
      <c r="D65" s="156">
        <f t="shared" ref="D65:L65" si="43">(D45+D46+D16)-(C45+C46)</f>
      </c>
      <c r="E65" s="156">
        <f t="shared" si="43"/>
      </c>
      <c r="F65" s="156">
        <f t="shared" si="43"/>
      </c>
      <c r="G65" s="156">
        <f t="shared" si="43"/>
      </c>
      <c r="H65" s="156">
        <f t="shared" si="43"/>
      </c>
      <c r="I65" s="156">
        <f t="shared" si="43"/>
      </c>
      <c r="J65" s="156">
        <f>(J45+J46+J16)-(I45+I46)</f>
      </c>
      <c r="K65" s="156">
        <f>(K45+K46+K16)-(J45+J46)</f>
      </c>
      <c r="L65" s="156">
        <f t="shared" si="43"/>
      </c>
      <c r="M65" s="158">
        <f>AVERAGE(J65:L65)</f>
      </c>
      <c r="N65" s="159">
        <f>AVERAGE(K65:M65)</f>
      </c>
      <c r="O65" s="160">
        <f>AVERAGE(L65:N65)</f>
      </c>
      <c r="P65" s="217"/>
      <c r="Q65" s="205">
        <f>((O65/L65)^(1/3))-1</f>
      </c>
      <c r="R65" s="162">
        <f>((L65/I65)^(1/3))-1</f>
      </c>
      <c r="S65" s="162" t="e">
        <f>((L65/G65)^(1/5))-1</f>
      </c>
      <c r="T65" s="162" t="str">
        <f>IF(C65&gt;0,((L65/C65)^(1/9))-1,"-")</f>
      </c>
      <c r="U65" s="154"/>
      <c r="W65" s="163"/>
    </row>
    <row r="66" spans="1:23" ht="13.5" thickBot="1">
      <c r="A66" s="174" t="s">
        <v>142</v>
      </c>
      <c r="B66" s="175" t="s">
        <v>91</v>
      </c>
      <c r="C66" s="176">
        <f t="shared" ref="C66:F66" si="44">C64-C65</f>
      </c>
      <c r="D66" s="177">
        <f t="shared" si="44"/>
      </c>
      <c r="E66" s="177">
        <f t="shared" si="44"/>
      </c>
      <c r="F66" s="177">
        <f t="shared" si="44"/>
      </c>
      <c r="G66" s="177">
        <f t="shared" ref="G66:O66" si="45">G64-G65</f>
      </c>
      <c r="H66" s="177">
        <f t="shared" si="45"/>
      </c>
      <c r="I66" s="177">
        <f t="shared" si="45"/>
      </c>
      <c r="J66" s="177">
        <f t="shared" si="45"/>
      </c>
      <c r="K66" s="177">
        <f t="shared" si="45"/>
      </c>
      <c r="L66" s="178">
        <f t="shared" si="45"/>
      </c>
      <c r="M66" s="179">
        <f t="shared" si="45"/>
      </c>
      <c r="N66" s="180">
        <f t="shared" si="45"/>
      </c>
      <c r="O66" s="181">
        <f t="shared" si="45"/>
      </c>
      <c r="P66" s="277"/>
      <c r="Q66" s="246">
        <f>((O66/L66)^(1/3))-1</f>
      </c>
      <c r="R66" s="183">
        <f>((L66/I66)^(1/3))-1</f>
      </c>
      <c r="S66" s="183" t="e">
        <f>((L66/G66)^(1/5))-1</f>
      </c>
      <c r="T66" s="183" t="str">
        <f>IF(C66&gt;0,((L66/C66)^(1/9))-1,"-")</f>
      </c>
      <c r="U66" s="154"/>
      <c r="W66" s="163"/>
    </row>
    <row r="67" spans="1:23" ht="13.5" thickBot="1">
      <c r="A67" s="154"/>
      <c r="C67" s="155"/>
      <c r="D67" s="156"/>
      <c r="E67" s="156"/>
      <c r="F67" s="156"/>
      <c r="G67" s="156"/>
      <c r="H67" s="156"/>
      <c r="I67" s="156"/>
      <c r="J67" s="156"/>
      <c r="K67" s="156"/>
      <c r="L67" s="157"/>
      <c r="M67" s="171"/>
      <c r="N67" s="172"/>
      <c r="O67" s="173"/>
      <c r="P67" s="187"/>
      <c r="Q67" s="154"/>
      <c r="R67" s="162"/>
      <c r="S67" s="162"/>
      <c r="U67" s="154"/>
      <c r="W67" s="163"/>
    </row>
    <row r="68" spans="1:23">
      <c r="A68" s="189" t="s">
        <v>79</v>
      </c>
      <c r="B68" s="295" t="s">
        <v>134</v>
      </c>
      <c r="C68" s="296" t="e">
        <f t="shared" ref="C68:L68" si="46">C53/C$9*365</f>
      </c>
      <c r="D68" s="192" t="e">
        <f t="shared" si="46"/>
      </c>
      <c r="E68" s="192" t="e">
        <f t="shared" si="46"/>
      </c>
      <c r="F68" s="192" t="e">
        <f t="shared" si="46"/>
      </c>
      <c r="G68" s="192" t="e">
        <f t="shared" si="46"/>
      </c>
      <c r="H68" s="192">
        <f t="shared" si="46"/>
      </c>
      <c r="I68" s="192">
        <f t="shared" si="46"/>
      </c>
      <c r="J68" s="192">
        <f>J53/J$9*365</f>
      </c>
      <c r="K68" s="192">
        <f t="shared" si="46"/>
      </c>
      <c r="L68" s="192">
        <f t="shared" si="46"/>
      </c>
      <c r="M68" s="287"/>
      <c r="N68" s="288"/>
      <c r="O68" s="289"/>
      <c r="P68" s="284"/>
      <c r="Q68" s="189"/>
      <c r="R68" s="279">
        <f>AVERAGE(J68:L68)</f>
      </c>
      <c r="S68" s="279">
        <f>AVERAGE(H68:L68)</f>
      </c>
      <c r="T68" s="295" t="e">
        <f>AVERAGE(C68:L68)</f>
      </c>
      <c r="U68" s="154"/>
      <c r="W68" s="163"/>
    </row>
    <row r="69" spans="1:23">
      <c r="A69" s="154" t="s">
        <v>80</v>
      </c>
      <c r="B69" s="297" t="s">
        <v>134</v>
      </c>
      <c r="C69" s="298" t="e">
        <f t="shared" ref="C69:L69" si="47">C54/C$9*365</f>
      </c>
      <c r="D69" s="156" t="e">
        <f t="shared" si="47"/>
      </c>
      <c r="E69" s="156" t="e">
        <f t="shared" si="47"/>
      </c>
      <c r="F69" s="156" t="e">
        <f t="shared" si="47"/>
      </c>
      <c r="G69" s="156" t="e">
        <f t="shared" si="47"/>
      </c>
      <c r="H69" s="156">
        <f t="shared" si="47"/>
      </c>
      <c r="I69" s="156">
        <f t="shared" si="47"/>
      </c>
      <c r="J69" s="156">
        <f>J54/J$9*365</f>
      </c>
      <c r="K69" s="156">
        <f t="shared" si="47"/>
      </c>
      <c r="L69" s="157">
        <f t="shared" si="47"/>
      </c>
      <c r="M69" s="185"/>
      <c r="N69" s="185"/>
      <c r="O69" s="186"/>
      <c r="P69" s="187"/>
      <c r="Q69" s="154"/>
      <c r="R69" s="210">
        <f>AVERAGE(J69:L69)</f>
      </c>
      <c r="S69" s="210">
        <f>AVERAGE(H69:L69)</f>
      </c>
      <c r="T69" s="297" t="e">
        <f>AVERAGE(C69:L69)</f>
      </c>
      <c r="U69" s="154"/>
      <c r="W69" s="163"/>
    </row>
    <row r="70" spans="1:23">
      <c r="A70" s="154" t="s">
        <v>144</v>
      </c>
      <c r="B70" s="297" t="s">
        <v>134</v>
      </c>
      <c r="C70" s="298" t="e">
        <f t="shared" ref="C70:L70" si="48">C50/C$9*365</f>
      </c>
      <c r="D70" s="156" t="e">
        <f t="shared" si="48"/>
      </c>
      <c r="E70" s="156" t="e">
        <f t="shared" si="48"/>
      </c>
      <c r="F70" s="156" t="e">
        <f t="shared" si="48"/>
      </c>
      <c r="G70" s="156" t="e">
        <f t="shared" si="48"/>
      </c>
      <c r="H70" s="156">
        <f t="shared" si="48"/>
      </c>
      <c r="I70" s="156">
        <f t="shared" si="48"/>
      </c>
      <c r="J70" s="156">
        <f>J50/J$9*365</f>
      </c>
      <c r="K70" s="156">
        <f t="shared" si="48"/>
      </c>
      <c r="L70" s="157">
        <f t="shared" si="48"/>
      </c>
      <c r="M70" s="185"/>
      <c r="N70" s="185"/>
      <c r="O70" s="186"/>
      <c r="P70" s="187"/>
      <c r="Q70" s="154"/>
      <c r="R70" s="210">
        <f>AVERAGE(J70:L70)</f>
      </c>
      <c r="S70" s="210">
        <f>AVERAGE(H70:L70)</f>
      </c>
      <c r="T70" s="297" t="e">
        <f>AVERAGE(C70:L70)</f>
      </c>
      <c r="U70" s="154"/>
      <c r="W70" s="163"/>
    </row>
    <row r="71" spans="1:23">
      <c r="A71" s="290" t="s">
        <v>78</v>
      </c>
      <c r="B71" s="143" t="s">
        <v>95</v>
      </c>
      <c r="C71" s="299" t="e">
        <f t="shared" ref="C71:O71" si="49">C50/C9</f>
      </c>
      <c r="D71" s="162" t="e">
        <f t="shared" si="49"/>
      </c>
      <c r="E71" s="162" t="e">
        <f t="shared" si="49"/>
      </c>
      <c r="F71" s="162" t="e">
        <f t="shared" si="49"/>
      </c>
      <c r="G71" s="162" t="e">
        <f t="shared" si="49"/>
      </c>
      <c r="H71" s="162">
        <f t="shared" si="49"/>
      </c>
      <c r="I71" s="162">
        <f t="shared" si="49"/>
      </c>
      <c r="J71" s="162">
        <f t="shared" si="49"/>
      </c>
      <c r="K71" s="162">
        <f t="shared" si="49"/>
      </c>
      <c r="L71" s="162">
        <f t="shared" si="49"/>
      </c>
      <c r="M71" s="300">
        <f t="shared" si="49"/>
      </c>
      <c r="N71" s="301">
        <f t="shared" si="49"/>
      </c>
      <c r="O71" s="302">
        <f t="shared" si="49"/>
      </c>
      <c r="P71" s="187"/>
      <c r="Q71" s="154"/>
      <c r="R71" s="162">
        <f>AVERAGE(J71:L71)</f>
      </c>
      <c r="S71" s="162">
        <f>AVERAGE(H71:L71)</f>
      </c>
      <c r="T71" s="162" t="e">
        <f>AVERAGE(C71:L71)</f>
      </c>
      <c r="U71" s="199">
        <f>R71</f>
      </c>
      <c r="V71" s="200">
        <f>U71</f>
      </c>
      <c r="W71" s="201">
        <f>V71</f>
      </c>
    </row>
    <row r="72" spans="1:23">
      <c r="A72" s="154" t="s">
        <v>105</v>
      </c>
      <c r="B72" s="297" t="s">
        <v>135</v>
      </c>
      <c r="C72" s="164" t="e">
        <f t="shared" ref="C72:O72" si="50">C9/SUM(C45:C46)</f>
      </c>
      <c r="D72" s="213" t="e">
        <f t="shared" si="50"/>
      </c>
      <c r="E72" s="213" t="e">
        <f t="shared" si="50"/>
      </c>
      <c r="F72" s="213" t="e">
        <f t="shared" si="50"/>
      </c>
      <c r="G72" s="213" t="e">
        <f t="shared" si="50"/>
      </c>
      <c r="H72" s="213">
        <f t="shared" si="50"/>
      </c>
      <c r="I72" s="213">
        <f t="shared" si="50"/>
      </c>
      <c r="J72" s="213">
        <f t="shared" si="50"/>
      </c>
      <c r="K72" s="213">
        <f t="shared" si="50"/>
      </c>
      <c r="L72" s="213">
        <f t="shared" si="50"/>
      </c>
      <c r="M72" s="167">
        <f t="shared" si="50"/>
      </c>
      <c r="N72" s="168">
        <f t="shared" si="50"/>
      </c>
      <c r="O72" s="169">
        <f t="shared" si="50"/>
      </c>
      <c r="P72" s="187"/>
      <c r="Q72" s="154"/>
      <c r="R72" s="210"/>
      <c r="S72" s="210"/>
      <c r="U72" s="154"/>
      <c r="W72" s="163"/>
    </row>
    <row r="73" spans="1:23">
      <c r="A73" s="290" t="s">
        <v>86</v>
      </c>
      <c r="B73" s="297" t="s">
        <v>95</v>
      </c>
      <c r="C73" s="299" t="e">
        <f t="shared" ref="C73:O73" si="51">C64/C13</f>
      </c>
      <c r="D73" s="162" t="e">
        <f t="shared" si="51"/>
      </c>
      <c r="E73" s="162" t="e">
        <f t="shared" si="51"/>
      </c>
      <c r="F73" s="162" t="e">
        <f t="shared" si="51"/>
      </c>
      <c r="G73" s="162" t="e">
        <f t="shared" si="51"/>
      </c>
      <c r="H73" s="162">
        <f t="shared" si="51"/>
      </c>
      <c r="I73" s="162">
        <f t="shared" si="51"/>
      </c>
      <c r="J73" s="162">
        <f t="shared" si="51"/>
      </c>
      <c r="K73" s="162">
        <f t="shared" si="51"/>
      </c>
      <c r="L73" s="162">
        <f t="shared" si="51"/>
      </c>
      <c r="M73" s="300">
        <f t="shared" si="51"/>
      </c>
      <c r="N73" s="301">
        <f t="shared" si="51"/>
      </c>
      <c r="O73" s="302">
        <f t="shared" si="51"/>
      </c>
      <c r="P73" s="187"/>
      <c r="Q73" s="154"/>
      <c r="R73" s="162">
        <f>AVERAGE(J73:L73)</f>
      </c>
      <c r="S73" s="162">
        <f>AVERAGE(H73:L73)</f>
      </c>
      <c r="T73" s="162" t="e">
        <f>AVERAGE(C73:L73)</f>
      </c>
      <c r="U73" s="199">
        <f>R73</f>
      </c>
      <c r="V73" s="200">
        <f>U73</f>
      </c>
      <c r="W73" s="201">
        <f>V73</f>
      </c>
    </row>
    <row r="74" spans="1:23" ht="13.5" thickBot="1">
      <c r="A74" s="303" t="s">
        <v>87</v>
      </c>
      <c r="B74" s="304" t="s">
        <v>95</v>
      </c>
      <c r="C74" s="305"/>
      <c r="D74" s="183" t="e">
        <f t="shared" ref="D74:O74" si="52">D66/D20</f>
      </c>
      <c r="E74" s="183" t="e">
        <f t="shared" si="52"/>
      </c>
      <c r="F74" s="183" t="e">
        <f t="shared" si="52"/>
      </c>
      <c r="G74" s="183" t="e">
        <f t="shared" si="52"/>
      </c>
      <c r="H74" s="183">
        <f t="shared" si="52"/>
      </c>
      <c r="I74" s="183">
        <f t="shared" si="52"/>
      </c>
      <c r="J74" s="183">
        <f t="shared" si="52"/>
      </c>
      <c r="K74" s="183">
        <f t="shared" si="52"/>
      </c>
      <c r="L74" s="183">
        <f t="shared" si="52"/>
      </c>
      <c r="M74" s="306">
        <f t="shared" si="52"/>
      </c>
      <c r="N74" s="307">
        <f t="shared" si="52"/>
      </c>
      <c r="O74" s="308">
        <f t="shared" si="52"/>
      </c>
      <c r="P74" s="277"/>
      <c r="Q74" s="174"/>
      <c r="R74" s="183">
        <f>AVERAGE(J74:L74)</f>
      </c>
      <c r="S74" s="183">
        <f>AVERAGE(H74:L74)</f>
      </c>
      <c r="T74" s="183" t="e">
        <f>AVERAGE(C74:L74)</f>
      </c>
      <c r="U74" s="154"/>
      <c r="W74" s="163"/>
    </row>
    <row r="75" spans="1:23" ht="13.5" thickBot="1">
      <c r="A75" s="154"/>
      <c r="C75" s="154"/>
      <c r="G75" s="210"/>
      <c r="H75" s="210"/>
      <c r="I75" s="210"/>
      <c r="J75" s="210"/>
      <c r="K75" s="210"/>
      <c r="L75" s="259"/>
      <c r="M75" s="158"/>
      <c r="N75" s="159"/>
      <c r="O75" s="160"/>
      <c r="P75" s="187"/>
      <c r="Q75" s="154"/>
      <c r="U75" s="154"/>
      <c r="W75" s="163"/>
    </row>
    <row r="76" spans="1:23">
      <c r="A76" s="189" t="s">
        <v>73</v>
      </c>
      <c r="B76" s="295" t="s">
        <v>135</v>
      </c>
      <c r="C76" s="309" t="e">
        <f t="shared" ref="C76:O76" si="53">C42/C41</f>
      </c>
      <c r="D76" s="310" t="e">
        <f t="shared" si="53"/>
      </c>
      <c r="E76" s="310" t="e">
        <f t="shared" si="53"/>
      </c>
      <c r="F76" s="310" t="e">
        <f t="shared" si="53"/>
      </c>
      <c r="G76" s="310" t="e">
        <f t="shared" si="53"/>
      </c>
      <c r="H76" s="310">
        <f t="shared" si="53"/>
      </c>
      <c r="I76" s="310">
        <f t="shared" si="53"/>
      </c>
      <c r="J76" s="310">
        <f>J42/J41</f>
      </c>
      <c r="K76" s="310">
        <f t="shared" si="53"/>
      </c>
      <c r="L76" s="310">
        <f t="shared" si="53"/>
      </c>
      <c r="M76" s="311">
        <f t="shared" si="53"/>
      </c>
      <c r="N76" s="312">
        <f t="shared" si="53"/>
      </c>
      <c r="O76" s="313">
        <f t="shared" si="53"/>
      </c>
      <c r="P76" s="284"/>
      <c r="Q76" s="189"/>
      <c r="R76" s="314">
        <f>AVERAGE(J76:L76)</f>
      </c>
      <c r="S76" s="314">
        <f>AVERAGE(H76:L76)</f>
      </c>
      <c r="T76" s="310" t="e">
        <f>AVERAGE(C76:L76)</f>
      </c>
      <c r="U76" s="154"/>
      <c r="W76" s="163"/>
    </row>
    <row r="77" spans="1:23">
      <c r="A77" s="154" t="s">
        <v>74</v>
      </c>
      <c r="B77" s="297" t="s">
        <v>135</v>
      </c>
      <c r="C77" s="212" t="e">
        <f t="shared" ref="C77:O77" si="54">(C18+C17)/C17</f>
      </c>
      <c r="D77" s="225" t="e">
        <f t="shared" si="54"/>
      </c>
      <c r="E77" s="225" t="e">
        <f t="shared" si="54"/>
      </c>
      <c r="F77" s="225" t="e">
        <f t="shared" si="54"/>
      </c>
      <c r="G77" s="225" t="e">
        <f t="shared" si="54"/>
      </c>
      <c r="H77" s="225">
        <f t="shared" si="54"/>
      </c>
      <c r="I77" s="225">
        <f t="shared" si="54"/>
      </c>
      <c r="J77" s="225">
        <f t="shared" si="54"/>
      </c>
      <c r="K77" s="225">
        <f t="shared" si="54"/>
      </c>
      <c r="L77" s="226">
        <f t="shared" si="54"/>
      </c>
      <c r="M77" s="214">
        <f t="shared" si="54"/>
      </c>
      <c r="N77" s="215">
        <f t="shared" si="54"/>
      </c>
      <c r="O77" s="216">
        <f t="shared" si="54"/>
      </c>
      <c r="P77" s="187"/>
      <c r="Q77" s="154"/>
      <c r="R77" s="225">
        <f>AVERAGE(J77:L77)</f>
      </c>
      <c r="S77" s="225">
        <f>AVERAGE(H77:L77)</f>
      </c>
      <c r="T77" s="315" t="e">
        <f>AVERAGE(C77:L77)</f>
      </c>
      <c r="U77" s="154"/>
      <c r="W77" s="163"/>
    </row>
    <row r="78" spans="1:23">
      <c r="A78" s="290" t="s">
        <v>75</v>
      </c>
      <c r="C78" s="154"/>
      <c r="L78" s="163"/>
      <c r="M78" s="184"/>
      <c r="N78" s="185"/>
      <c r="O78" s="186"/>
      <c r="P78" s="187"/>
      <c r="Q78" s="154"/>
      <c r="U78" s="154"/>
      <c r="W78" s="163"/>
    </row>
    <row r="79" spans="1:23">
      <c r="A79" s="154" t="s">
        <v>76</v>
      </c>
      <c r="B79" s="143" t="s">
        <v>95</v>
      </c>
      <c r="C79" s="299" t="e">
        <f t="shared" ref="C79:O79" si="55">C20/C41</f>
      </c>
      <c r="D79" s="162" t="e">
        <f t="shared" si="55"/>
      </c>
      <c r="E79" s="162" t="e">
        <f t="shared" si="55"/>
      </c>
      <c r="F79" s="162" t="e">
        <f t="shared" si="55"/>
      </c>
      <c r="G79" s="162" t="e">
        <f t="shared" si="55"/>
      </c>
      <c r="H79" s="162">
        <f t="shared" si="55"/>
      </c>
      <c r="I79" s="162">
        <f t="shared" si="55"/>
      </c>
      <c r="J79" s="162">
        <f t="shared" si="55"/>
      </c>
      <c r="K79" s="162">
        <f t="shared" si="55"/>
      </c>
      <c r="L79" s="316">
        <f t="shared" si="55"/>
      </c>
      <c r="M79" s="300">
        <f t="shared" si="55"/>
      </c>
      <c r="N79" s="301">
        <f t="shared" si="55"/>
      </c>
      <c r="O79" s="302">
        <f t="shared" si="55"/>
      </c>
      <c r="P79" s="187"/>
      <c r="Q79" s="154"/>
      <c r="R79" s="162">
        <f>AVERAGE(J79:L79)</f>
      </c>
      <c r="S79" s="162">
        <f>AVERAGE(H79:L79)</f>
      </c>
      <c r="T79" s="162" t="e">
        <f>AVERAGE(C79:L79)</f>
      </c>
      <c r="U79" s="154"/>
      <c r="W79" s="163"/>
    </row>
    <row r="80" spans="1:23">
      <c r="A80" s="154" t="s">
        <v>77</v>
      </c>
      <c r="B80" s="143" t="s">
        <v>95</v>
      </c>
      <c r="C80" s="299"/>
      <c r="D80" s="162" t="e">
        <f t="shared" ref="D80:O80" si="56">(D18+D17)/AVERAGE(C43:D43)</f>
      </c>
      <c r="E80" s="162" t="e">
        <f t="shared" si="56"/>
      </c>
      <c r="F80" s="162" t="e">
        <f t="shared" si="56"/>
      </c>
      <c r="G80" s="162" t="e">
        <f t="shared" si="56"/>
      </c>
      <c r="H80" s="162">
        <f t="shared" si="56"/>
      </c>
      <c r="I80" s="162">
        <f t="shared" si="56"/>
      </c>
      <c r="J80" s="162">
        <f>(J18+J17)/AVERAGE(I43:J43)</f>
      </c>
      <c r="K80" s="162">
        <f t="shared" si="56"/>
      </c>
      <c r="L80" s="316">
        <f t="shared" si="56"/>
      </c>
      <c r="M80" s="300">
        <f t="shared" si="56"/>
      </c>
      <c r="N80" s="301">
        <f t="shared" si="56"/>
      </c>
      <c r="O80" s="302">
        <f t="shared" si="56"/>
      </c>
      <c r="P80" s="187"/>
      <c r="Q80" s="154"/>
      <c r="R80" s="162">
        <f>AVERAGE(J80:L80)</f>
      </c>
      <c r="S80" s="162">
        <f>AVERAGE(H80:L80)</f>
      </c>
      <c r="T80" s="162" t="e">
        <f>AVERAGE(C80:L80)</f>
      </c>
      <c r="U80" s="154"/>
      <c r="W80" s="163"/>
    </row>
    <row r="81" spans="1:23">
      <c r="A81" s="154" t="s">
        <v>150</v>
      </c>
      <c r="C81" s="299"/>
      <c r="D81" s="162" t="e">
        <f>(D18+D17)/(AVERAGE((C43-C47-C55),(D43-D47-D55)))</f>
      </c>
      <c r="E81" s="162" t="e">
        <f t="shared" ref="E81:O81" si="57">(E18+E17)/(AVERAGE((D43-D47-D55),(E43-E47-E55)))</f>
      </c>
      <c r="F81" s="162" t="e">
        <f t="shared" si="57"/>
      </c>
      <c r="G81" s="162" t="e">
        <f t="shared" si="57"/>
      </c>
      <c r="H81" s="162">
        <f t="shared" si="57"/>
      </c>
      <c r="I81" s="162">
        <f t="shared" si="57"/>
      </c>
      <c r="J81" s="162">
        <f>(J18+J17)/(AVERAGE((I43-I47-I55),(J43-J47-J55)))</f>
      </c>
      <c r="K81" s="162">
        <f>(K18+K17)/(AVERAGE((J43-J47-J55),(K43-K47-K55)))</f>
      </c>
      <c r="L81" s="316">
        <f t="shared" si="57"/>
      </c>
      <c r="M81" s="300">
        <f t="shared" si="57"/>
      </c>
      <c r="N81" s="301">
        <f t="shared" si="57"/>
      </c>
      <c r="O81" s="302">
        <f t="shared" si="57"/>
      </c>
      <c r="P81" s="187"/>
      <c r="Q81" s="154"/>
      <c r="R81" s="162">
        <f>AVERAGE(J81:L81)</f>
      </c>
      <c r="S81" s="162">
        <f>AVERAGE(H81:L81)</f>
      </c>
      <c r="T81" s="162" t="e">
        <f>AVERAGE(C81:L81)</f>
      </c>
      <c r="U81" s="154"/>
      <c r="W81" s="163"/>
    </row>
    <row r="82" spans="1:23" ht="13.5" thickBot="1">
      <c r="A82" s="174" t="s">
        <v>145</v>
      </c>
      <c r="B82" s="175" t="s">
        <v>95</v>
      </c>
      <c r="C82" s="305" t="e">
        <f t="shared" ref="C82:O82" si="58">C64/C43</f>
      </c>
      <c r="D82" s="183" t="e">
        <f t="shared" si="58"/>
      </c>
      <c r="E82" s="183" t="e">
        <f t="shared" si="58"/>
      </c>
      <c r="F82" s="183" t="e">
        <f t="shared" si="58"/>
      </c>
      <c r="G82" s="183" t="e">
        <f t="shared" si="58"/>
      </c>
      <c r="H82" s="183">
        <f t="shared" si="58"/>
      </c>
      <c r="I82" s="183">
        <f t="shared" si="58"/>
      </c>
      <c r="J82" s="183">
        <f t="shared" si="58"/>
      </c>
      <c r="K82" s="183">
        <f t="shared" si="58"/>
      </c>
      <c r="L82" s="317">
        <f t="shared" si="58"/>
      </c>
      <c r="M82" s="306">
        <f t="shared" si="58"/>
      </c>
      <c r="N82" s="307">
        <f t="shared" si="58"/>
      </c>
      <c r="O82" s="308">
        <f t="shared" si="58"/>
      </c>
      <c r="P82" s="277"/>
      <c r="Q82" s="174"/>
      <c r="R82" s="183"/>
      <c r="S82" s="183"/>
      <c r="T82" s="183"/>
      <c r="U82" s="154"/>
      <c r="W82" s="163"/>
    </row>
    <row r="83" spans="1:23" ht="13.5" thickBot="1">
      <c r="A83" s="290"/>
      <c r="C83" s="154"/>
      <c r="L83" s="163"/>
      <c r="M83" s="184"/>
      <c r="N83" s="185"/>
      <c r="O83" s="186"/>
      <c r="P83" s="187"/>
      <c r="Q83" s="154"/>
      <c r="U83" s="154"/>
      <c r="W83" s="163"/>
    </row>
    <row r="84" spans="1:23">
      <c r="A84" s="189" t="s">
        <v>148</v>
      </c>
      <c r="B84" s="190" t="s">
        <v>90</v>
      </c>
      <c r="C84" s="234" t="e">
        <f t="shared" ref="C84:O84" si="59">C22</f>
      </c>
      <c r="D84" s="228" t="e">
        <f t="shared" si="59"/>
      </c>
      <c r="E84" s="228" t="e">
        <f t="shared" si="59"/>
      </c>
      <c r="F84" s="228" t="e">
        <f t="shared" si="59"/>
      </c>
      <c r="G84" s="228" t="e">
        <f t="shared" si="59"/>
      </c>
      <c r="H84" s="228">
        <f t="shared" si="59"/>
      </c>
      <c r="I84" s="228">
        <f t="shared" si="59"/>
      </c>
      <c r="J84" s="228">
        <f t="shared" si="59"/>
      </c>
      <c r="K84" s="228">
        <f t="shared" si="59"/>
      </c>
      <c r="L84" s="229">
        <f t="shared" si="59"/>
      </c>
      <c r="M84" s="230">
        <f t="shared" si="59"/>
      </c>
      <c r="N84" s="231">
        <f t="shared" si="59"/>
      </c>
      <c r="O84" s="232">
        <f t="shared" si="59"/>
      </c>
      <c r="P84" s="318"/>
      <c r="Q84" s="278"/>
      <c r="R84" s="198">
        <f>((L84/I84)^(1/3))-1</f>
      </c>
      <c r="S84" s="198" t="e">
        <f>((L84/G84)^(1/5))-1</f>
      </c>
      <c r="T84" s="198" t="e">
        <f>IF(C84&gt;0,((L84/C84)^(1/9))-1,"-")</f>
      </c>
      <c r="U84" s="154"/>
      <c r="W84" s="163"/>
    </row>
    <row r="85" spans="1:23">
      <c r="A85" s="154" t="s">
        <v>147</v>
      </c>
      <c r="B85" s="143" t="s">
        <v>90</v>
      </c>
      <c r="C85" s="212" t="e">
        <f t="shared" ref="C85:O85" si="60">C23</f>
      </c>
      <c r="D85" s="225" t="e">
        <f t="shared" si="60"/>
      </c>
      <c r="E85" s="225" t="e">
        <f t="shared" si="60"/>
      </c>
      <c r="F85" s="225" t="e">
        <f t="shared" si="60"/>
      </c>
      <c r="G85" s="225" t="e">
        <f t="shared" si="60"/>
      </c>
      <c r="H85" s="225">
        <f t="shared" si="60"/>
      </c>
      <c r="I85" s="225">
        <f t="shared" si="60"/>
      </c>
      <c r="J85" s="225">
        <f t="shared" si="60"/>
      </c>
      <c r="K85" s="225">
        <f t="shared" si="60"/>
      </c>
      <c r="L85" s="226">
        <f t="shared" si="60"/>
      </c>
      <c r="M85" s="214">
        <f t="shared" si="60"/>
      </c>
      <c r="N85" s="215">
        <f t="shared" si="60"/>
      </c>
      <c r="O85" s="216">
        <f t="shared" si="60"/>
      </c>
      <c r="P85" s="187"/>
      <c r="Q85" s="154"/>
      <c r="R85" s="162" t="e">
        <f>((L85/I85)^(1/3))-1</f>
      </c>
      <c r="S85" s="162" t="e">
        <f>((L85/G85)^(1/5))-1</f>
      </c>
      <c r="T85" s="162" t="e">
        <f>IF(C85&gt;0,((L85/C85)^(1/9))-1,"-")</f>
      </c>
      <c r="U85" s="154"/>
      <c r="W85" s="163"/>
    </row>
    <row r="86" spans="1:23">
      <c r="A86" s="154" t="s">
        <v>146</v>
      </c>
      <c r="B86" s="143" t="s">
        <v>90</v>
      </c>
      <c r="C86" s="206" t="e">
        <f t="shared" ref="C86:O86" si="61">C41/C5</f>
      </c>
      <c r="D86" s="210" t="e">
        <f t="shared" si="61"/>
      </c>
      <c r="E86" s="210" t="e">
        <f t="shared" si="61"/>
      </c>
      <c r="F86" s="210" t="e">
        <f t="shared" si="61"/>
      </c>
      <c r="G86" s="210" t="e">
        <f t="shared" si="61"/>
      </c>
      <c r="H86" s="210">
        <f t="shared" si="61"/>
      </c>
      <c r="I86" s="210">
        <f t="shared" si="61"/>
      </c>
      <c r="J86" s="210">
        <f t="shared" si="61"/>
      </c>
      <c r="K86" s="210">
        <f t="shared" si="61"/>
      </c>
      <c r="L86" s="259">
        <f t="shared" si="61"/>
      </c>
      <c r="M86" s="158">
        <f t="shared" si="61"/>
      </c>
      <c r="N86" s="159">
        <f t="shared" si="61"/>
      </c>
      <c r="O86" s="160">
        <f t="shared" si="61"/>
      </c>
      <c r="P86" s="187"/>
      <c r="Q86" s="154"/>
      <c r="R86" s="162">
        <f>((L86/I86)^(1/3))-1</f>
      </c>
      <c r="S86" s="162" t="e">
        <f>((L86/G86)^(1/5))-1</f>
      </c>
      <c r="T86" s="162" t="e">
        <f>IF(C86&gt;0,((L86/C86)^(1/9))-1,"-")</f>
      </c>
      <c r="U86" s="154"/>
      <c r="W86" s="163"/>
    </row>
    <row r="87" spans="1:23">
      <c r="A87" s="154" t="s">
        <v>149</v>
      </c>
      <c r="B87" s="143" t="s">
        <v>90</v>
      </c>
      <c r="C87" s="206" t="e">
        <f t="shared" ref="C87:O87" si="62">C9/C5</f>
      </c>
      <c r="D87" s="210" t="e">
        <f t="shared" si="62"/>
      </c>
      <c r="E87" s="210" t="e">
        <f t="shared" si="62"/>
      </c>
      <c r="F87" s="210" t="e">
        <f t="shared" si="62"/>
      </c>
      <c r="G87" s="210" t="e">
        <f t="shared" si="62"/>
      </c>
      <c r="H87" s="210">
        <f t="shared" si="62"/>
      </c>
      <c r="I87" s="210">
        <f t="shared" si="62"/>
      </c>
      <c r="J87" s="210">
        <f t="shared" si="62"/>
      </c>
      <c r="K87" s="210">
        <f t="shared" si="62"/>
      </c>
      <c r="L87" s="259">
        <f t="shared" si="62"/>
      </c>
      <c r="M87" s="158">
        <f t="shared" si="62"/>
      </c>
      <c r="N87" s="159">
        <f t="shared" si="62"/>
      </c>
      <c r="O87" s="160">
        <f t="shared" si="62"/>
      </c>
      <c r="P87" s="187"/>
      <c r="Q87" s="154"/>
      <c r="R87" s="162">
        <f>((L87/I87)^(1/3))-1</f>
      </c>
      <c r="S87" s="162" t="e">
        <f>((L87/G87)^(1/5))-1</f>
      </c>
      <c r="T87" s="162" t="e">
        <f>IF(C87&gt;0,((L87/C87)^(1/9))-1,"-")</f>
      </c>
      <c r="U87" s="154"/>
      <c r="W87" s="163"/>
    </row>
    <row r="88" spans="1:23" ht="13.5" thickBot="1">
      <c r="A88" s="174" t="s">
        <v>151</v>
      </c>
      <c r="B88" s="175" t="s">
        <v>90</v>
      </c>
      <c r="C88" s="272" t="e">
        <f t="shared" ref="C88:O88" si="63">(C55-C42)/C5</f>
      </c>
      <c r="D88" s="271" t="e">
        <f t="shared" si="63"/>
      </c>
      <c r="E88" s="271" t="e">
        <f t="shared" si="63"/>
      </c>
      <c r="F88" s="271" t="e">
        <f t="shared" si="63"/>
      </c>
      <c r="G88" s="271" t="e">
        <f t="shared" si="63"/>
      </c>
      <c r="H88" s="271">
        <f t="shared" si="63"/>
      </c>
      <c r="I88" s="271">
        <f t="shared" si="63"/>
      </c>
      <c r="J88" s="271">
        <f t="shared" si="63"/>
      </c>
      <c r="K88" s="271">
        <f t="shared" si="63"/>
      </c>
      <c r="L88" s="273">
        <f t="shared" si="63"/>
      </c>
      <c r="M88" s="274">
        <f t="shared" si="63"/>
      </c>
      <c r="N88" s="275">
        <f t="shared" si="63"/>
      </c>
      <c r="O88" s="276">
        <f t="shared" si="63"/>
      </c>
      <c r="P88" s="277"/>
      <c r="Q88" s="174"/>
      <c r="R88" s="183"/>
      <c r="S88" s="183"/>
      <c r="T88" s="183"/>
      <c r="U88" s="154"/>
      <c r="W88" s="163"/>
    </row>
    <row r="89" spans="1:23" ht="13.5" thickBot="1">
      <c r="A89" s="290"/>
      <c r="C89" s="154"/>
      <c r="L89" s="163"/>
      <c r="M89" s="184"/>
      <c r="N89" s="185"/>
      <c r="O89" s="186"/>
      <c r="P89" s="187"/>
      <c r="Q89" s="154"/>
      <c r="U89" s="154"/>
      <c r="W89" s="163"/>
    </row>
    <row r="90" spans="1:23">
      <c r="A90" s="285" t="s">
        <v>107</v>
      </c>
      <c r="B90" s="190"/>
      <c r="C90" s="189"/>
      <c r="D90" s="190"/>
      <c r="E90" s="190"/>
      <c r="F90" s="190"/>
      <c r="G90" s="190"/>
      <c r="H90" s="190"/>
      <c r="I90" s="190"/>
      <c r="J90" s="190"/>
      <c r="K90" s="190"/>
      <c r="L90" s="286"/>
      <c r="M90" s="287"/>
      <c r="N90" s="288"/>
      <c r="O90" s="289"/>
      <c r="P90" s="284"/>
      <c r="Q90" s="189"/>
      <c r="R90" s="190"/>
      <c r="S90" s="190"/>
      <c r="T90" s="190"/>
      <c r="U90" s="154"/>
      <c r="W90" s="163"/>
    </row>
    <row r="91" spans="1:23">
      <c r="A91" s="154" t="s">
        <v>136</v>
      </c>
      <c r="B91" s="143" t="s">
        <v>135</v>
      </c>
      <c r="C91" s="164" t="e">
        <f>C$4/C84</f>
      </c>
      <c r="D91" s="165" t="e">
        <f t="shared" ref="D91:L91" si="64">D$4/D84</f>
      </c>
      <c r="E91" s="165" t="e">
        <f t="shared" si="64"/>
      </c>
      <c r="F91" s="165" t="e">
        <f t="shared" si="64"/>
      </c>
      <c r="G91" s="165" t="e">
        <f t="shared" si="64"/>
      </c>
      <c r="H91" s="165">
        <f t="shared" si="64"/>
      </c>
      <c r="I91" s="165">
        <f t="shared" si="64"/>
      </c>
      <c r="J91" s="165">
        <f>J$4/J84</f>
      </c>
      <c r="K91" s="165">
        <f t="shared" si="64"/>
      </c>
      <c r="L91" s="166">
        <f t="shared" si="64"/>
      </c>
      <c r="M91" s="167">
        <f t="shared" ref="M91:O91" si="65">M$4/M84</f>
      </c>
      <c r="N91" s="168">
        <f t="shared" si="65"/>
      </c>
      <c r="O91" s="169">
        <f t="shared" si="65"/>
      </c>
      <c r="P91" s="319">
        <f>P4/P22</f>
      </c>
      <c r="Q91" s="320"/>
      <c r="R91" s="225">
        <f>AVERAGE(J91:L91)</f>
      </c>
      <c r="S91" s="225">
        <f>AVERAGE(H91:L91)</f>
      </c>
      <c r="T91" s="213" t="e">
        <f>AVERAGE(C91:L91)</f>
      </c>
      <c r="U91" s="154"/>
      <c r="W91" s="163"/>
    </row>
    <row r="92" spans="1:23">
      <c r="A92" s="154" t="s">
        <v>137</v>
      </c>
      <c r="B92" s="143" t="s">
        <v>135</v>
      </c>
      <c r="C92" s="164" t="e">
        <f t="shared" ref="C92:L92" si="66">C$4/C86</f>
      </c>
      <c r="D92" s="165" t="e">
        <f t="shared" si="66"/>
      </c>
      <c r="E92" s="165" t="e">
        <f t="shared" si="66"/>
      </c>
      <c r="F92" s="165" t="e">
        <f t="shared" si="66"/>
      </c>
      <c r="G92" s="165" t="e">
        <f t="shared" si="66"/>
      </c>
      <c r="H92" s="165">
        <f t="shared" si="66"/>
      </c>
      <c r="I92" s="165">
        <f t="shared" si="66"/>
      </c>
      <c r="J92" s="165">
        <f>J$4/J86</f>
      </c>
      <c r="K92" s="165">
        <f t="shared" si="66"/>
      </c>
      <c r="L92" s="166">
        <f t="shared" si="66"/>
      </c>
      <c r="M92" s="167">
        <f t="shared" ref="M92:O92" si="67">M$4/M86</f>
      </c>
      <c r="N92" s="168">
        <f t="shared" si="67"/>
      </c>
      <c r="O92" s="169">
        <f t="shared" si="67"/>
      </c>
      <c r="P92" s="187"/>
      <c r="Q92" s="154"/>
      <c r="R92" s="225">
        <f>AVERAGE(J92:L92)</f>
      </c>
      <c r="S92" s="225">
        <f>AVERAGE(H92:L92)</f>
      </c>
      <c r="T92" s="213" t="e">
        <f>AVERAGE(C92:L92)</f>
      </c>
      <c r="U92" s="154"/>
      <c r="W92" s="163"/>
    </row>
    <row r="93" spans="1:23">
      <c r="A93" s="154" t="s">
        <v>138</v>
      </c>
      <c r="B93" s="143" t="s">
        <v>135</v>
      </c>
      <c r="C93" s="164" t="e">
        <f t="shared" ref="C93:L93" si="68">C$4/C87</f>
      </c>
      <c r="D93" s="165" t="e">
        <f t="shared" si="68"/>
      </c>
      <c r="E93" s="165" t="e">
        <f t="shared" si="68"/>
      </c>
      <c r="F93" s="165" t="e">
        <f t="shared" si="68"/>
      </c>
      <c r="G93" s="165" t="e">
        <f t="shared" si="68"/>
      </c>
      <c r="H93" s="165">
        <f t="shared" si="68"/>
      </c>
      <c r="I93" s="165">
        <f t="shared" si="68"/>
      </c>
      <c r="J93" s="165">
        <f>J$4/J87</f>
      </c>
      <c r="K93" s="165">
        <f t="shared" si="68"/>
      </c>
      <c r="L93" s="166">
        <f t="shared" si="68"/>
      </c>
      <c r="M93" s="167">
        <f t="shared" ref="M93:O93" si="69">M$4/M87</f>
      </c>
      <c r="N93" s="168">
        <f t="shared" si="69"/>
      </c>
      <c r="O93" s="169">
        <f t="shared" si="69"/>
      </c>
      <c r="P93" s="187"/>
      <c r="Q93" s="154"/>
      <c r="R93" s="225">
        <f>AVERAGE(J93:L93)</f>
      </c>
      <c r="S93" s="225">
        <f>AVERAGE(H93:L93)</f>
      </c>
      <c r="T93" s="213" t="e">
        <f>AVERAGE(C93:L93)</f>
      </c>
      <c r="U93" s="154"/>
      <c r="W93" s="163"/>
    </row>
    <row r="94" spans="1:23">
      <c r="A94" s="154"/>
      <c r="C94" s="154"/>
      <c r="L94" s="163"/>
      <c r="M94" s="184"/>
      <c r="N94" s="185"/>
      <c r="O94" s="186"/>
      <c r="P94" s="187"/>
      <c r="Q94" s="154"/>
      <c r="T94" s="225"/>
      <c r="U94" s="154"/>
      <c r="W94" s="163"/>
    </row>
    <row r="95" spans="1:23">
      <c r="A95" s="154" t="s">
        <v>108</v>
      </c>
      <c r="B95" s="143" t="s">
        <v>135</v>
      </c>
      <c r="C95" s="320" t="e">
        <f t="shared" ref="C95:P95" si="70">C7/C13</f>
      </c>
      <c r="D95" s="213" t="e">
        <f t="shared" si="70"/>
      </c>
      <c r="E95" s="213" t="e">
        <f t="shared" si="70"/>
      </c>
      <c r="F95" s="213" t="e">
        <f t="shared" si="70"/>
      </c>
      <c r="G95" s="213" t="e">
        <f t="shared" si="70"/>
      </c>
      <c r="H95" s="213">
        <f t="shared" si="70"/>
      </c>
      <c r="I95" s="213">
        <f t="shared" si="70"/>
      </c>
      <c r="J95" s="213">
        <f t="shared" si="70"/>
      </c>
      <c r="K95" s="213">
        <f t="shared" si="70"/>
      </c>
      <c r="L95" s="321">
        <f t="shared" si="70"/>
      </c>
      <c r="M95" s="322">
        <f t="shared" si="70"/>
      </c>
      <c r="N95" s="323">
        <f t="shared" si="70"/>
      </c>
      <c r="O95" s="324">
        <f t="shared" si="70"/>
      </c>
      <c r="P95" s="319">
        <f t="shared" si="70"/>
      </c>
      <c r="Q95" s="154"/>
      <c r="R95" s="225">
        <f>AVERAGE(J95:L95)</f>
      </c>
      <c r="S95" s="225">
        <f>AVERAGE(H95:L95)</f>
      </c>
      <c r="T95" s="213" t="e">
        <f>AVERAGE(C95:L95)</f>
      </c>
      <c r="U95" s="154"/>
      <c r="W95" s="163"/>
    </row>
    <row r="96" spans="1:23" ht="13.5" thickBot="1">
      <c r="A96" s="174" t="s">
        <v>109</v>
      </c>
      <c r="B96" s="175" t="s">
        <v>135</v>
      </c>
      <c r="C96" s="325" t="e">
        <f t="shared" ref="C96:P96" si="71">C7/C9</f>
      </c>
      <c r="D96" s="326" t="e">
        <f t="shared" si="71"/>
      </c>
      <c r="E96" s="326" t="e">
        <f t="shared" si="71"/>
      </c>
      <c r="F96" s="326" t="e">
        <f t="shared" si="71"/>
      </c>
      <c r="G96" s="326" t="e">
        <f t="shared" si="71"/>
      </c>
      <c r="H96" s="326">
        <f t="shared" si="71"/>
      </c>
      <c r="I96" s="326">
        <f t="shared" si="71"/>
      </c>
      <c r="J96" s="326">
        <f t="shared" si="71"/>
      </c>
      <c r="K96" s="326">
        <f t="shared" si="71"/>
      </c>
      <c r="L96" s="327">
        <f t="shared" si="71"/>
      </c>
      <c r="M96" s="328">
        <f t="shared" si="71"/>
      </c>
      <c r="N96" s="329">
        <f t="shared" si="71"/>
      </c>
      <c r="O96" s="330">
        <f t="shared" si="71"/>
      </c>
      <c r="P96" s="331">
        <f t="shared" si="71"/>
      </c>
      <c r="Q96" s="174"/>
      <c r="R96" s="220">
        <f>AVERAGE(J96:L96)</f>
      </c>
      <c r="S96" s="220">
        <f>AVERAGE(H96:L96)</f>
      </c>
      <c r="T96" s="326" t="e">
        <f>AVERAGE(C96:L96)</f>
      </c>
      <c r="U96" s="154"/>
      <c r="W96" s="163"/>
    </row>
    <row r="97" spans="1:23" ht="13.5" thickBot="1">
      <c r="A97" s="154"/>
      <c r="H97" s="332" t="str">
        <f t="shared" ref="H97:L97" si="72">IF(H98&gt;$L$3,IF(H98&lt;=$M$3,"1","0"),"0")</f>
      </c>
      <c r="I97" s="332" t="str">
        <f t="shared" si="72"/>
      </c>
      <c r="J97" s="332" t="str">
        <f t="shared" si="72"/>
      </c>
      <c r="K97" s="332" t="str">
        <f t="shared" si="72"/>
      </c>
      <c r="L97" s="332" t="str">
        <f t="shared" si="72"/>
      </c>
      <c r="M97" s="332" t="str">
        <f>IF(M98&gt;$L$3,IF(M98&lt;=$M$3,"1","0"),"0")</f>
      </c>
      <c r="N97" s="332" t="str">
        <f t="shared" ref="N97:P97" si="73">IF(N98&gt;$L$3,IF(N98&lt;=$M$3,"1","0"),"0")</f>
      </c>
      <c r="O97" s="332" t="str">
        <f t="shared" si="73"/>
      </c>
      <c r="P97" s="332" t="str">
        <f t="shared" si="73"/>
      </c>
      <c r="U97" s="154"/>
      <c r="W97" s="163"/>
    </row>
    <row r="98" spans="1:23">
      <c r="A98" s="285" t="s">
        <v>113</v>
      </c>
      <c r="B98" s="190"/>
      <c r="C98" s="333">
        <f>'Data Sheet'!B41</f>
      </c>
      <c r="D98" s="334">
        <f>'Data Sheet'!C41</f>
      </c>
      <c r="E98" s="334">
        <f>'Data Sheet'!D41</f>
      </c>
      <c r="F98" s="334">
        <f>'Data Sheet'!E41</f>
      </c>
      <c r="G98" s="334">
        <f>'Data Sheet'!F41</f>
      </c>
      <c r="H98" s="334">
        <f>'Data Sheet'!G41</f>
      </c>
      <c r="I98" s="334">
        <f>'Data Sheet'!H41</f>
      </c>
      <c r="J98" s="334">
        <f>'Data Sheet'!I41</f>
      </c>
      <c r="K98" s="334">
        <f>'Data Sheet'!J41</f>
      </c>
      <c r="L98" s="334">
        <f>'Data Sheet'!K41</f>
      </c>
      <c r="M98" s="333">
        <f>L98+90</f>
      </c>
      <c r="N98" s="334">
        <f>M98+90</f>
      </c>
      <c r="O98" s="334">
        <f>N98+90</f>
      </c>
      <c r="P98" s="335">
        <f>O98+90</f>
      </c>
      <c r="Q98" s="336" t="s">
        <v>192</v>
      </c>
      <c r="R98" s="190"/>
      <c r="S98" s="190"/>
      <c r="T98" s="190"/>
      <c r="U98" s="154"/>
      <c r="W98" s="163"/>
    </row>
    <row r="99" spans="1:23">
      <c r="A99" s="209" t="s">
        <v>226</v>
      </c>
      <c r="B99" s="143" t="s">
        <v>91</v>
      </c>
      <c r="C99" s="155">
        <f>'Data Sheet'!B42</f>
      </c>
      <c r="D99" s="156">
        <f>'Data Sheet'!C42</f>
      </c>
      <c r="E99" s="156">
        <f>'Data Sheet'!D42</f>
      </c>
      <c r="F99" s="156">
        <f>'Data Sheet'!E42</f>
      </c>
      <c r="G99" s="156">
        <f>'Data Sheet'!F42</f>
      </c>
      <c r="H99" s="156">
        <f>'Data Sheet'!G42</f>
      </c>
      <c r="I99" s="156">
        <f>'Data Sheet'!H42</f>
      </c>
      <c r="J99" s="156">
        <f>'Data Sheet'!I42</f>
      </c>
      <c r="K99" s="156">
        <f>'Data Sheet'!J42</f>
      </c>
      <c r="L99" s="156">
        <f>'Data Sheet'!K42</f>
      </c>
      <c r="M99" s="337">
        <f>I99*(1+$U$9)</f>
      </c>
      <c r="N99" s="338">
        <f>J99*(1+$U$9)</f>
      </c>
      <c r="O99" s="338">
        <f>K99*(1+$U$9)</f>
      </c>
      <c r="P99" s="339">
        <f>L99*(1+$U$9)</f>
      </c>
      <c r="Q99" s="156">
        <f>SUMIF(H$97:P$97,"=1",H99:P99)</f>
      </c>
      <c r="R99" s="340">
        <f>Q99/M9</f>
      </c>
      <c r="U99" s="154"/>
      <c r="W99" s="163"/>
    </row>
    <row r="100" spans="1:23">
      <c r="A100" s="209" t="s">
        <v>214</v>
      </c>
      <c r="C100" s="155"/>
      <c r="D100" s="162" t="e">
        <f>D99/C99-1</f>
      </c>
      <c r="E100" s="162" t="e">
        <f t="shared" ref="E100:P100" si="74">E99/D99-1</f>
      </c>
      <c r="F100" s="162" t="e">
        <f t="shared" si="74"/>
      </c>
      <c r="G100" s="162" t="e">
        <f t="shared" si="74"/>
      </c>
      <c r="H100" s="162" t="e">
        <f t="shared" si="74"/>
      </c>
      <c r="I100" s="162">
        <f t="shared" si="74"/>
      </c>
      <c r="J100" s="162">
        <f>J99/I99-1</f>
      </c>
      <c r="K100" s="162">
        <f>K99/J99-1</f>
      </c>
      <c r="L100" s="162">
        <f t="shared" si="74"/>
      </c>
      <c r="M100" s="341">
        <f t="shared" si="74"/>
      </c>
      <c r="N100" s="342">
        <f t="shared" si="74"/>
      </c>
      <c r="O100" s="342">
        <f t="shared" si="74"/>
      </c>
      <c r="P100" s="343">
        <f t="shared" si="74"/>
      </c>
      <c r="Q100" s="156"/>
      <c r="R100" s="340"/>
      <c r="U100" s="154"/>
      <c r="W100" s="163"/>
    </row>
    <row r="101" spans="1:23">
      <c r="A101" s="209" t="s">
        <v>227</v>
      </c>
      <c r="B101" s="143" t="s">
        <v>91</v>
      </c>
      <c r="C101" s="155">
        <f>'Data Sheet'!B50</f>
      </c>
      <c r="D101" s="156">
        <f>'Data Sheet'!C50</f>
      </c>
      <c r="E101" s="156">
        <f>'Data Sheet'!D50</f>
      </c>
      <c r="F101" s="156">
        <f>'Data Sheet'!E50</f>
      </c>
      <c r="G101" s="156">
        <f>'Data Sheet'!F50</f>
      </c>
      <c r="H101" s="156">
        <f>'Data Sheet'!G50</f>
      </c>
      <c r="I101" s="156">
        <f>'Data Sheet'!H50</f>
      </c>
      <c r="J101" s="156">
        <f>'Data Sheet'!I50</f>
      </c>
      <c r="K101" s="156">
        <f>'Data Sheet'!J50</f>
      </c>
      <c r="L101" s="156">
        <f>'Data Sheet'!K50</f>
      </c>
      <c r="M101" s="344">
        <f>M99*$U$27</f>
      </c>
      <c r="N101" s="345">
        <f t="shared" ref="N101:P101" si="75">N99*$U$27</f>
      </c>
      <c r="O101" s="345">
        <f t="shared" si="75"/>
      </c>
      <c r="P101" s="346">
        <f t="shared" si="75"/>
      </c>
      <c r="Q101" s="156">
        <f>SUMIF(H$97:P$97,"=1",H101:P101)</f>
      </c>
      <c r="R101" s="340">
        <f>Q101/M13</f>
      </c>
      <c r="U101" s="154"/>
      <c r="W101" s="163"/>
    </row>
    <row r="102" spans="1:23">
      <c r="A102" s="209" t="s">
        <v>214</v>
      </c>
      <c r="C102" s="155"/>
      <c r="D102" s="162" t="e">
        <f>D101/C101-1</f>
      </c>
      <c r="E102" s="162" t="e">
        <f t="shared" ref="E102:P102" si="76">E101/D101-1</f>
      </c>
      <c r="F102" s="162" t="e">
        <f t="shared" si="76"/>
      </c>
      <c r="G102" s="162" t="e">
        <f t="shared" si="76"/>
      </c>
      <c r="H102" s="162" t="e">
        <f t="shared" si="76"/>
      </c>
      <c r="I102" s="162">
        <f t="shared" si="76"/>
      </c>
      <c r="J102" s="162">
        <f>J101/I101-1</f>
      </c>
      <c r="K102" s="162">
        <f>K101/J101-1</f>
      </c>
      <c r="L102" s="162">
        <f t="shared" si="76"/>
      </c>
      <c r="M102" s="341">
        <f t="shared" si="76"/>
      </c>
      <c r="N102" s="342">
        <f t="shared" si="76"/>
      </c>
      <c r="O102" s="342">
        <f t="shared" si="76"/>
      </c>
      <c r="P102" s="343">
        <f t="shared" si="76"/>
      </c>
      <c r="Q102" s="156"/>
      <c r="R102" s="340"/>
      <c r="U102" s="154"/>
      <c r="W102" s="163"/>
    </row>
    <row r="103" spans="1:23">
      <c r="A103" s="209" t="s">
        <v>228</v>
      </c>
      <c r="B103" s="143" t="s">
        <v>95</v>
      </c>
      <c r="C103" s="205" t="e">
        <f t="shared" ref="C103:Q103" si="77">C101/C99</f>
      </c>
      <c r="D103" s="207" t="e">
        <f t="shared" si="77"/>
      </c>
      <c r="E103" s="207" t="e">
        <f t="shared" si="77"/>
      </c>
      <c r="F103" s="207" t="e">
        <f t="shared" si="77"/>
      </c>
      <c r="G103" s="207" t="e">
        <f t="shared" si="77"/>
      </c>
      <c r="H103" s="207">
        <f t="shared" si="77"/>
      </c>
      <c r="I103" s="207">
        <f t="shared" si="77"/>
      </c>
      <c r="J103" s="207">
        <f t="shared" si="77"/>
      </c>
      <c r="K103" s="207">
        <f t="shared" si="77"/>
      </c>
      <c r="L103" s="207">
        <f t="shared" si="77"/>
      </c>
      <c r="M103" s="347">
        <f t="shared" si="77"/>
      </c>
      <c r="N103" s="348">
        <f t="shared" si="77"/>
      </c>
      <c r="O103" s="348">
        <f t="shared" si="77"/>
      </c>
      <c r="P103" s="349">
        <f t="shared" si="77"/>
      </c>
      <c r="Q103" s="207">
        <f t="shared" si="77"/>
      </c>
      <c r="R103" s="340">
        <f>Q103/M27</f>
      </c>
      <c r="U103" s="154"/>
      <c r="W103" s="163"/>
    </row>
    <row r="104" spans="1:23">
      <c r="A104" s="209" t="s">
        <v>115</v>
      </c>
      <c r="B104" s="143" t="s">
        <v>95</v>
      </c>
      <c r="C104" s="299" t="e">
        <f>'Data Sheet'!B48/'Data Sheet'!B47</f>
      </c>
      <c r="D104" s="162" t="e">
        <f>'Data Sheet'!C48/'Data Sheet'!C47</f>
      </c>
      <c r="E104" s="162" t="e">
        <f>'Data Sheet'!D48/'Data Sheet'!D47</f>
      </c>
      <c r="F104" s="162" t="e">
        <f>'Data Sheet'!E48/'Data Sheet'!E47</f>
      </c>
      <c r="G104" s="162" t="e">
        <f>'Data Sheet'!F48/'Data Sheet'!F47</f>
      </c>
      <c r="H104" s="162">
        <f>'Data Sheet'!G48/'Data Sheet'!G47</f>
      </c>
      <c r="I104" s="162">
        <f>'Data Sheet'!H48/'Data Sheet'!H47</f>
      </c>
      <c r="J104" s="162">
        <f>'Data Sheet'!I48/'Data Sheet'!I47</f>
      </c>
      <c r="K104" s="162">
        <f>'Data Sheet'!J48/'Data Sheet'!J47</f>
      </c>
      <c r="L104" s="162">
        <f>'Data Sheet'!K48/'Data Sheet'!K47</f>
      </c>
      <c r="M104" s="350">
        <f>$U$30</f>
      </c>
      <c r="N104" s="351">
        <f>$U$30</f>
      </c>
      <c r="O104" s="351">
        <f>$U$30</f>
      </c>
      <c r="P104" s="352">
        <f>$U$30</f>
      </c>
      <c r="Q104" s="237"/>
      <c r="R104" s="353"/>
      <c r="U104" s="154"/>
      <c r="W104" s="163"/>
    </row>
    <row r="105" spans="1:23">
      <c r="A105" s="209" t="s">
        <v>229</v>
      </c>
      <c r="B105" s="143" t="s">
        <v>91</v>
      </c>
      <c r="C105" s="155">
        <f>'Data Sheet'!B49</f>
      </c>
      <c r="D105" s="156">
        <f>'Data Sheet'!C49</f>
      </c>
      <c r="E105" s="156">
        <f>'Data Sheet'!D49</f>
      </c>
      <c r="F105" s="156">
        <f>'Data Sheet'!E49</f>
      </c>
      <c r="G105" s="156">
        <f>'Data Sheet'!F49</f>
      </c>
      <c r="H105" s="156">
        <f>'Data Sheet'!G49</f>
      </c>
      <c r="I105" s="156">
        <f>'Data Sheet'!H49</f>
      </c>
      <c r="J105" s="156">
        <f>'Data Sheet'!I49</f>
      </c>
      <c r="K105" s="156">
        <f>'Data Sheet'!J49</f>
      </c>
      <c r="L105" s="156">
        <f>'Data Sheet'!K49</f>
      </c>
      <c r="M105" s="337" t="e">
        <f>(M101+M114-M115-M116)*(1-M104)</f>
      </c>
      <c r="N105" s="338" t="e">
        <f t="shared" ref="N105:P105" si="78">(N101+N114-N115-N116)*(1-N104)</f>
      </c>
      <c r="O105" s="338" t="e">
        <f t="shared" si="78"/>
      </c>
      <c r="P105" s="339">
        <f t="shared" si="78"/>
      </c>
      <c r="Q105" s="156" t="e">
        <f>SUMIF(H$97:P$97,"=1",H105:P105)</f>
      </c>
      <c r="R105" s="340" t="e">
        <f>Q105/M20</f>
      </c>
      <c r="U105" s="154"/>
      <c r="W105" s="163"/>
    </row>
    <row r="106" spans="1:23">
      <c r="A106" s="209" t="s">
        <v>214</v>
      </c>
      <c r="C106" s="155"/>
      <c r="D106" s="162" t="e">
        <f>D105/C105-1</f>
      </c>
      <c r="E106" s="162" t="e">
        <f t="shared" ref="E106:P106" si="79">E105/D105-1</f>
      </c>
      <c r="F106" s="162" t="e">
        <f t="shared" si="79"/>
      </c>
      <c r="G106" s="162" t="e">
        <f t="shared" si="79"/>
      </c>
      <c r="H106" s="162" t="e">
        <f t="shared" si="79"/>
      </c>
      <c r="I106" s="162">
        <f t="shared" si="79"/>
      </c>
      <c r="J106" s="162">
        <f>J105/I105-1</f>
      </c>
      <c r="K106" s="162">
        <f>K105/J105-1</f>
      </c>
      <c r="L106" s="162">
        <f t="shared" si="79"/>
      </c>
      <c r="M106" s="341" t="e">
        <f t="shared" si="79"/>
      </c>
      <c r="N106" s="342" t="e">
        <f t="shared" si="79"/>
      </c>
      <c r="O106" s="342" t="e">
        <f t="shared" si="79"/>
      </c>
      <c r="P106" s="343" t="e">
        <f t="shared" si="79"/>
      </c>
      <c r="Q106" s="156"/>
      <c r="R106" s="340"/>
      <c r="U106" s="154"/>
      <c r="W106" s="163"/>
    </row>
    <row r="107" spans="1:23">
      <c r="A107" s="209" t="s">
        <v>233</v>
      </c>
      <c r="C107" s="205" t="e">
        <f>C105/C99</f>
      </c>
      <c r="D107" s="207" t="e">
        <f t="shared" ref="D107:P107" si="80">D105/D99</f>
      </c>
      <c r="E107" s="207" t="e">
        <f t="shared" si="80"/>
      </c>
      <c r="F107" s="207" t="e">
        <f t="shared" si="80"/>
      </c>
      <c r="G107" s="207" t="e">
        <f t="shared" si="80"/>
      </c>
      <c r="H107" s="207">
        <f t="shared" si="80"/>
      </c>
      <c r="I107" s="207">
        <f t="shared" si="80"/>
      </c>
      <c r="J107" s="207">
        <f t="shared" si="80"/>
      </c>
      <c r="K107" s="207">
        <f t="shared" si="80"/>
      </c>
      <c r="L107" s="207">
        <f t="shared" si="80"/>
      </c>
      <c r="M107" s="347" t="e">
        <f t="shared" si="80"/>
      </c>
      <c r="N107" s="348" t="e">
        <f t="shared" si="80"/>
      </c>
      <c r="O107" s="348" t="e">
        <f t="shared" si="80"/>
      </c>
      <c r="P107" s="349">
        <f t="shared" si="80"/>
      </c>
      <c r="Q107" s="156"/>
      <c r="R107" s="340"/>
      <c r="U107" s="154"/>
      <c r="W107" s="163"/>
    </row>
    <row r="108" spans="1:23">
      <c r="A108" s="209"/>
      <c r="C108" s="154"/>
      <c r="M108" s="354"/>
      <c r="N108" s="355"/>
      <c r="O108" s="355"/>
      <c r="P108" s="356"/>
      <c r="U108" s="154"/>
      <c r="W108" s="163"/>
    </row>
    <row r="109" spans="1:23">
      <c r="A109" s="357" t="s">
        <v>114</v>
      </c>
      <c r="C109" s="154"/>
      <c r="M109" s="354"/>
      <c r="N109" s="355"/>
      <c r="O109" s="355"/>
      <c r="P109" s="356"/>
      <c r="Q109" s="143" t="s">
        <v>139</v>
      </c>
      <c r="U109" s="154"/>
      <c r="W109" s="163"/>
    </row>
    <row r="110" spans="1:23">
      <c r="A110" s="209" t="s">
        <v>230</v>
      </c>
      <c r="B110" s="143" t="s">
        <v>95</v>
      </c>
      <c r="C110" s="154"/>
      <c r="G110" s="162" t="e">
        <f t="shared" ref="G110:P110" si="81">G99/C99-1</f>
      </c>
      <c r="H110" s="162" t="e">
        <f t="shared" si="81"/>
      </c>
      <c r="I110" s="162" t="e">
        <f t="shared" si="81"/>
      </c>
      <c r="J110" s="162" t="e">
        <f>J99/F99-1</f>
      </c>
      <c r="K110" s="162" t="e">
        <f t="shared" si="81"/>
      </c>
      <c r="L110" s="162">
        <f t="shared" si="81"/>
      </c>
      <c r="M110" s="341">
        <f t="shared" si="81"/>
      </c>
      <c r="N110" s="342">
        <f>N99/J99-1</f>
      </c>
      <c r="O110" s="342">
        <f t="shared" si="81"/>
      </c>
      <c r="P110" s="343">
        <f t="shared" si="81"/>
      </c>
      <c r="Q110" s="162" t="e">
        <f>((L99/D99)^(1/2))-1</f>
      </c>
      <c r="U110" s="154"/>
      <c r="W110" s="163"/>
    </row>
    <row r="111" spans="1:23">
      <c r="A111" s="209" t="s">
        <v>231</v>
      </c>
      <c r="B111" s="143" t="s">
        <v>95</v>
      </c>
      <c r="C111" s="154"/>
      <c r="G111" s="162" t="e">
        <f t="shared" ref="G111:L111" si="82">G101/C101-1</f>
      </c>
      <c r="H111" s="162" t="e">
        <f t="shared" si="82"/>
      </c>
      <c r="I111" s="162" t="e">
        <f t="shared" si="82"/>
      </c>
      <c r="J111" s="162" t="e">
        <f>J101/F101-1</f>
      </c>
      <c r="K111" s="162" t="e">
        <f t="shared" si="82"/>
      </c>
      <c r="L111" s="162">
        <f t="shared" si="82"/>
      </c>
      <c r="M111" s="341">
        <f t="shared" ref="M111" si="83">M101/I101-1</f>
      </c>
      <c r="N111" s="342">
        <f>N101/J101-1</f>
      </c>
      <c r="O111" s="342">
        <f t="shared" ref="O111" si="84">O101/K101-1</f>
      </c>
      <c r="P111" s="343">
        <f t="shared" ref="P111" si="85">P101/L101-1</f>
      </c>
      <c r="Q111" s="162" t="e">
        <f>((L101/D101)^(1/2))-1</f>
      </c>
      <c r="U111" s="154"/>
      <c r="W111" s="163"/>
    </row>
    <row r="112" spans="1:23">
      <c r="A112" s="209" t="s">
        <v>232</v>
      </c>
      <c r="B112" s="143" t="s">
        <v>95</v>
      </c>
      <c r="C112" s="154"/>
      <c r="G112" s="162" t="e">
        <f t="shared" ref="G112:K112" si="86">G105/C105-1</f>
      </c>
      <c r="H112" s="162" t="e">
        <f t="shared" si="86"/>
      </c>
      <c r="I112" s="162" t="e">
        <f t="shared" si="86"/>
      </c>
      <c r="J112" s="162" t="e">
        <f>J105/F105-1</f>
      </c>
      <c r="K112" s="162" t="e">
        <f t="shared" si="86"/>
      </c>
      <c r="L112" s="162">
        <f>L105/H105-1</f>
      </c>
      <c r="M112" s="341" t="e">
        <f t="shared" ref="M112:P112" si="87">M105/I105-1</f>
      </c>
      <c r="N112" s="342" t="e">
        <f>N105/J105-1</f>
      </c>
      <c r="O112" s="342" t="e">
        <f t="shared" si="87"/>
      </c>
      <c r="P112" s="343">
        <f t="shared" si="87"/>
      </c>
      <c r="Q112" s="162" t="e">
        <f>((L105/D105)^(1/2))-1</f>
      </c>
      <c r="U112" s="154"/>
      <c r="W112" s="163"/>
    </row>
    <row r="113" spans="1:31">
      <c r="A113" s="154"/>
      <c r="C113" s="154"/>
      <c r="M113" s="354"/>
      <c r="N113" s="355"/>
      <c r="O113" s="355"/>
      <c r="P113" s="356"/>
      <c r="U113" s="154"/>
      <c r="W113" s="163"/>
    </row>
    <row r="114" spans="1:31">
      <c r="A114" s="209" t="s">
        <v>4</v>
      </c>
      <c r="B114" s="143" t="s">
        <v>91</v>
      </c>
      <c r="C114" s="155">
        <f>'Data Sheet'!B44</f>
      </c>
      <c r="D114" s="156">
        <f>'Data Sheet'!C44</f>
      </c>
      <c r="E114" s="156">
        <f>'Data Sheet'!D44</f>
      </c>
      <c r="F114" s="156">
        <f>'Data Sheet'!E44</f>
      </c>
      <c r="G114" s="156">
        <f>'Data Sheet'!F44</f>
      </c>
      <c r="H114" s="156">
        <f>'Data Sheet'!G44</f>
      </c>
      <c r="I114" s="156">
        <f>'Data Sheet'!H44</f>
      </c>
      <c r="J114" s="156">
        <f>'Data Sheet'!I44</f>
      </c>
      <c r="K114" s="156">
        <f>'Data Sheet'!J44</f>
      </c>
      <c r="L114" s="156">
        <f>'Data Sheet'!K44</f>
      </c>
      <c r="M114" s="337">
        <f>AVERAGE(E114:L114)</f>
      </c>
      <c r="N114" s="338">
        <f>AVERAGE(F114:M114)</f>
      </c>
      <c r="O114" s="338">
        <f>AVERAGE(G114:N114)</f>
      </c>
      <c r="P114" s="339">
        <f>AVERAGE(H114:O114)</f>
      </c>
      <c r="U114" s="154"/>
      <c r="W114" s="163"/>
    </row>
    <row r="115" spans="1:31">
      <c r="A115" s="209" t="s">
        <v>5</v>
      </c>
      <c r="B115" s="143" t="s">
        <v>91</v>
      </c>
      <c r="C115" s="155">
        <f>'Data Sheet'!B45</f>
      </c>
      <c r="D115" s="156">
        <f>'Data Sheet'!C45</f>
      </c>
      <c r="E115" s="156">
        <f>'Data Sheet'!D45</f>
      </c>
      <c r="F115" s="156">
        <f>'Data Sheet'!E45</f>
      </c>
      <c r="G115" s="156">
        <f>'Data Sheet'!F45</f>
      </c>
      <c r="H115" s="156">
        <f>'Data Sheet'!G45</f>
      </c>
      <c r="I115" s="156">
        <f>'Data Sheet'!H45</f>
      </c>
      <c r="J115" s="156">
        <f>'Data Sheet'!I45</f>
      </c>
      <c r="K115" s="156">
        <f>'Data Sheet'!J45</f>
      </c>
      <c r="L115" s="156">
        <f>'Data Sheet'!K45</f>
      </c>
      <c r="M115" s="337" t="e">
        <f>I115*(I115/E115)</f>
      </c>
      <c r="N115" s="338" t="e">
        <f>J115*(J115/F115)</f>
      </c>
      <c r="O115" s="338" t="e">
        <f t="shared" ref="O115:P115" si="88">K115*(K115/G115)</f>
      </c>
      <c r="P115" s="339">
        <f t="shared" si="88"/>
      </c>
      <c r="U115" s="154"/>
      <c r="W115" s="163"/>
    </row>
    <row r="116" spans="1:31" ht="13.5" thickBot="1">
      <c r="A116" s="218" t="s">
        <v>6</v>
      </c>
      <c r="B116" s="175" t="s">
        <v>91</v>
      </c>
      <c r="C116" s="176">
        <f>'Data Sheet'!B46</f>
      </c>
      <c r="D116" s="177">
        <f>'Data Sheet'!C46</f>
      </c>
      <c r="E116" s="177">
        <f>'Data Sheet'!D46</f>
      </c>
      <c r="F116" s="177">
        <f>'Data Sheet'!E46</f>
      </c>
      <c r="G116" s="177">
        <f>'Data Sheet'!F46</f>
      </c>
      <c r="H116" s="177">
        <f>'Data Sheet'!G46</f>
      </c>
      <c r="I116" s="177">
        <f>'Data Sheet'!H46</f>
      </c>
      <c r="J116" s="177">
        <f>'Data Sheet'!I46</f>
      </c>
      <c r="K116" s="177">
        <f>'Data Sheet'!J46</f>
      </c>
      <c r="L116" s="177">
        <f>'Data Sheet'!K46</f>
      </c>
      <c r="M116" s="358">
        <f>AVERAGE(E116:L116)</f>
      </c>
      <c r="N116" s="359">
        <f>AVERAGE(F116:M116)</f>
      </c>
      <c r="O116" s="359">
        <f>AVERAGE(G116:N116)</f>
      </c>
      <c r="P116" s="360">
        <f>AVERAGE(H116:O116)</f>
      </c>
      <c r="Q116" s="175"/>
      <c r="R116" s="175"/>
      <c r="S116" s="175"/>
      <c r="T116" s="175"/>
      <c r="U116" s="174"/>
      <c r="V116" s="175"/>
      <c r="W116" s="294"/>
    </row>
    <row r="117" spans="1:31">
      <c r="A117" s="315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408"/>
      <c r="N117" s="408"/>
      <c r="O117" s="408"/>
      <c r="P117" s="408"/>
      <c r="Z117" s="412" t="str">
        <f ca="1">"Key Data -"&amp;" as of "&amp;TEXT(TODAY(),"dd-mmm-yy")</f>
      </c>
      <c r="AA117" s="412"/>
      <c r="AB117" s="412"/>
      <c r="AC117" s="412"/>
      <c r="AD117" s="412"/>
      <c r="AE117" s="412"/>
    </row>
    <row r="118" spans="1:31">
      <c r="A118" s="315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408"/>
      <c r="N118" s="408"/>
      <c r="O118" s="408"/>
      <c r="P118" s="408"/>
      <c r="Z118" s="415" t="str">
        <f>CONCATENATE('Data Sheet'!$B$1,"           Mcap ",TEXT(ROUND($P$6,0),"0,000")," Cr        CMP ",TEXT($P$4,"##,##0.0"))</f>
      </c>
      <c r="AA118" s="415"/>
      <c r="AB118" s="415"/>
      <c r="AC118" s="415"/>
      <c r="AD118" s="415"/>
      <c r="AE118" s="415"/>
    </row>
    <row r="119" spans="1:31">
      <c r="A119" s="315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408"/>
      <c r="N119" s="408"/>
      <c r="O119" s="408"/>
      <c r="P119" s="408"/>
      <c r="Z119" s="413" t="s">
        <v>5160</v>
      </c>
      <c r="AA119" s="413"/>
      <c r="AB119" s="413" t="s">
        <v>5161</v>
      </c>
      <c r="AC119" s="413"/>
      <c r="AD119" s="413" t="s">
        <v>5162</v>
      </c>
      <c r="AE119" s="413"/>
    </row>
    <row r="120" spans="1:31">
      <c r="A120" s="315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408"/>
      <c r="N120" s="408"/>
      <c r="O120" s="408"/>
      <c r="P120" s="408"/>
      <c r="Z120" s="413" t="s">
        <v>5163</v>
      </c>
      <c r="AA120" s="413"/>
      <c r="AB120" s="414" t="s">
        <v>5165</v>
      </c>
      <c r="AC120" s="414"/>
      <c r="AD120" s="413" t="s">
        <v>5164</v>
      </c>
      <c r="AE120" s="413"/>
    </row>
    <row r="121" spans="1:31">
      <c r="Z121" s="412" t="s">
        <v>5159</v>
      </c>
      <c r="AA121" s="412"/>
      <c r="AB121" s="412"/>
      <c r="AC121" s="412"/>
      <c r="AD121" s="412"/>
      <c r="AE121" s="412"/>
    </row>
    <row r="122" spans="1:31" ht="15">
      <c r="Z122" s="407" t="s">
        <v>223</v>
      </c>
      <c r="AA122" s="402" t="s">
        <v>154</v>
      </c>
      <c r="AB122" s="402" t="s">
        <v>155</v>
      </c>
      <c r="AC122" s="402" t="s">
        <v>5156</v>
      </c>
      <c r="AD122" s="402" t="s">
        <v>5157</v>
      </c>
      <c r="AE122" s="402" t="s">
        <v>5158</v>
      </c>
    </row>
    <row r="123" spans="1:31">
      <c r="Z123" s="143" t="str">
        <f>A9</f>
      </c>
      <c r="AA123" s="210">
        <f t="shared" ref="AA123:AE124" si="89">K9</f>
      </c>
      <c r="AB123" s="210">
        <f t="shared" si="89"/>
      </c>
      <c r="AC123" s="210">
        <f t="shared" si="89"/>
      </c>
      <c r="AD123" s="210">
        <f t="shared" si="89"/>
      </c>
      <c r="AE123" s="210">
        <f t="shared" si="89"/>
      </c>
    </row>
    <row r="124" spans="1:31">
      <c r="Z124" s="399" t="str">
        <f>A10</f>
      </c>
      <c r="AA124" s="404">
        <f t="shared" si="89"/>
      </c>
      <c r="AB124" s="404">
        <f t="shared" si="89"/>
      </c>
      <c r="AC124" s="404">
        <f t="shared" si="89"/>
      </c>
      <c r="AD124" s="404">
        <f t="shared" si="89"/>
      </c>
      <c r="AE124" s="404">
        <f t="shared" si="89"/>
      </c>
    </row>
    <row r="125" spans="1:31">
      <c r="Z125" s="143" t="str">
        <f>A13</f>
      </c>
      <c r="AA125" s="210">
        <f t="shared" ref="AA125:AE126" si="90">K13</f>
      </c>
      <c r="AB125" s="210">
        <f t="shared" si="90"/>
      </c>
      <c r="AC125" s="210">
        <f t="shared" si="90"/>
      </c>
      <c r="AD125" s="210">
        <f t="shared" si="90"/>
      </c>
      <c r="AE125" s="210">
        <f t="shared" si="90"/>
      </c>
    </row>
    <row r="126" spans="1:31">
      <c r="A126" s="361"/>
      <c r="Z126" s="399" t="str">
        <f>A14</f>
      </c>
      <c r="AA126" s="404">
        <f t="shared" si="90"/>
      </c>
      <c r="AB126" s="404">
        <f t="shared" si="90"/>
      </c>
      <c r="AC126" s="404">
        <f t="shared" si="90"/>
      </c>
      <c r="AD126" s="404">
        <f t="shared" si="90"/>
      </c>
      <c r="AE126" s="404">
        <f t="shared" si="90"/>
      </c>
    </row>
    <row r="127" spans="1:31">
      <c r="A127" s="361"/>
      <c r="Z127" s="382" t="str">
        <f>A20</f>
      </c>
      <c r="AA127" s="210">
        <f t="shared" ref="AA127:AE129" si="91">K20</f>
      </c>
      <c r="AB127" s="210">
        <f t="shared" si="91"/>
      </c>
      <c r="AC127" s="210">
        <f t="shared" si="91"/>
      </c>
      <c r="AD127" s="210">
        <f t="shared" si="91"/>
      </c>
      <c r="AE127" s="210">
        <f t="shared" si="91"/>
      </c>
    </row>
    <row r="128" spans="1:31">
      <c r="A128" s="261"/>
      <c r="Z128" s="400" t="str">
        <f>A21</f>
      </c>
      <c r="AA128" s="404">
        <f t="shared" si="91"/>
      </c>
      <c r="AB128" s="404">
        <f t="shared" si="91"/>
      </c>
      <c r="AC128" s="404">
        <f t="shared" si="91"/>
      </c>
      <c r="AD128" s="404">
        <f t="shared" si="91"/>
      </c>
      <c r="AE128" s="404">
        <f t="shared" si="91"/>
      </c>
    </row>
    <row r="129" spans="1:31">
      <c r="A129" s="362"/>
      <c r="B129" s="363"/>
      <c r="Z129" s="382" t="str">
        <f>A22</f>
      </c>
      <c r="AA129" s="225">
        <f t="shared" si="91"/>
      </c>
      <c r="AB129" s="225">
        <f t="shared" si="91"/>
      </c>
      <c r="AC129" s="225">
        <f t="shared" si="91"/>
      </c>
      <c r="AD129" s="225">
        <f t="shared" si="91"/>
      </c>
      <c r="AE129" s="225">
        <f t="shared" si="91"/>
      </c>
    </row>
    <row r="130" spans="1:31">
      <c r="A130" s="362"/>
      <c r="B130" s="363"/>
      <c r="Z130" s="399" t="str">
        <f>A91</f>
      </c>
      <c r="AA130" s="401">
        <f t="shared" ref="AA130:AE131" si="92">K91</f>
      </c>
      <c r="AB130" s="401">
        <f t="shared" si="92"/>
      </c>
      <c r="AC130" s="401">
        <f t="shared" si="92"/>
      </c>
      <c r="AD130" s="401">
        <f t="shared" si="92"/>
      </c>
      <c r="AE130" s="401">
        <f t="shared" si="92"/>
      </c>
    </row>
    <row r="131" spans="1:31">
      <c r="A131" s="362"/>
      <c r="B131" s="363"/>
      <c r="Z131" s="143" t="str">
        <f>A92</f>
      </c>
      <c r="AA131" s="165">
        <f t="shared" si="92"/>
      </c>
      <c r="AB131" s="165">
        <f t="shared" si="92"/>
      </c>
      <c r="AC131" s="165">
        <f t="shared" si="92"/>
      </c>
      <c r="AD131" s="165">
        <f t="shared" si="92"/>
      </c>
      <c r="AE131" s="165">
        <f t="shared" si="92"/>
      </c>
    </row>
    <row r="132" spans="1:31">
      <c r="A132" s="362"/>
      <c r="B132" s="363"/>
      <c r="Z132" s="399" t="str">
        <f>A80</f>
      </c>
      <c r="AA132" s="403">
        <f>K80</f>
      </c>
      <c r="AB132" s="403">
        <f>L80</f>
      </c>
      <c r="AC132" s="403">
        <f>M80</f>
      </c>
      <c r="AD132" s="403">
        <f>N80</f>
      </c>
      <c r="AE132" s="403">
        <f>O80</f>
      </c>
    </row>
    <row r="133" spans="1:31">
      <c r="A133" s="362" t="s">
        <v>126</v>
      </c>
      <c r="B133" s="363"/>
      <c r="Z133" s="405" t="str">
        <f>A79</f>
      </c>
      <c r="AA133" s="406">
        <f>K79</f>
      </c>
      <c r="AB133" s="406">
        <f>L79</f>
      </c>
      <c r="AC133" s="406">
        <f>M79</f>
      </c>
      <c r="AD133" s="406">
        <f>N79</f>
      </c>
      <c r="AE133" s="406">
        <f>O79</f>
      </c>
    </row>
    <row r="134" spans="1:31">
      <c r="A134" s="362"/>
      <c r="B134" s="363"/>
    </row>
    <row r="135" spans="1:31">
      <c r="A135" s="362" t="s">
        <v>127</v>
      </c>
      <c r="B135" s="362" t="s">
        <v>91</v>
      </c>
    </row>
    <row r="136" spans="1:31">
      <c r="A136" s="362" t="s">
        <v>128</v>
      </c>
      <c r="B136" s="363"/>
    </row>
    <row r="137" spans="1:31">
      <c r="A137" s="362" t="s">
        <v>129</v>
      </c>
      <c r="B137" s="362" t="s">
        <v>91</v>
      </c>
    </row>
    <row r="138" spans="1:31">
      <c r="A138" s="362" t="s">
        <v>130</v>
      </c>
      <c r="B138" s="362" t="s">
        <v>91</v>
      </c>
    </row>
    <row r="139" spans="1:31">
      <c r="A139" s="362" t="s">
        <v>131</v>
      </c>
      <c r="B139" s="362" t="s">
        <v>132</v>
      </c>
    </row>
    <row r="140" spans="1:31">
      <c r="A140" s="362" t="s">
        <v>133</v>
      </c>
      <c r="B140" s="362" t="s">
        <v>132</v>
      </c>
    </row>
    <row r="141" spans="1:31">
      <c r="A141" s="363"/>
      <c r="B141" s="363"/>
    </row>
  </sheetData>
  <sheetProtection formatColumns="0" selectLockedCells="1"/>
  <mergeCells count="12">
    <mergeCell ref="B1:W1"/>
    <mergeCell ref="Z121:AE121"/>
    <mergeCell ref="Z119:AA119"/>
    <mergeCell ref="AB119:AC119"/>
    <mergeCell ref="AD119:AE119"/>
    <mergeCell ref="AD120:AE120"/>
    <mergeCell ref="AB120:AC120"/>
    <mergeCell ref="Z120:AA120"/>
    <mergeCell ref="Z117:AE117"/>
    <mergeCell ref="Z118:AE118"/>
    <mergeCell ref="U2:W2"/>
    <mergeCell ref="A2:T2"/>
  </mergeCells>
  <conditionalFormatting sqref="D9:D10 E10:O10">
    <cfRule type="cellIs" dxfId="83" priority="31" operator="greaterThanOrEqual">
      <formula>C9</formula>
    </cfRule>
    <cfRule type="cellIs" dxfId="82" priority="32" operator="lessThan">
      <formula>C9</formula>
    </cfRule>
    <cfRule type="cellIs" dxfId="81" priority="33" operator="greaterThanOrEqual">
      <formula>C9</formula>
    </cfRule>
    <cfRule type="cellIs" dxfId="80" priority="34" operator="lessThan">
      <formula>C9</formula>
    </cfRule>
  </conditionalFormatting>
  <conditionalFormatting sqref="D12:F12 H12:O12">
    <cfRule type="cellIs" dxfId="79" priority="9" operator="greaterThanOrEqual">
      <formula>C12</formula>
    </cfRule>
    <cfRule type="cellIs" dxfId="78" priority="10" operator="lessThan">
      <formula>C12</formula>
    </cfRule>
    <cfRule type="cellIs" dxfId="77" priority="11" operator="greaterThanOrEqual">
      <formula>C12</formula>
    </cfRule>
    <cfRule type="cellIs" dxfId="76" priority="12" operator="lessThan">
      <formula>C12</formula>
    </cfRule>
  </conditionalFormatting>
  <conditionalFormatting sqref="D11:L11 D13:L13">
    <cfRule type="cellIs" dxfId="75" priority="27" operator="greaterThanOrEqual">
      <formula>C11</formula>
    </cfRule>
    <cfRule type="cellIs" dxfId="74" priority="28" operator="lessThan">
      <formula>C11</formula>
    </cfRule>
    <cfRule type="cellIs" dxfId="73" priority="29" operator="greaterThanOrEqual">
      <formula>C11</formula>
    </cfRule>
    <cfRule type="cellIs" dxfId="72" priority="30" operator="lessThan">
      <formula>C11</formula>
    </cfRule>
  </conditionalFormatting>
  <conditionalFormatting sqref="D20:L20">
    <cfRule type="cellIs" dxfId="71" priority="23" operator="greaterThanOrEqual">
      <formula>C20</formula>
    </cfRule>
    <cfRule type="cellIs" dxfId="70" priority="24" operator="lessThan">
      <formula>C20</formula>
    </cfRule>
    <cfRule type="cellIs" dxfId="69" priority="25" operator="greaterThanOrEqual">
      <formula>C20</formula>
    </cfRule>
    <cfRule type="cellIs" dxfId="68" priority="26" operator="lessThan">
      <formula>C20</formula>
    </cfRule>
  </conditionalFormatting>
  <conditionalFormatting sqref="D22:L22">
    <cfRule type="cellIs" dxfId="67" priority="19" operator="greaterThanOrEqual">
      <formula>C22</formula>
    </cfRule>
    <cfRule type="cellIs" dxfId="66" priority="20" operator="lessThan">
      <formula>C22</formula>
    </cfRule>
    <cfRule type="cellIs" dxfId="65" priority="21" operator="greaterThanOrEqual">
      <formula>C22</formula>
    </cfRule>
    <cfRule type="cellIs" dxfId="64" priority="22" operator="lessThan">
      <formula>C22</formula>
    </cfRule>
  </conditionalFormatting>
  <conditionalFormatting sqref="D26:L32">
    <cfRule type="cellIs" dxfId="63" priority="75" operator="greaterThanOrEqual">
      <formula>C26</formula>
    </cfRule>
    <cfRule type="cellIs" dxfId="62" priority="76" operator="lessThan">
      <formula>C26</formula>
    </cfRule>
  </conditionalFormatting>
  <conditionalFormatting sqref="D64:L64">
    <cfRule type="cellIs" dxfId="61" priority="15" operator="greaterThanOrEqual">
      <formula>C64</formula>
    </cfRule>
    <cfRule type="cellIs" dxfId="60" priority="16" operator="lessThan">
      <formula>C64</formula>
    </cfRule>
    <cfRule type="cellIs" dxfId="59" priority="17" operator="greaterThanOrEqual">
      <formula>C64</formula>
    </cfRule>
    <cfRule type="cellIs" dxfId="58" priority="18" operator="lessThan">
      <formula>C64</formula>
    </cfRule>
  </conditionalFormatting>
  <conditionalFormatting sqref="D65:L65">
    <cfRule type="cellIs" dxfId="57" priority="13" operator="greaterThanOrEqual">
      <formula>C65</formula>
    </cfRule>
    <cfRule type="cellIs" dxfId="56" priority="14" operator="lessThan">
      <formula>C65</formula>
    </cfRule>
  </conditionalFormatting>
  <conditionalFormatting sqref="D68:L71">
    <cfRule type="cellIs" dxfId="55" priority="45" operator="greaterThanOrEqual">
      <formula>C68</formula>
    </cfRule>
    <cfRule type="cellIs" dxfId="54" priority="46" operator="lessThan">
      <formula>C68</formula>
    </cfRule>
  </conditionalFormatting>
  <conditionalFormatting sqref="D72:L72">
    <cfRule type="cellIs" dxfId="53" priority="53" operator="greaterThanOrEqual">
      <formula>C72</formula>
    </cfRule>
    <cfRule type="cellIs" dxfId="52" priority="54" operator="lessThan">
      <formula>C72</formula>
    </cfRule>
  </conditionalFormatting>
  <conditionalFormatting sqref="D72:L74">
    <cfRule type="cellIs" dxfId="51" priority="49" operator="greaterThanOrEqual">
      <formula>C72</formula>
    </cfRule>
    <cfRule type="cellIs" dxfId="50" priority="50" operator="lessThan">
      <formula>C72</formula>
    </cfRule>
  </conditionalFormatting>
  <conditionalFormatting sqref="D73:L74">
    <cfRule type="cellIs" dxfId="49" priority="47" operator="greaterThanOrEqual">
      <formula>C73</formula>
    </cfRule>
    <cfRule type="cellIs" dxfId="48" priority="48" operator="lessThan">
      <formula>C73</formula>
    </cfRule>
  </conditionalFormatting>
  <conditionalFormatting sqref="D76:L76">
    <cfRule type="cellIs" dxfId="47" priority="43" operator="greaterThanOrEqual">
      <formula>C76</formula>
    </cfRule>
    <cfRule type="cellIs" dxfId="46" priority="44" operator="lessThan">
      <formula>C76</formula>
    </cfRule>
  </conditionalFormatting>
  <conditionalFormatting sqref="D14:O14">
    <cfRule type="cellIs" dxfId="45" priority="5" operator="greaterThanOrEqual">
      <formula>C14</formula>
    </cfRule>
    <cfRule type="cellIs" dxfId="44" priority="6" operator="lessThan">
      <formula>C14</formula>
    </cfRule>
    <cfRule type="cellIs" dxfId="43" priority="7" operator="greaterThanOrEqual">
      <formula>C14</formula>
    </cfRule>
    <cfRule type="cellIs" dxfId="42" priority="8" operator="lessThan">
      <formula>C14</formula>
    </cfRule>
  </conditionalFormatting>
  <conditionalFormatting sqref="D21:O21">
    <cfRule type="cellIs" dxfId="41" priority="1" operator="greaterThanOrEqual">
      <formula>C21</formula>
    </cfRule>
    <cfRule type="cellIs" dxfId="40" priority="2" operator="lessThan">
      <formula>C21</formula>
    </cfRule>
    <cfRule type="cellIs" dxfId="39" priority="3" operator="greaterThanOrEqual">
      <formula>C21</formula>
    </cfRule>
    <cfRule type="cellIs" dxfId="38" priority="4" operator="lessThan">
      <formula>C21</formula>
    </cfRule>
  </conditionalFormatting>
  <conditionalFormatting sqref="E9">
    <cfRule type="cellIs" dxfId="37" priority="39" operator="greaterThanOrEqual">
      <formula>D9</formula>
    </cfRule>
    <cfRule type="cellIs" dxfId="36" priority="40" operator="lessThan">
      <formula>D9</formula>
    </cfRule>
    <cfRule type="cellIs" dxfId="35" priority="41" operator="greaterThanOrEqual">
      <formula>D9</formula>
    </cfRule>
    <cfRule type="cellIs" dxfId="34" priority="42" operator="lessThan">
      <formula>D9</formula>
    </cfRule>
  </conditionalFormatting>
  <conditionalFormatting sqref="E9:L9">
    <cfRule type="cellIs" dxfId="33" priority="35" operator="greaterThanOrEqual">
      <formula>D9</formula>
    </cfRule>
    <cfRule type="cellIs" dxfId="32" priority="36" operator="lessThan">
      <formula>D9</formula>
    </cfRule>
    <cfRule type="cellIs" dxfId="31" priority="37" operator="greaterThanOrEqual">
      <formula>D9</formula>
    </cfRule>
    <cfRule type="cellIs" dxfId="30" priority="38" operator="lessThan">
      <formula>D9</formula>
    </cfRule>
  </conditionalFormatting>
  <conditionalFormatting sqref="E26:L26">
    <cfRule type="cellIs" dxfId="29" priority="71" operator="greaterThanOrEqual">
      <formula>D26</formula>
    </cfRule>
    <cfRule type="cellIs" dxfId="28" priority="72" operator="lessThan">
      <formula>D26</formula>
    </cfRule>
  </conditionalFormatting>
  <conditionalFormatting sqref="E35:L38">
    <cfRule type="cellIs" dxfId="27" priority="67" operator="greaterThanOrEqual">
      <formula>D35</formula>
    </cfRule>
    <cfRule type="cellIs" dxfId="26" priority="68" operator="lessThan">
      <formula>D35</formula>
    </cfRule>
    <cfRule type="cellIs" dxfId="25" priority="69" operator="greaterThanOrEqual">
      <formula>D35</formula>
    </cfRule>
    <cfRule type="cellIs" dxfId="24" priority="70" operator="lessThan">
      <formula>D35</formula>
    </cfRule>
  </conditionalFormatting>
  <conditionalFormatting sqref="E58:L61">
    <cfRule type="cellIs" dxfId="23" priority="63" operator="greaterThanOrEqual">
      <formula>D58</formula>
    </cfRule>
    <cfRule type="cellIs" dxfId="22" priority="64" operator="lessThan">
      <formula>D58</formula>
    </cfRule>
    <cfRule type="cellIs" dxfId="21" priority="65" operator="greaterThanOrEqual">
      <formula>D58</formula>
    </cfRule>
    <cfRule type="cellIs" dxfId="20" priority="66" operator="lessThan">
      <formula>D58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0D1E-E5CA-6F48-80D5-E6E63043965D}">
  <sheetPr codeName="Sheet4">
    <pageSetUpPr fitToPage="1"/>
  </sheetPr>
  <dimension ref="C1:X1"/>
  <sheetViews>
    <sheetView view="pageBreakPreview" zoomScale="65" zoomScaleNormal="64" zoomScaleSheetLayoutView="65" zoomScalePageLayoutView="25" workbookViewId="0">
      <selection activeCell="C8" sqref="C8"/>
    </sheetView>
  </sheetViews>
  <sheetFormatPr defaultColWidth="10.85546875" defaultRowHeight="15"/>
  <sheetData>
    <row r="1" spans="3:24" ht="34.5" customHeight="1">
      <c r="C1" s="435" t="str">
        <f>Financial!A2</f>
      </c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</row>
  </sheetData>
  <mergeCells count="1">
    <mergeCell ref="C1:X1"/>
  </mergeCells>
  <pageMargins left="0.25" right="0.25" top="0.75" bottom="0.75" header="0.3" footer="0.3"/>
  <pageSetup scale="3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C80B-7522-4D23-84BB-EDAB377079DD}">
  <sheetPr codeName="Sheet8"/>
  <dimension ref="A1:X93"/>
  <sheetViews>
    <sheetView zoomScale="75" zoomScaleNormal="75" workbookViewId="0">
      <pane xSplit="1" ySplit="1" topLeftCell="B2" activePane="bottomRight" state="frozen"/>
      <selection activeCell="C8" sqref="C8"/>
      <selection pane="topRight" activeCell="C8" sqref="C8"/>
      <selection pane="bottomLeft" activeCell="C8" sqref="C8"/>
      <selection pane="bottomRight" activeCell="C8" sqref="C8"/>
    </sheetView>
  </sheetViews>
  <sheetFormatPr defaultColWidth="8.85546875" defaultRowHeight="12.75"/>
  <cols>
    <col min="1" max="1" width="24.140625" style="143" customWidth="1"/>
    <col min="2" max="3" width="7.140625" style="143" bestFit="1" customWidth="1"/>
    <col min="4" max="10" width="9" style="143" customWidth="1"/>
    <col min="11" max="17" width="10.140625" style="143" customWidth="1"/>
    <col min="18" max="18" width="9.140625" style="143" customWidth="1"/>
    <col min="19" max="19" width="7" style="143" customWidth="1"/>
    <col min="20" max="20" width="6.85546875" style="143" customWidth="1"/>
    <col min="21" max="21" width="7.7109375" style="143" customWidth="1"/>
    <col min="22" max="24" width="7" style="143" customWidth="1"/>
    <col min="25" max="16384" width="8.85546875" style="143"/>
  </cols>
  <sheetData>
    <row r="1" spans="1:24" ht="26.25" thickBot="1">
      <c r="A1" s="144"/>
      <c r="B1" s="145"/>
      <c r="C1" s="145"/>
      <c r="D1" s="144">
        <f>'Data Sheet'!B16</f>
      </c>
      <c r="E1" s="145">
        <f>'Data Sheet'!C16</f>
      </c>
      <c r="F1" s="145">
        <f>'Data Sheet'!D16</f>
      </c>
      <c r="G1" s="145">
        <f>'Data Sheet'!E16</f>
      </c>
      <c r="H1" s="145">
        <f>'Data Sheet'!F16</f>
      </c>
      <c r="I1" s="145">
        <f>'Data Sheet'!G16</f>
      </c>
      <c r="J1" s="145">
        <f>'Data Sheet'!H16</f>
      </c>
      <c r="K1" s="145">
        <f>'Data Sheet'!I16</f>
      </c>
      <c r="L1" s="145">
        <f>'Data Sheet'!J16</f>
      </c>
      <c r="M1" s="146">
        <f>'Data Sheet'!K16</f>
      </c>
      <c r="N1" s="147">
        <f>M1+365</f>
      </c>
      <c r="O1" s="148">
        <f>N1+365</f>
      </c>
      <c r="P1" s="149">
        <f>O1+365</f>
      </c>
      <c r="Q1" s="150" t="s">
        <v>116</v>
      </c>
      <c r="R1" s="151" t="s">
        <v>125</v>
      </c>
      <c r="S1" s="152" t="s">
        <v>81</v>
      </c>
      <c r="T1" s="152" t="s">
        <v>82</v>
      </c>
      <c r="U1" s="152" t="s">
        <v>209</v>
      </c>
      <c r="V1" s="151">
        <f>N1</f>
      </c>
      <c r="W1" s="152">
        <f>O1</f>
      </c>
      <c r="X1" s="153">
        <f>P1</f>
      </c>
    </row>
    <row r="2" spans="1:24">
      <c r="A2" s="189" t="s">
        <v>83</v>
      </c>
      <c r="B2" s="190" t="s">
        <v>91</v>
      </c>
      <c r="C2" s="190"/>
      <c r="D2" s="191">
        <f>'Data Sheet'!B17</f>
      </c>
      <c r="E2" s="192">
        <f>'Data Sheet'!C17</f>
      </c>
      <c r="F2" s="192">
        <f>'Data Sheet'!D17</f>
      </c>
      <c r="G2" s="192">
        <f>'Data Sheet'!E17</f>
      </c>
      <c r="H2" s="192">
        <f>'Data Sheet'!F17</f>
      </c>
      <c r="I2" s="192">
        <f>'Data Sheet'!G17</f>
      </c>
      <c r="J2" s="192">
        <f>'Data Sheet'!H17</f>
      </c>
      <c r="K2" s="192">
        <f>'Data Sheet'!I17</f>
      </c>
      <c r="L2" s="192">
        <f>'Data Sheet'!J17</f>
      </c>
      <c r="M2" s="192">
        <f>'Data Sheet'!K17</f>
      </c>
      <c r="N2" s="193">
        <f>M2*(1+$V2)</f>
      </c>
      <c r="O2" s="194">
        <f>N2*(1+$W2)</f>
      </c>
      <c r="P2" s="195">
        <f>O2*(1+$X2)</f>
      </c>
      <c r="Q2" s="196">
        <f>SUM(J53:M53)</f>
      </c>
      <c r="R2" s="197">
        <f>((P2/M2)^(1/3))-1</f>
      </c>
      <c r="S2" s="198">
        <f>((M2/J2)^(1/3))-1</f>
      </c>
      <c r="T2" s="198" t="e">
        <f>((M2/H2)^(1/5))-1</f>
      </c>
      <c r="U2" s="198" t="str">
        <f>IF(D2&gt;0,((M2/D2)^(1/9))-1,"-")</f>
      </c>
      <c r="V2" s="199">
        <f>S2</f>
      </c>
      <c r="W2" s="200">
        <f>V2</f>
      </c>
      <c r="X2" s="201">
        <f>W2</f>
      </c>
    </row>
    <row r="3" spans="1:24">
      <c r="A3" s="209" t="s">
        <v>234</v>
      </c>
      <c r="B3" s="143" t="s">
        <v>91</v>
      </c>
      <c r="D3" s="155">
        <f>'Data Sheet'!B28+'Data Sheet'!B27</f>
      </c>
      <c r="E3" s="156">
        <f>'Data Sheet'!C28+'Data Sheet'!C27</f>
      </c>
      <c r="F3" s="156">
        <f>'Data Sheet'!D28+'Data Sheet'!D27</f>
      </c>
      <c r="G3" s="156">
        <f>'Data Sheet'!E28+'Data Sheet'!E27</f>
      </c>
      <c r="H3" s="156">
        <f>'Data Sheet'!F28+'Data Sheet'!F27</f>
      </c>
      <c r="I3" s="156">
        <f>'Data Sheet'!G28+'Data Sheet'!G27</f>
      </c>
      <c r="J3" s="156">
        <f>'Data Sheet'!H28+'Data Sheet'!H27</f>
      </c>
      <c r="K3" s="156">
        <f>'Data Sheet'!I28+'Data Sheet'!I27</f>
      </c>
      <c r="L3" s="156">
        <f>'Data Sheet'!J28+'Data Sheet'!J27</f>
      </c>
      <c r="M3" s="157">
        <f>'Data Sheet'!K28+'Data Sheet'!K27</f>
      </c>
      <c r="N3" s="158">
        <f>Financial!M18+Financial!M17</f>
      </c>
      <c r="O3" s="159">
        <f>Financial!N18+Financial!N17</f>
      </c>
      <c r="P3" s="160">
        <f>Financial!O18+Financial!O17</f>
      </c>
      <c r="Q3" s="208">
        <f>SUM('Data Sheet'!H47:K47)+SUM('Data Sheet'!H46:K46)</f>
      </c>
      <c r="R3" s="206"/>
      <c r="S3" s="207"/>
      <c r="T3" s="207"/>
      <c r="V3" s="154"/>
      <c r="X3" s="163"/>
    </row>
    <row r="4" spans="1:24">
      <c r="A4" s="209" t="s">
        <v>120</v>
      </c>
      <c r="D4" s="155">
        <f>Financial!C43</f>
      </c>
      <c r="E4" s="156">
        <f>Financial!D43</f>
      </c>
      <c r="F4" s="156">
        <f>Financial!E43</f>
      </c>
      <c r="G4" s="156">
        <f>Financial!F43</f>
      </c>
      <c r="H4" s="156">
        <f>Financial!G43</f>
      </c>
      <c r="I4" s="156">
        <f>Financial!H43</f>
      </c>
      <c r="J4" s="156">
        <f>Financial!I43</f>
      </c>
      <c r="K4" s="156">
        <f>Financial!J43</f>
      </c>
      <c r="L4" s="156">
        <f>Financial!K43</f>
      </c>
      <c r="M4" s="157">
        <f>Financial!L43</f>
      </c>
      <c r="N4" s="171">
        <f>Financial!M43</f>
      </c>
      <c r="O4" s="172">
        <f>Financial!N43</f>
      </c>
      <c r="P4" s="173">
        <f>Financial!O43</f>
      </c>
      <c r="Q4" s="236"/>
      <c r="R4" s="205"/>
      <c r="V4" s="154"/>
      <c r="X4" s="163"/>
    </row>
    <row r="5" spans="1:24" ht="13.5" thickBot="1">
      <c r="A5" s="154" t="s">
        <v>241</v>
      </c>
      <c r="V5" s="154"/>
      <c r="X5" s="163"/>
    </row>
    <row r="6" spans="1:24">
      <c r="A6" s="189" t="s">
        <v>83</v>
      </c>
      <c r="D6" s="376">
        <f>D2/D20-1</f>
      </c>
      <c r="E6" s="376">
        <f t="shared" ref="E6:P6" si="0">E2/E20-1</f>
      </c>
      <c r="F6" s="376">
        <f t="shared" si="0"/>
      </c>
      <c r="G6" s="376">
        <f t="shared" si="0"/>
      </c>
      <c r="H6" s="376">
        <f t="shared" si="0"/>
      </c>
      <c r="I6" s="376">
        <f t="shared" si="0"/>
      </c>
      <c r="J6" s="376">
        <f t="shared" si="0"/>
      </c>
      <c r="K6" s="376">
        <f t="shared" si="0"/>
      </c>
      <c r="L6" s="376">
        <f t="shared" si="0"/>
      </c>
      <c r="M6" s="376">
        <f t="shared" si="0"/>
      </c>
      <c r="N6" s="376" t="e">
        <f t="shared" si="0"/>
      </c>
      <c r="O6" s="376" t="e">
        <f t="shared" si="0"/>
      </c>
      <c r="P6" s="376" t="e">
        <f t="shared" si="0"/>
      </c>
    </row>
    <row r="7" spans="1:24">
      <c r="A7" s="209" t="s">
        <v>234</v>
      </c>
      <c r="D7" s="376">
        <f>D3/D32-1</f>
      </c>
      <c r="E7" s="376">
        <f t="shared" ref="E7:M7" si="1">E3/E32-1</f>
      </c>
      <c r="F7" s="376">
        <f t="shared" si="1"/>
      </c>
      <c r="G7" s="376">
        <f t="shared" si="1"/>
      </c>
      <c r="H7" s="376">
        <f t="shared" si="1"/>
      </c>
      <c r="I7" s="376">
        <f t="shared" si="1"/>
      </c>
      <c r="J7" s="376">
        <f t="shared" si="1"/>
      </c>
      <c r="K7" s="376">
        <f t="shared" si="1"/>
      </c>
      <c r="L7" s="376">
        <f t="shared" si="1"/>
      </c>
      <c r="M7" s="376">
        <f t="shared" si="1"/>
      </c>
    </row>
    <row r="8" spans="1:24">
      <c r="A8" s="209" t="s">
        <v>120</v>
      </c>
    </row>
    <row r="10" spans="1:24" ht="13.5" thickBot="1">
      <c r="A10" s="143" t="s">
        <v>235</v>
      </c>
      <c r="D10" s="388">
        <f>D1</f>
      </c>
      <c r="E10" s="388">
        <f t="shared" ref="E10:P10" si="2">E1</f>
      </c>
      <c r="F10" s="388">
        <f t="shared" si="2"/>
      </c>
      <c r="G10" s="388">
        <f t="shared" si="2"/>
      </c>
      <c r="H10" s="388">
        <f t="shared" si="2"/>
      </c>
      <c r="I10" s="388">
        <f t="shared" si="2"/>
      </c>
      <c r="J10" s="388">
        <f t="shared" si="2"/>
      </c>
      <c r="K10" s="388">
        <f t="shared" si="2"/>
      </c>
      <c r="L10" s="388">
        <f t="shared" si="2"/>
      </c>
      <c r="M10" s="388">
        <f t="shared" si="2"/>
      </c>
      <c r="N10" s="388">
        <f t="shared" si="2"/>
      </c>
      <c r="O10" s="388">
        <f t="shared" si="2"/>
      </c>
      <c r="P10" s="388">
        <f t="shared" si="2"/>
      </c>
    </row>
    <row r="11" spans="1:24" ht="13.5" thickBot="1">
      <c r="A11" s="389" t="s">
        <v>5135</v>
      </c>
      <c r="B11" s="374">
        <v>21062</v>
      </c>
      <c r="C11" s="374">
        <v>27146</v>
      </c>
      <c r="D11" s="374">
        <v>35112</v>
      </c>
      <c r="E11" s="374">
        <v>38566</v>
      </c>
      <c r="F11" s="374">
        <v>44163</v>
      </c>
      <c r="G11" s="374">
        <v>47505</v>
      </c>
      <c r="H11" s="374">
        <v>48418</v>
      </c>
      <c r="I11" s="374">
        <v>57938</v>
      </c>
      <c r="J11" s="374">
        <v>61095</v>
      </c>
      <c r="K11" s="374">
        <v>65634</v>
      </c>
      <c r="L11" s="374">
        <v>75126</v>
      </c>
      <c r="M11" s="374">
        <v>86127</v>
      </c>
      <c r="N11" s="193">
        <f t="shared" ref="N11:N19" si="3">M11*(1+$V11)</f>
      </c>
      <c r="O11" s="194">
        <f t="shared" ref="O11:O19" si="4">N11*(1+$W11)</f>
      </c>
      <c r="P11" s="195">
        <f t="shared" ref="P11:P19" si="5">O11*(1+$X11)</f>
      </c>
      <c r="R11" s="197">
        <f t="shared" ref="R11:R44" si="6">((P11/M11)^(1/3))-1</f>
      </c>
      <c r="S11" s="198">
        <f t="shared" ref="S11:S44" si="7">((M11/J11)^(1/3))-1</f>
      </c>
      <c r="T11" s="198">
        <f t="shared" ref="T11:T44" si="8">((M11/H11)^(1/5))-1</f>
      </c>
      <c r="U11" s="198">
        <f t="shared" ref="U11:U44" si="9">IF(D11&gt;0,((M11/D11)^(1/9))-1,"-")</f>
      </c>
      <c r="V11" s="199">
        <f t="shared" ref="V11:V44" si="10">S11</f>
      </c>
      <c r="W11" s="200">
        <f t="shared" ref="W11:X11" si="11">V11</f>
      </c>
      <c r="X11" s="201">
        <f t="shared" si="11"/>
      </c>
    </row>
    <row r="12" spans="1:24" ht="13.5" thickBot="1">
      <c r="A12" s="389" t="s">
        <v>5137</v>
      </c>
      <c r="B12" s="374">
        <v>6205</v>
      </c>
      <c r="C12" s="374">
        <v>7540</v>
      </c>
      <c r="D12" s="374">
        <v>9614</v>
      </c>
      <c r="E12" s="374">
        <v>10934</v>
      </c>
      <c r="F12" s="374">
        <v>18040</v>
      </c>
      <c r="G12" s="374">
        <v>19521</v>
      </c>
      <c r="H12" s="374">
        <v>21131</v>
      </c>
      <c r="I12" s="374">
        <v>23925</v>
      </c>
      <c r="J12" s="374">
        <v>25978</v>
      </c>
      <c r="K12" s="374">
        <v>27077</v>
      </c>
      <c r="L12" s="374">
        <v>31874</v>
      </c>
      <c r="M12" s="374">
        <v>37653</v>
      </c>
      <c r="N12" s="193">
        <f t="shared" si="3"/>
      </c>
      <c r="O12" s="194">
        <f t="shared" si="4"/>
      </c>
      <c r="P12" s="195">
        <f t="shared" si="5"/>
      </c>
      <c r="R12" s="197">
        <f t="shared" si="6"/>
      </c>
      <c r="S12" s="198">
        <f t="shared" si="7"/>
      </c>
      <c r="T12" s="198">
        <f t="shared" si="8"/>
      </c>
      <c r="U12" s="198">
        <f t="shared" si="9"/>
      </c>
      <c r="V12" s="199">
        <f t="shared" si="10"/>
      </c>
      <c r="W12" s="200">
        <f t="shared" ref="W12:X12" si="12">V12</f>
      </c>
      <c r="X12" s="201">
        <f t="shared" si="12"/>
      </c>
    </row>
    <row r="13" spans="1:24" ht="13.5" thickBot="1">
      <c r="A13" s="389" t="s">
        <v>5136</v>
      </c>
      <c r="B13" s="374">
        <v>5954</v>
      </c>
      <c r="C13" s="374">
        <v>8401</v>
      </c>
      <c r="D13" s="374">
        <v>11309</v>
      </c>
      <c r="E13" s="374">
        <v>12829</v>
      </c>
      <c r="F13" s="374">
        <v>19204</v>
      </c>
      <c r="G13" s="374">
        <v>20459</v>
      </c>
      <c r="H13" s="374">
        <v>21055</v>
      </c>
      <c r="I13" s="374">
        <v>25164</v>
      </c>
      <c r="J13" s="374">
        <v>26280</v>
      </c>
      <c r="K13" s="374">
        <v>25589</v>
      </c>
      <c r="L13" s="374">
        <v>30715</v>
      </c>
      <c r="M13" s="374">
        <v>37506</v>
      </c>
      <c r="N13" s="193">
        <f t="shared" si="3"/>
      </c>
      <c r="O13" s="194">
        <f t="shared" si="4"/>
      </c>
      <c r="P13" s="195">
        <f t="shared" si="5"/>
      </c>
      <c r="R13" s="197">
        <f t="shared" si="6"/>
      </c>
      <c r="S13" s="198">
        <f t="shared" si="7"/>
      </c>
      <c r="T13" s="198">
        <f t="shared" si="8"/>
      </c>
      <c r="U13" s="198">
        <f t="shared" si="9"/>
      </c>
      <c r="V13" s="199">
        <f t="shared" si="10"/>
      </c>
      <c r="W13" s="200">
        <f t="shared" ref="W13:X13" si="13">V13</f>
      </c>
      <c r="X13" s="201">
        <f t="shared" si="13"/>
      </c>
    </row>
    <row r="14" spans="1:24" ht="13.5" thickBot="1">
      <c r="A14" s="389" t="s">
        <v>5138</v>
      </c>
      <c r="B14" s="375">
        <v>0</v>
      </c>
      <c r="C14" s="374">
        <v>0</v>
      </c>
      <c r="D14" s="374">
        <v>0</v>
      </c>
      <c r="E14" s="374">
        <v>0</v>
      </c>
      <c r="F14" s="374">
        <v>0</v>
      </c>
      <c r="G14" s="374">
        <v>0</v>
      </c>
      <c r="H14" s="374">
        <v>0</v>
      </c>
      <c r="I14" s="374">
        <v>0</v>
      </c>
      <c r="J14" s="374">
        <v>0</v>
      </c>
      <c r="K14" s="374">
        <v>16968</v>
      </c>
      <c r="L14" s="374">
        <v>20462</v>
      </c>
      <c r="M14" s="374">
        <v>24605</v>
      </c>
      <c r="N14" s="193" t="e">
        <f t="shared" si="3"/>
      </c>
      <c r="O14" s="194" t="e">
        <f t="shared" si="4"/>
      </c>
      <c r="P14" s="195" t="e">
        <f t="shared" si="5"/>
      </c>
      <c r="R14" s="197" t="e">
        <f t="shared" si="6"/>
      </c>
      <c r="S14" s="198" t="e">
        <f t="shared" si="7"/>
      </c>
      <c r="T14" s="198" t="e">
        <f t="shared" si="8"/>
      </c>
      <c r="U14" s="198" t="str">
        <f t="shared" si="9"/>
      </c>
      <c r="V14" s="199" t="e">
        <f t="shared" si="10"/>
      </c>
      <c r="W14" s="200" t="e">
        <f t="shared" ref="W14:X14" si="14">V14</f>
      </c>
      <c r="X14" s="201" t="e">
        <f t="shared" si="14"/>
      </c>
    </row>
    <row r="15" spans="1:24" ht="13.5" thickBot="1">
      <c r="A15" s="389" t="s">
        <v>5139</v>
      </c>
      <c r="B15" s="374">
        <v>3801</v>
      </c>
      <c r="C15" s="374">
        <v>5216</v>
      </c>
      <c r="D15" s="374">
        <v>6989</v>
      </c>
      <c r="E15" s="374">
        <v>9242</v>
      </c>
      <c r="F15" s="374">
        <v>10909</v>
      </c>
      <c r="G15" s="374">
        <v>12486</v>
      </c>
      <c r="H15" s="374">
        <v>13361</v>
      </c>
      <c r="I15" s="374">
        <v>15682</v>
      </c>
      <c r="J15" s="374">
        <v>16468</v>
      </c>
      <c r="K15" s="374">
        <v>15950</v>
      </c>
      <c r="L15" s="374">
        <v>18610</v>
      </c>
      <c r="M15" s="374">
        <v>21236</v>
      </c>
      <c r="N15" s="193">
        <f t="shared" si="3"/>
      </c>
      <c r="O15" s="194">
        <f t="shared" si="4"/>
      </c>
      <c r="P15" s="195">
        <f t="shared" si="5"/>
      </c>
      <c r="R15" s="197">
        <f t="shared" si="6"/>
      </c>
      <c r="S15" s="198">
        <f t="shared" si="7"/>
      </c>
      <c r="T15" s="198">
        <f t="shared" si="8"/>
      </c>
      <c r="U15" s="198">
        <f t="shared" si="9"/>
      </c>
      <c r="V15" s="199">
        <f t="shared" si="10"/>
      </c>
      <c r="W15" s="200">
        <f t="shared" ref="W15:X15" si="15">V15</f>
      </c>
      <c r="X15" s="201">
        <f t="shared" si="15"/>
      </c>
    </row>
    <row r="16" spans="1:24" ht="13.5" thickBot="1">
      <c r="A16" s="389" t="s">
        <v>239</v>
      </c>
      <c r="B16" s="374">
        <v>11872</v>
      </c>
      <c r="C16" s="374">
        <v>14687</v>
      </c>
      <c r="D16" s="374">
        <v>18785</v>
      </c>
      <c r="E16" s="374">
        <v>23078</v>
      </c>
      <c r="F16" s="374">
        <v>16330</v>
      </c>
      <c r="G16" s="374">
        <v>17995</v>
      </c>
      <c r="H16" s="374">
        <v>19139</v>
      </c>
      <c r="I16" s="374">
        <v>23754</v>
      </c>
      <c r="J16" s="374">
        <v>27128</v>
      </c>
      <c r="K16" s="374">
        <v>12959</v>
      </c>
      <c r="L16" s="374">
        <v>14967</v>
      </c>
      <c r="M16" s="374">
        <v>18331</v>
      </c>
      <c r="N16" s="193">
        <f t="shared" si="3"/>
      </c>
      <c r="O16" s="194">
        <f t="shared" si="4"/>
      </c>
      <c r="P16" s="195">
        <f t="shared" si="5"/>
      </c>
      <c r="R16" s="197">
        <f t="shared" si="6"/>
      </c>
      <c r="S16" s="198">
        <f t="shared" si="7"/>
      </c>
      <c r="T16" s="198">
        <f t="shared" si="8"/>
      </c>
      <c r="U16" s="198">
        <f t="shared" si="9"/>
      </c>
      <c r="V16" s="199">
        <f t="shared" si="10"/>
      </c>
      <c r="W16" s="200">
        <f t="shared" ref="W16:X16" si="16">V16</f>
      </c>
      <c r="X16" s="201">
        <f t="shared" si="16"/>
      </c>
    </row>
    <row r="17" spans="1:24" ht="13.5" thickBot="1">
      <c r="A17" s="389"/>
      <c r="B17" s="375"/>
      <c r="C17" s="375"/>
      <c r="D17" s="375"/>
      <c r="E17" s="375"/>
      <c r="F17" s="375"/>
      <c r="G17" s="375"/>
      <c r="H17" s="375"/>
      <c r="I17" s="375"/>
      <c r="J17" s="375"/>
      <c r="K17" s="375"/>
      <c r="L17" s="375"/>
      <c r="M17" s="375"/>
      <c r="N17" s="193" t="e">
        <f t="shared" si="3"/>
      </c>
      <c r="O17" s="194" t="e">
        <f t="shared" si="4"/>
      </c>
      <c r="P17" s="195" t="e">
        <f t="shared" si="5"/>
      </c>
      <c r="R17" s="197" t="e">
        <f t="shared" si="6"/>
      </c>
      <c r="S17" s="198" t="e">
        <f t="shared" si="7"/>
      </c>
      <c r="T17" s="198" t="e">
        <f t="shared" si="8"/>
      </c>
      <c r="U17" s="198" t="str">
        <f t="shared" si="9"/>
      </c>
      <c r="V17" s="199" t="e">
        <f t="shared" si="10"/>
      </c>
      <c r="W17" s="200" t="e">
        <f t="shared" ref="W17:X17" si="17">V17</f>
      </c>
      <c r="X17" s="201" t="e">
        <f t="shared" si="17"/>
      </c>
    </row>
    <row r="18" spans="1:24" ht="13.5" thickBot="1">
      <c r="A18" s="389"/>
      <c r="B18" s="375"/>
      <c r="C18" s="375"/>
      <c r="D18" s="375"/>
      <c r="E18" s="375"/>
      <c r="F18" s="375"/>
      <c r="G18" s="375"/>
      <c r="H18" s="375"/>
      <c r="I18" s="375"/>
      <c r="J18" s="375"/>
      <c r="K18" s="375"/>
      <c r="L18" s="375"/>
      <c r="M18" s="375"/>
      <c r="N18" s="193" t="e">
        <f t="shared" si="3"/>
      </c>
      <c r="O18" s="194" t="e">
        <f t="shared" si="4"/>
      </c>
      <c r="P18" s="195" t="e">
        <f t="shared" si="5"/>
      </c>
      <c r="R18" s="197" t="e">
        <f t="shared" si="6"/>
      </c>
      <c r="S18" s="198" t="e">
        <f t="shared" si="7"/>
      </c>
      <c r="T18" s="198" t="e">
        <f t="shared" si="8"/>
      </c>
      <c r="U18" s="198" t="str">
        <f t="shared" si="9"/>
      </c>
      <c r="V18" s="199" t="e">
        <f t="shared" si="10"/>
      </c>
      <c r="W18" s="200" t="e">
        <f t="shared" ref="W18:X18" si="18">V18</f>
      </c>
      <c r="X18" s="201" t="e">
        <f t="shared" si="18"/>
      </c>
    </row>
    <row r="19" spans="1:24" ht="13.5" thickBot="1">
      <c r="A19" s="362" t="s">
        <v>126</v>
      </c>
      <c r="B19" s="363"/>
      <c r="C19" s="363"/>
      <c r="N19" s="193" t="e">
        <f t="shared" si="3"/>
      </c>
      <c r="O19" s="194" t="e">
        <f t="shared" si="4"/>
      </c>
      <c r="P19" s="195" t="e">
        <f t="shared" si="5"/>
      </c>
      <c r="R19" s="197" t="e">
        <f t="shared" si="6"/>
      </c>
      <c r="S19" s="198" t="e">
        <f t="shared" si="7"/>
      </c>
      <c r="T19" s="198" t="e">
        <f t="shared" si="8"/>
      </c>
      <c r="U19" s="198" t="str">
        <f t="shared" si="9"/>
      </c>
      <c r="V19" s="199" t="e">
        <f t="shared" si="10"/>
      </c>
      <c r="W19" s="200" t="e">
        <f t="shared" ref="W19:X19" si="19">V19</f>
      </c>
      <c r="X19" s="201" t="e">
        <f t="shared" si="19"/>
      </c>
    </row>
    <row r="20" spans="1:24" ht="13.5" thickBot="1">
      <c r="A20" s="143" t="s">
        <v>236</v>
      </c>
      <c r="B20" s="363"/>
      <c r="C20" s="363"/>
      <c r="D20" s="373">
        <f>SUM(D11:D19)</f>
      </c>
      <c r="E20" s="373">
        <f t="shared" ref="E20:P20" si="20">SUM(E11:E19)</f>
      </c>
      <c r="F20" s="373">
        <f t="shared" si="20"/>
      </c>
      <c r="G20" s="373">
        <f t="shared" si="20"/>
      </c>
      <c r="H20" s="373">
        <f t="shared" si="20"/>
      </c>
      <c r="I20" s="373">
        <f t="shared" si="20"/>
      </c>
      <c r="J20" s="373">
        <f t="shared" si="20"/>
      </c>
      <c r="K20" s="373">
        <f t="shared" si="20"/>
      </c>
      <c r="L20" s="373">
        <f t="shared" si="20"/>
      </c>
      <c r="M20" s="373">
        <f t="shared" si="20"/>
      </c>
      <c r="N20" s="373" t="e">
        <f t="shared" si="20"/>
      </c>
      <c r="O20" s="373" t="e">
        <f t="shared" si="20"/>
      </c>
      <c r="P20" s="373" t="e">
        <f t="shared" si="20"/>
      </c>
      <c r="R20" s="197" t="e">
        <f t="shared" si="6"/>
      </c>
      <c r="S20" s="198">
        <f t="shared" si="7"/>
      </c>
      <c r="T20" s="198">
        <f t="shared" si="8"/>
      </c>
      <c r="U20" s="198">
        <f t="shared" si="9"/>
      </c>
      <c r="V20" s="199">
        <f t="shared" si="10"/>
      </c>
      <c r="W20" s="200">
        <f t="shared" ref="W20:X20" si="21">V20</f>
      </c>
      <c r="X20" s="201">
        <f t="shared" si="21"/>
      </c>
    </row>
    <row r="21" spans="1:24" ht="13.5" thickBot="1">
      <c r="A21" s="362" t="s">
        <v>127</v>
      </c>
      <c r="B21" s="362" t="s">
        <v>91</v>
      </c>
      <c r="C21" s="362"/>
      <c r="R21" s="197" t="e">
        <f t="shared" si="6"/>
      </c>
      <c r="S21" s="198" t="e">
        <f t="shared" si="7"/>
      </c>
      <c r="T21" s="198" t="e">
        <f t="shared" si="8"/>
      </c>
      <c r="U21" s="198" t="str">
        <f t="shared" si="9"/>
      </c>
      <c r="V21" s="199" t="e">
        <f t="shared" si="10"/>
      </c>
      <c r="W21" s="200" t="e">
        <f t="shared" ref="W21:X21" si="22">V21</f>
      </c>
      <c r="X21" s="201" t="e">
        <f t="shared" si="22"/>
      </c>
    </row>
    <row r="22" spans="1:24" ht="13.5" thickBot="1">
      <c r="A22" s="143" t="s">
        <v>238</v>
      </c>
      <c r="B22" s="363"/>
      <c r="C22" s="363"/>
      <c r="R22" s="197" t="e">
        <f t="shared" si="6"/>
      </c>
      <c r="S22" s="198" t="e">
        <f t="shared" si="7"/>
      </c>
      <c r="T22" s="198" t="e">
        <f t="shared" si="8"/>
      </c>
      <c r="U22" s="198" t="str">
        <f t="shared" si="9"/>
      </c>
      <c r="V22" s="199" t="e">
        <f t="shared" si="10"/>
      </c>
      <c r="W22" s="200" t="e">
        <f t="shared" ref="W22:X22" si="23">V22</f>
      </c>
      <c r="X22" s="201" t="e">
        <f t="shared" si="23"/>
      </c>
    </row>
    <row r="23" spans="1:24" ht="13.5" thickBot="1">
      <c r="A23" s="389" t="s">
        <v>5135</v>
      </c>
      <c r="B23" s="374">
        <v>6493</v>
      </c>
      <c r="C23" s="374">
        <v>8014</v>
      </c>
      <c r="D23" s="374">
        <v>11523</v>
      </c>
      <c r="E23" s="374">
        <v>10594</v>
      </c>
      <c r="F23" s="374">
        <v>12851</v>
      </c>
      <c r="G23" s="374">
        <v>13098</v>
      </c>
      <c r="H23" s="374">
        <v>13045</v>
      </c>
      <c r="I23" s="374">
        <v>16089</v>
      </c>
      <c r="J23" s="374">
        <v>16950</v>
      </c>
      <c r="K23" s="374">
        <v>18681</v>
      </c>
      <c r="L23" s="374">
        <v>20174</v>
      </c>
      <c r="M23" s="374">
        <v>22345</v>
      </c>
      <c r="N23" s="193">
        <f t="shared" ref="N23:N31" si="24">M23*(1+$V23)</f>
      </c>
      <c r="O23" s="194">
        <f t="shared" ref="O23:O31" si="25">N23*(1+$W23)</f>
      </c>
      <c r="P23" s="195">
        <f t="shared" ref="P23:P31" si="26">O23*(1+$X23)</f>
      </c>
      <c r="R23" s="197">
        <f t="shared" si="6"/>
      </c>
      <c r="S23" s="198">
        <f t="shared" si="7"/>
      </c>
      <c r="T23" s="198">
        <f t="shared" si="8"/>
      </c>
      <c r="U23" s="198">
        <f t="shared" si="9"/>
      </c>
      <c r="V23" s="199">
        <f t="shared" si="10"/>
      </c>
      <c r="W23" s="200">
        <f t="shared" ref="W23:X23" si="27">V23</f>
      </c>
      <c r="X23" s="201">
        <f t="shared" si="27"/>
      </c>
    </row>
    <row r="24" spans="1:24" ht="13.5" thickBot="1">
      <c r="A24" s="389" t="s">
        <v>5137</v>
      </c>
      <c r="B24" s="374">
        <v>1890</v>
      </c>
      <c r="C24" s="374">
        <v>1949</v>
      </c>
      <c r="D24" s="374">
        <v>2749</v>
      </c>
      <c r="E24" s="374">
        <v>2771</v>
      </c>
      <c r="F24" s="374">
        <v>5190</v>
      </c>
      <c r="G24" s="374">
        <v>5552</v>
      </c>
      <c r="H24" s="374">
        <v>5797</v>
      </c>
      <c r="I24" s="374">
        <v>6644</v>
      </c>
      <c r="J24" s="374">
        <v>7703</v>
      </c>
      <c r="K24" s="374">
        <v>8010</v>
      </c>
      <c r="L24" s="374">
        <v>9518</v>
      </c>
      <c r="M24" s="374">
        <v>10667</v>
      </c>
      <c r="N24" s="193">
        <f t="shared" si="24"/>
      </c>
      <c r="O24" s="194">
        <f t="shared" si="25"/>
      </c>
      <c r="P24" s="195">
        <f t="shared" si="26"/>
      </c>
      <c r="R24" s="197">
        <f t="shared" si="6"/>
      </c>
      <c r="S24" s="198">
        <f t="shared" si="7"/>
      </c>
      <c r="T24" s="198">
        <f t="shared" si="8"/>
      </c>
      <c r="U24" s="198">
        <f t="shared" si="9"/>
      </c>
      <c r="V24" s="199">
        <f t="shared" si="10"/>
      </c>
      <c r="W24" s="200">
        <f t="shared" ref="W24:X24" si="28">V24</f>
      </c>
      <c r="X24" s="201">
        <f t="shared" si="28"/>
      </c>
    </row>
    <row r="25" spans="1:24" ht="13.5" thickBot="1">
      <c r="A25" s="389" t="s">
        <v>5136</v>
      </c>
      <c r="B25" s="374">
        <v>1742</v>
      </c>
      <c r="C25" s="374">
        <v>2581</v>
      </c>
      <c r="D25" s="374">
        <v>3674</v>
      </c>
      <c r="E25" s="374">
        <v>3254</v>
      </c>
      <c r="F25" s="374">
        <v>5330</v>
      </c>
      <c r="G25" s="374">
        <v>5740</v>
      </c>
      <c r="H25" s="374">
        <v>5580</v>
      </c>
      <c r="I25" s="374">
        <v>6871</v>
      </c>
      <c r="J25" s="374">
        <v>6870</v>
      </c>
      <c r="K25" s="374">
        <v>7151</v>
      </c>
      <c r="L25" s="374">
        <v>8534</v>
      </c>
      <c r="M25" s="374">
        <v>9636</v>
      </c>
      <c r="N25" s="193">
        <f t="shared" si="24"/>
      </c>
      <c r="O25" s="194">
        <f t="shared" si="25"/>
      </c>
      <c r="P25" s="195">
        <f t="shared" si="26"/>
      </c>
      <c r="R25" s="197">
        <f t="shared" si="6"/>
      </c>
      <c r="S25" s="198">
        <f t="shared" si="7"/>
      </c>
      <c r="T25" s="198">
        <f t="shared" si="8"/>
      </c>
      <c r="U25" s="198">
        <f t="shared" si="9"/>
      </c>
      <c r="V25" s="199">
        <f t="shared" si="10"/>
      </c>
      <c r="W25" s="200">
        <f t="shared" ref="W25:X25" si="29">V25</f>
      </c>
      <c r="X25" s="201">
        <f t="shared" si="29"/>
      </c>
    </row>
    <row r="26" spans="1:24" ht="13.5" thickBot="1">
      <c r="A26" s="389" t="s">
        <v>5138</v>
      </c>
      <c r="B26" s="375">
        <v>0</v>
      </c>
      <c r="C26" s="374">
        <v>0</v>
      </c>
      <c r="D26" s="374">
        <v>0</v>
      </c>
      <c r="E26" s="374">
        <v>0</v>
      </c>
      <c r="F26" s="374">
        <v>0</v>
      </c>
      <c r="G26" s="374">
        <v>0</v>
      </c>
      <c r="H26" s="374">
        <v>0</v>
      </c>
      <c r="I26" s="374">
        <v>0</v>
      </c>
      <c r="J26" s="374">
        <v>0</v>
      </c>
      <c r="K26" s="374">
        <v>5253</v>
      </c>
      <c r="L26" s="374">
        <v>6139</v>
      </c>
      <c r="M26" s="374">
        <v>6894</v>
      </c>
      <c r="N26" s="193" t="e">
        <f t="shared" si="24"/>
      </c>
      <c r="O26" s="194" t="e">
        <f t="shared" si="25"/>
      </c>
      <c r="P26" s="195" t="e">
        <f t="shared" si="26"/>
      </c>
      <c r="R26" s="197" t="e">
        <f t="shared" si="6"/>
      </c>
      <c r="S26" s="198" t="e">
        <f t="shared" si="7"/>
      </c>
      <c r="T26" s="198" t="e">
        <f t="shared" si="8"/>
      </c>
      <c r="U26" s="198" t="str">
        <f t="shared" si="9"/>
      </c>
      <c r="V26" s="199" t="e">
        <f t="shared" si="10"/>
      </c>
      <c r="W26" s="200" t="e">
        <f t="shared" ref="W26:X26" si="30">V26</f>
      </c>
      <c r="X26" s="201" t="e">
        <f t="shared" si="30"/>
      </c>
    </row>
    <row r="27" spans="1:24" ht="13.5" thickBot="1">
      <c r="A27" s="389" t="s">
        <v>5139</v>
      </c>
      <c r="B27" s="375">
        <v>986</v>
      </c>
      <c r="C27" s="374">
        <v>1363</v>
      </c>
      <c r="D27" s="374">
        <v>2051</v>
      </c>
      <c r="E27" s="374">
        <v>2223</v>
      </c>
      <c r="F27" s="374">
        <v>2924</v>
      </c>
      <c r="G27" s="374">
        <v>3574</v>
      </c>
      <c r="H27" s="374">
        <v>3698</v>
      </c>
      <c r="I27" s="374">
        <v>4311</v>
      </c>
      <c r="J27" s="374">
        <v>4445</v>
      </c>
      <c r="K27" s="374">
        <v>4483</v>
      </c>
      <c r="L27" s="374">
        <v>5602</v>
      </c>
      <c r="M27" s="374">
        <v>5842</v>
      </c>
      <c r="N27" s="193">
        <f t="shared" si="24"/>
      </c>
      <c r="O27" s="194">
        <f t="shared" si="25"/>
      </c>
      <c r="P27" s="195">
        <f t="shared" si="26"/>
      </c>
      <c r="R27" s="197">
        <f t="shared" si="6"/>
      </c>
      <c r="S27" s="198">
        <f t="shared" si="7"/>
      </c>
      <c r="T27" s="198">
        <f t="shared" si="8"/>
      </c>
      <c r="U27" s="198">
        <f t="shared" si="9"/>
      </c>
      <c r="V27" s="199">
        <f t="shared" si="10"/>
      </c>
      <c r="W27" s="200">
        <f t="shared" ref="W27:X27" si="31">V27</f>
      </c>
      <c r="X27" s="201">
        <f t="shared" si="31"/>
      </c>
    </row>
    <row r="28" spans="1:24" ht="13.5" thickBot="1">
      <c r="A28" s="389" t="s">
        <v>239</v>
      </c>
      <c r="B28" s="374">
        <v>3203</v>
      </c>
      <c r="C28" s="374">
        <v>3992</v>
      </c>
      <c r="D28" s="374">
        <v>5029</v>
      </c>
      <c r="E28" s="374">
        <v>5480</v>
      </c>
      <c r="F28" s="374">
        <v>4294</v>
      </c>
      <c r="G28" s="374">
        <v>4271</v>
      </c>
      <c r="H28" s="374">
        <v>4339</v>
      </c>
      <c r="I28" s="374">
        <v>5554</v>
      </c>
      <c r="J28" s="374">
        <v>6141</v>
      </c>
      <c r="K28" s="374">
        <v>2968</v>
      </c>
      <c r="L28" s="374">
        <v>3090</v>
      </c>
      <c r="M28" s="374">
        <v>3875</v>
      </c>
      <c r="N28" s="193">
        <f t="shared" si="24"/>
      </c>
      <c r="O28" s="194">
        <f t="shared" si="25"/>
      </c>
      <c r="P28" s="195">
        <f t="shared" si="26"/>
      </c>
      <c r="R28" s="197">
        <f t="shared" si="6"/>
      </c>
      <c r="S28" s="198">
        <f t="shared" si="7"/>
      </c>
      <c r="T28" s="198">
        <f t="shared" si="8"/>
      </c>
      <c r="U28" s="198">
        <f t="shared" si="9"/>
      </c>
      <c r="V28" s="199">
        <f t="shared" si="10"/>
      </c>
      <c r="W28" s="200">
        <f t="shared" ref="W28:X28" si="32">V28</f>
      </c>
      <c r="X28" s="201">
        <f t="shared" si="32"/>
      </c>
    </row>
    <row r="29" spans="1:24" ht="13.5" thickBot="1">
      <c r="A29" s="389" t="s">
        <v>240</v>
      </c>
      <c r="B29" s="375">
        <v>-390</v>
      </c>
      <c r="C29" s="374">
        <v>192</v>
      </c>
      <c r="D29" s="375">
        <v>377</v>
      </c>
      <c r="E29" s="374">
        <v>1486</v>
      </c>
      <c r="F29" s="374">
        <v>1251</v>
      </c>
      <c r="G29" s="374">
        <v>2278</v>
      </c>
      <c r="H29" s="374">
        <v>1633</v>
      </c>
      <c r="I29" s="374">
        <v>2094</v>
      </c>
      <c r="J29" s="375">
        <v>139</v>
      </c>
      <c r="K29" s="374">
        <v>-2786</v>
      </c>
      <c r="L29" s="374">
        <v>-1370</v>
      </c>
      <c r="M29" s="374">
        <v>-2352</v>
      </c>
      <c r="N29" s="193">
        <f t="shared" si="24"/>
      </c>
      <c r="O29" s="194">
        <f t="shared" si="25"/>
      </c>
      <c r="P29" s="195">
        <f t="shared" si="26"/>
      </c>
      <c r="R29" s="197">
        <f t="shared" si="6"/>
      </c>
      <c r="S29" s="198">
        <f t="shared" si="7"/>
      </c>
      <c r="T29" s="198">
        <f t="shared" si="8"/>
      </c>
      <c r="U29" s="198">
        <f t="shared" si="9"/>
      </c>
      <c r="V29" s="199">
        <f t="shared" si="10"/>
      </c>
      <c r="W29" s="200">
        <f t="shared" ref="W29:X29" si="33">V29</f>
      </c>
      <c r="X29" s="201">
        <f t="shared" si="33"/>
      </c>
    </row>
    <row r="30" spans="1:24" ht="13.5" thickBot="1">
      <c r="A30" s="389"/>
      <c r="B30" s="375"/>
      <c r="C30" s="375"/>
      <c r="D30" s="375"/>
      <c r="E30" s="375"/>
      <c r="F30" s="374"/>
      <c r="G30" s="374"/>
      <c r="H30" s="374"/>
      <c r="I30" s="374"/>
      <c r="J30" s="374"/>
      <c r="K30" s="374"/>
      <c r="L30" s="374"/>
      <c r="M30" s="374"/>
      <c r="N30" s="193" t="e">
        <f t="shared" si="24"/>
      </c>
      <c r="O30" s="194" t="e">
        <f t="shared" si="25"/>
      </c>
      <c r="P30" s="195" t="e">
        <f t="shared" si="26"/>
      </c>
      <c r="R30" s="197" t="e">
        <f t="shared" si="6"/>
      </c>
      <c r="S30" s="198" t="e">
        <f t="shared" si="7"/>
      </c>
      <c r="T30" s="198" t="e">
        <f t="shared" si="8"/>
      </c>
      <c r="U30" s="198" t="str">
        <f t="shared" si="9"/>
      </c>
      <c r="V30" s="199" t="e">
        <f t="shared" si="10"/>
      </c>
      <c r="W30" s="200" t="e">
        <f t="shared" ref="W30:X30" si="34">V30</f>
      </c>
      <c r="X30" s="201" t="e">
        <f t="shared" si="34"/>
      </c>
    </row>
    <row r="31" spans="1:24" ht="13.5" thickBot="1">
      <c r="A31" s="362" t="s">
        <v>126</v>
      </c>
      <c r="N31" s="193" t="e">
        <f t="shared" si="24"/>
      </c>
      <c r="O31" s="194" t="e">
        <f t="shared" si="25"/>
      </c>
      <c r="P31" s="195" t="e">
        <f t="shared" si="26"/>
      </c>
      <c r="R31" s="197" t="e">
        <f t="shared" si="6"/>
      </c>
      <c r="S31" s="198" t="e">
        <f t="shared" si="7"/>
      </c>
      <c r="T31" s="198" t="e">
        <f t="shared" si="8"/>
      </c>
      <c r="U31" s="198" t="str">
        <f t="shared" si="9"/>
      </c>
      <c r="V31" s="199" t="e">
        <f t="shared" si="10"/>
      </c>
      <c r="W31" s="200" t="e">
        <f t="shared" ref="W31:X31" si="35">V31</f>
      </c>
      <c r="X31" s="201" t="e">
        <f t="shared" si="35"/>
      </c>
    </row>
    <row r="32" spans="1:24" ht="13.5" thickBot="1">
      <c r="A32" s="143" t="s">
        <v>236</v>
      </c>
      <c r="B32" s="373">
        <f>SUM(B23:B31)</f>
      </c>
      <c r="C32" s="373">
        <f>SUM(C23:C31)</f>
      </c>
      <c r="D32" s="373">
        <f>SUM(D23:D31)</f>
      </c>
      <c r="E32" s="373">
        <f t="shared" ref="E32:P32" si="36">SUM(E23:E31)</f>
      </c>
      <c r="F32" s="373">
        <f t="shared" si="36"/>
      </c>
      <c r="G32" s="373">
        <f t="shared" si="36"/>
      </c>
      <c r="H32" s="373">
        <f t="shared" si="36"/>
      </c>
      <c r="I32" s="373">
        <f t="shared" si="36"/>
      </c>
      <c r="J32" s="373">
        <f t="shared" si="36"/>
      </c>
      <c r="K32" s="373">
        <f t="shared" si="36"/>
      </c>
      <c r="L32" s="373">
        <f t="shared" si="36"/>
      </c>
      <c r="M32" s="373">
        <f t="shared" si="36"/>
      </c>
      <c r="N32" s="373" t="e">
        <f t="shared" si="36"/>
      </c>
      <c r="O32" s="373" t="e">
        <f t="shared" si="36"/>
      </c>
      <c r="P32" s="373" t="e">
        <f t="shared" si="36"/>
      </c>
      <c r="R32" s="197" t="e">
        <f t="shared" si="6"/>
      </c>
      <c r="S32" s="198">
        <f t="shared" si="7"/>
      </c>
      <c r="T32" s="198">
        <f t="shared" si="8"/>
      </c>
      <c r="U32" s="198">
        <f t="shared" si="9"/>
      </c>
      <c r="V32" s="199">
        <f t="shared" si="10"/>
      </c>
      <c r="W32" s="200">
        <f t="shared" ref="W32:X32" si="37">V32</f>
      </c>
      <c r="X32" s="201">
        <f t="shared" si="37"/>
      </c>
    </row>
    <row r="33" spans="1:24" ht="13.5" thickBot="1">
      <c r="R33" s="197" t="e">
        <f t="shared" si="6"/>
      </c>
      <c r="S33" s="198" t="e">
        <f t="shared" si="7"/>
      </c>
      <c r="T33" s="198" t="e">
        <f t="shared" si="8"/>
      </c>
      <c r="U33" s="198" t="str">
        <f t="shared" si="9"/>
      </c>
      <c r="V33" s="199" t="e">
        <f t="shared" si="10"/>
      </c>
      <c r="W33" s="200" t="e">
        <f t="shared" ref="W33:X33" si="38">V33</f>
      </c>
      <c r="X33" s="201" t="e">
        <f t="shared" si="38"/>
      </c>
    </row>
    <row r="34" spans="1:24" ht="13.5" thickBot="1">
      <c r="A34" s="143" t="s">
        <v>237</v>
      </c>
      <c r="R34" s="197" t="e">
        <f t="shared" si="6"/>
      </c>
      <c r="S34" s="198" t="e">
        <f t="shared" si="7"/>
      </c>
      <c r="T34" s="198" t="e">
        <f t="shared" si="8"/>
      </c>
      <c r="U34" s="198" t="str">
        <f t="shared" si="9"/>
      </c>
      <c r="V34" s="199" t="e">
        <f t="shared" si="10"/>
      </c>
      <c r="W34" s="200" t="e">
        <f t="shared" ref="W34:X34" si="39">V34</f>
      </c>
      <c r="X34" s="201" t="e">
        <f t="shared" si="39"/>
      </c>
    </row>
    <row r="35" spans="1:24" ht="13.5" thickBot="1">
      <c r="A35" s="389" t="s">
        <v>5135</v>
      </c>
      <c r="B35" s="374">
        <v>8570</v>
      </c>
      <c r="C35" s="374">
        <v>10045</v>
      </c>
      <c r="D35" s="374">
        <v>8344</v>
      </c>
      <c r="E35" s="374">
        <v>7057</v>
      </c>
      <c r="F35" s="374">
        <v>9681</v>
      </c>
      <c r="G35" s="374">
        <v>8635</v>
      </c>
      <c r="H35" s="374">
        <v>9039</v>
      </c>
      <c r="I35" s="374">
        <v>10483</v>
      </c>
      <c r="J35" s="375">
        <v>0</v>
      </c>
      <c r="K35" s="375">
        <v>0</v>
      </c>
      <c r="L35" s="375">
        <v>0</v>
      </c>
      <c r="M35" s="375">
        <v>0</v>
      </c>
      <c r="R35" s="197" t="e">
        <f t="shared" si="6"/>
      </c>
      <c r="S35" s="198" t="e">
        <f t="shared" si="7"/>
      </c>
      <c r="T35" s="198">
        <f t="shared" si="8"/>
      </c>
      <c r="U35" s="198">
        <f t="shared" si="9"/>
      </c>
      <c r="V35" s="199" t="e">
        <f t="shared" si="10"/>
      </c>
      <c r="W35" s="200" t="e">
        <f t="shared" ref="W35:X35" si="40">V35</f>
      </c>
      <c r="X35" s="201" t="e">
        <f t="shared" si="40"/>
      </c>
    </row>
    <row r="36" spans="1:24" ht="13.5" thickBot="1">
      <c r="A36" s="389" t="s">
        <v>5137</v>
      </c>
      <c r="B36" s="374">
        <v>1901</v>
      </c>
      <c r="C36" s="374">
        <v>2336</v>
      </c>
      <c r="D36" s="374">
        <v>2977</v>
      </c>
      <c r="E36" s="374">
        <v>2697</v>
      </c>
      <c r="F36" s="374">
        <v>4639</v>
      </c>
      <c r="G36" s="374">
        <v>4671</v>
      </c>
      <c r="H36" s="374">
        <v>5605</v>
      </c>
      <c r="I36" s="374">
        <v>5590</v>
      </c>
      <c r="J36" s="375">
        <v>0</v>
      </c>
      <c r="K36" s="375">
        <v>0</v>
      </c>
      <c r="L36" s="375">
        <v>0</v>
      </c>
      <c r="M36" s="375">
        <v>0</v>
      </c>
      <c r="R36" s="197" t="e">
        <f t="shared" si="6"/>
      </c>
      <c r="S36" s="198" t="e">
        <f t="shared" si="7"/>
      </c>
      <c r="T36" s="198">
        <f t="shared" si="8"/>
      </c>
      <c r="U36" s="198">
        <f t="shared" si="9"/>
      </c>
      <c r="V36" s="199" t="e">
        <f t="shared" si="10"/>
      </c>
      <c r="W36" s="200" t="e">
        <f t="shared" ref="W36:X36" si="41">V36</f>
      </c>
      <c r="X36" s="201" t="e">
        <f t="shared" si="41"/>
      </c>
    </row>
    <row r="37" spans="1:24" ht="13.5" thickBot="1">
      <c r="A37" s="389" t="s">
        <v>5136</v>
      </c>
      <c r="B37" s="374">
        <v>1384</v>
      </c>
      <c r="C37" s="374">
        <v>2051</v>
      </c>
      <c r="D37" s="374">
        <v>2924</v>
      </c>
      <c r="E37" s="374">
        <v>2768</v>
      </c>
      <c r="F37" s="374">
        <v>4641</v>
      </c>
      <c r="G37" s="374">
        <v>4850</v>
      </c>
      <c r="H37" s="374">
        <v>5546</v>
      </c>
      <c r="I37" s="375">
        <v>0</v>
      </c>
      <c r="J37" s="375">
        <v>0</v>
      </c>
      <c r="K37" s="375">
        <v>0</v>
      </c>
      <c r="L37" s="375">
        <v>0</v>
      </c>
      <c r="M37" s="375">
        <v>0</v>
      </c>
      <c r="R37" s="197" t="e">
        <f t="shared" si="6"/>
      </c>
      <c r="S37" s="198" t="e">
        <f t="shared" si="7"/>
      </c>
      <c r="T37" s="198">
        <f t="shared" si="8"/>
      </c>
      <c r="U37" s="198">
        <f t="shared" si="9"/>
      </c>
      <c r="V37" s="199" t="e">
        <f t="shared" si="10"/>
      </c>
      <c r="W37" s="200" t="e">
        <f t="shared" ref="W37:X37" si="42">V37</f>
      </c>
      <c r="X37" s="201" t="e">
        <f t="shared" si="42"/>
      </c>
    </row>
    <row r="38" spans="1:24" ht="13.5" thickBot="1">
      <c r="A38" s="389" t="s">
        <v>5139</v>
      </c>
      <c r="B38" s="374">
        <v>991</v>
      </c>
      <c r="C38" s="374">
        <v>1493</v>
      </c>
      <c r="D38" s="374">
        <v>1994</v>
      </c>
      <c r="E38" s="374">
        <v>2148</v>
      </c>
      <c r="F38" s="374">
        <v>2676</v>
      </c>
      <c r="G38" s="374">
        <v>3100</v>
      </c>
      <c r="H38" s="374">
        <v>3381</v>
      </c>
      <c r="I38" s="374">
        <v>4043</v>
      </c>
      <c r="J38" s="375">
        <v>0</v>
      </c>
      <c r="K38" s="375">
        <v>0</v>
      </c>
      <c r="L38" s="375">
        <v>0</v>
      </c>
      <c r="M38" s="375">
        <v>0</v>
      </c>
      <c r="R38" s="197" t="e">
        <f t="shared" si="6"/>
      </c>
      <c r="S38" s="198" t="e">
        <f t="shared" si="7"/>
      </c>
      <c r="T38" s="198">
        <f t="shared" si="8"/>
      </c>
      <c r="U38" s="198">
        <f t="shared" si="9"/>
      </c>
      <c r="V38" s="199" t="e">
        <f t="shared" si="10"/>
      </c>
      <c r="W38" s="200" t="e">
        <f t="shared" ref="W38:X38" si="43">V38</f>
      </c>
      <c r="X38" s="201" t="e">
        <f t="shared" si="43"/>
      </c>
    </row>
    <row r="39" spans="1:24" ht="13.5" thickBot="1">
      <c r="A39" s="389" t="s">
        <v>239</v>
      </c>
      <c r="B39" s="374">
        <v>5179</v>
      </c>
      <c r="C39" s="374">
        <v>6027</v>
      </c>
      <c r="D39" s="374">
        <v>7009</v>
      </c>
      <c r="E39" s="374">
        <v>7121</v>
      </c>
      <c r="F39" s="374">
        <v>5531</v>
      </c>
      <c r="G39" s="374">
        <v>5569</v>
      </c>
      <c r="H39" s="374">
        <v>6223</v>
      </c>
      <c r="I39" s="374">
        <v>6864</v>
      </c>
      <c r="J39" s="375">
        <v>0</v>
      </c>
      <c r="K39" s="375">
        <v>0</v>
      </c>
      <c r="L39" s="375">
        <v>0</v>
      </c>
      <c r="M39" s="375">
        <v>0</v>
      </c>
      <c r="R39" s="197" t="e">
        <f t="shared" si="6"/>
      </c>
      <c r="S39" s="198" t="e">
        <f t="shared" si="7"/>
      </c>
      <c r="T39" s="198">
        <f t="shared" si="8"/>
      </c>
      <c r="U39" s="198">
        <f t="shared" si="9"/>
      </c>
      <c r="V39" s="199" t="e">
        <f t="shared" si="10"/>
      </c>
      <c r="W39" s="200" t="e">
        <f t="shared" ref="W39:X39" si="44">V39</f>
      </c>
      <c r="X39" s="201" t="e">
        <f t="shared" si="44"/>
      </c>
    </row>
    <row r="40" spans="1:24" ht="13.5" thickBot="1">
      <c r="A40" s="389" t="s">
        <v>5140</v>
      </c>
      <c r="B40" s="143">
        <v>0</v>
      </c>
      <c r="C40" s="143">
        <v>0</v>
      </c>
      <c r="D40" s="143">
        <v>0</v>
      </c>
      <c r="E40" s="143">
        <v>0</v>
      </c>
      <c r="F40" s="143">
        <v>0</v>
      </c>
      <c r="G40" s="143">
        <v>0</v>
      </c>
      <c r="H40" s="143">
        <v>0</v>
      </c>
      <c r="I40" s="373">
        <v>6447</v>
      </c>
      <c r="J40" s="143">
        <v>0</v>
      </c>
      <c r="K40" s="143">
        <v>0</v>
      </c>
      <c r="L40" s="143">
        <v>0</v>
      </c>
      <c r="M40" s="143">
        <v>0</v>
      </c>
      <c r="R40" s="197" t="e">
        <f t="shared" si="6"/>
      </c>
      <c r="S40" s="198" t="e">
        <f t="shared" si="7"/>
      </c>
      <c r="T40" s="198" t="e">
        <f t="shared" si="8"/>
      </c>
      <c r="U40" s="198" t="str">
        <f t="shared" si="9"/>
      </c>
      <c r="V40" s="199" t="e">
        <f t="shared" si="10"/>
      </c>
      <c r="W40" s="200" t="e">
        <f t="shared" ref="W40:X40" si="45">V40</f>
      </c>
      <c r="X40" s="201" t="e">
        <f t="shared" si="45"/>
      </c>
    </row>
    <row r="41" spans="1:24" ht="13.5" thickBot="1">
      <c r="A41" s="389" t="s">
        <v>240</v>
      </c>
      <c r="B41" s="373">
        <v>12112</v>
      </c>
      <c r="C41" s="373">
        <v>17389</v>
      </c>
      <c r="D41" s="373">
        <v>26655</v>
      </c>
      <c r="E41" s="373">
        <v>29971</v>
      </c>
      <c r="F41" s="373">
        <v>44259</v>
      </c>
      <c r="G41" s="373">
        <v>59755</v>
      </c>
      <c r="H41" s="373">
        <v>55736</v>
      </c>
      <c r="I41" s="373">
        <v>56472</v>
      </c>
      <c r="J41" s="143">
        <v>0</v>
      </c>
      <c r="K41" s="143">
        <v>0</v>
      </c>
      <c r="L41" s="143">
        <v>0</v>
      </c>
      <c r="M41" s="143">
        <v>0</v>
      </c>
      <c r="R41" s="197" t="e">
        <f t="shared" si="6"/>
      </c>
      <c r="S41" s="198" t="e">
        <f t="shared" si="7"/>
      </c>
      <c r="T41" s="198">
        <f t="shared" si="8"/>
      </c>
      <c r="U41" s="198">
        <f t="shared" si="9"/>
      </c>
      <c r="V41" s="199" t="e">
        <f t="shared" si="10"/>
      </c>
      <c r="W41" s="200" t="e">
        <f t="shared" ref="W41:X41" si="46">V41</f>
      </c>
      <c r="X41" s="201" t="e">
        <f t="shared" si="46"/>
      </c>
    </row>
    <row r="42" spans="1:24" ht="13.5" thickBot="1">
      <c r="A42" s="362"/>
      <c r="R42" s="197" t="e">
        <f t="shared" si="6"/>
      </c>
      <c r="S42" s="198" t="e">
        <f t="shared" si="7"/>
      </c>
      <c r="T42" s="198" t="e">
        <f t="shared" si="8"/>
      </c>
      <c r="U42" s="198" t="str">
        <f t="shared" si="9"/>
      </c>
      <c r="V42" s="199" t="e">
        <f t="shared" si="10"/>
      </c>
      <c r="W42" s="200" t="e">
        <f t="shared" ref="W42:X42" si="47">V42</f>
      </c>
      <c r="X42" s="201" t="e">
        <f t="shared" si="47"/>
      </c>
    </row>
    <row r="43" spans="1:24" ht="13.5" thickBot="1">
      <c r="A43" s="362" t="s">
        <v>126</v>
      </c>
      <c r="R43" s="197" t="e">
        <f t="shared" si="6"/>
      </c>
      <c r="S43" s="198" t="e">
        <f t="shared" si="7"/>
      </c>
      <c r="T43" s="198" t="e">
        <f t="shared" si="8"/>
      </c>
      <c r="U43" s="198" t="str">
        <f t="shared" si="9"/>
      </c>
      <c r="V43" s="199" t="e">
        <f t="shared" si="10"/>
      </c>
      <c r="W43" s="200" t="e">
        <f t="shared" ref="W43:X43" si="48">V43</f>
      </c>
      <c r="X43" s="201" t="e">
        <f t="shared" si="48"/>
      </c>
    </row>
    <row r="44" spans="1:24">
      <c r="A44" s="143" t="s">
        <v>236</v>
      </c>
      <c r="B44" s="373">
        <f>SUM(B35:B43)</f>
      </c>
      <c r="C44" s="373">
        <f>SUM(C35:C43)</f>
      </c>
      <c r="D44" s="373">
        <f>SUM(D35:D43)</f>
      </c>
      <c r="E44" s="373">
        <f t="shared" ref="E44:M44" si="49">SUM(E35:E43)</f>
      </c>
      <c r="F44" s="373">
        <f t="shared" si="49"/>
      </c>
      <c r="G44" s="373">
        <f t="shared" si="49"/>
      </c>
      <c r="H44" s="373">
        <f t="shared" si="49"/>
      </c>
      <c r="I44" s="373">
        <f t="shared" si="49"/>
      </c>
      <c r="J44" s="373">
        <f t="shared" si="49"/>
      </c>
      <c r="K44" s="373">
        <f t="shared" si="49"/>
      </c>
      <c r="L44" s="373">
        <f t="shared" si="49"/>
      </c>
      <c r="M44" s="373">
        <f t="shared" si="49"/>
      </c>
      <c r="R44" s="197" t="e">
        <f t="shared" si="6"/>
      </c>
      <c r="S44" s="198" t="e">
        <f t="shared" si="7"/>
      </c>
      <c r="T44" s="198">
        <f t="shared" si="8"/>
      </c>
      <c r="U44" s="198">
        <f t="shared" si="9"/>
      </c>
      <c r="V44" s="199" t="e">
        <f t="shared" si="10"/>
      </c>
      <c r="W44" s="200" t="e">
        <f t="shared" ref="W44:X44" si="50">V44</f>
      </c>
      <c r="X44" s="201" t="e">
        <f t="shared" si="50"/>
      </c>
    </row>
    <row r="51" spans="1:24" ht="13.5" thickBot="1">
      <c r="I51" s="332" t="str">
        <f t="shared" ref="I51:Q51" si="51">IF(I52&gt;$M$1,IF(I52&lt;=$N$1,"1","0"),"0")</f>
      </c>
      <c r="J51" s="332" t="str">
        <f t="shared" si="51"/>
      </c>
      <c r="K51" s="332" t="str">
        <f t="shared" si="51"/>
      </c>
      <c r="L51" s="332" t="str">
        <f t="shared" si="51"/>
      </c>
      <c r="M51" s="332" t="str">
        <f t="shared" si="51"/>
      </c>
      <c r="N51" s="332" t="str">
        <f t="shared" si="51"/>
      </c>
      <c r="O51" s="332" t="str">
        <f t="shared" si="51"/>
      </c>
      <c r="P51" s="332" t="str">
        <f t="shared" si="51"/>
      </c>
      <c r="Q51" s="332" t="str">
        <f t="shared" si="51"/>
      </c>
    </row>
    <row r="52" spans="1:24">
      <c r="A52" s="285" t="s">
        <v>113</v>
      </c>
      <c r="B52" s="190"/>
      <c r="C52" s="190"/>
      <c r="D52" s="333">
        <f>'Data Sheet'!B41</f>
      </c>
      <c r="E52" s="334">
        <f>'Data Sheet'!C41</f>
      </c>
      <c r="F52" s="334">
        <f>'Data Sheet'!D41</f>
      </c>
      <c r="G52" s="334">
        <f>'Data Sheet'!E41</f>
      </c>
      <c r="H52" s="334">
        <f>'Data Sheet'!F41</f>
      </c>
      <c r="I52" s="334">
        <f>'Data Sheet'!G41</f>
      </c>
      <c r="J52" s="334">
        <f>'Data Sheet'!H41</f>
      </c>
      <c r="K52" s="334">
        <f>'Data Sheet'!I41</f>
      </c>
      <c r="L52" s="334">
        <f>'Data Sheet'!J41</f>
      </c>
      <c r="M52" s="334">
        <f>'Data Sheet'!K41</f>
      </c>
      <c r="N52" s="333">
        <f>M52+90</f>
      </c>
      <c r="O52" s="334">
        <f>N52+90</f>
      </c>
      <c r="P52" s="334">
        <f>O52+90</f>
      </c>
      <c r="Q52" s="335">
        <f>P52+90</f>
      </c>
      <c r="R52" s="336"/>
      <c r="S52" s="190"/>
      <c r="T52" s="190"/>
      <c r="U52" s="190"/>
      <c r="V52" s="154"/>
      <c r="X52" s="163"/>
    </row>
    <row r="53" spans="1:24">
      <c r="A53" s="209" t="s">
        <v>226</v>
      </c>
      <c r="B53" s="143" t="s">
        <v>91</v>
      </c>
      <c r="D53" s="155">
        <f>'Data Sheet'!B42</f>
      </c>
      <c r="E53" s="156">
        <f>'Data Sheet'!C42</f>
      </c>
      <c r="F53" s="156">
        <f>'Data Sheet'!D42</f>
      </c>
      <c r="G53" s="156">
        <f>'Data Sheet'!E42</f>
      </c>
      <c r="H53" s="156">
        <f>'Data Sheet'!F42</f>
      </c>
      <c r="I53" s="156">
        <f>'Data Sheet'!G42</f>
      </c>
      <c r="J53" s="156">
        <f>'Data Sheet'!H42</f>
      </c>
      <c r="K53" s="156">
        <f>'Data Sheet'!I42</f>
      </c>
      <c r="L53" s="156">
        <f>'Data Sheet'!J42</f>
      </c>
      <c r="M53" s="156">
        <f>'Data Sheet'!K42</f>
      </c>
      <c r="N53" s="337">
        <f>J53*(1+$V$2)</f>
      </c>
      <c r="O53" s="338">
        <f>K53*(1+$V$2)</f>
      </c>
      <c r="P53" s="338">
        <f>L53*(1+$V$2)</f>
      </c>
      <c r="Q53" s="339">
        <f>M53*(1+$V$2)</f>
      </c>
      <c r="R53" s="156"/>
      <c r="S53" s="340"/>
      <c r="V53" s="154"/>
      <c r="X53" s="163"/>
    </row>
    <row r="54" spans="1:24">
      <c r="A54" s="209" t="s">
        <v>234</v>
      </c>
      <c r="B54" s="143" t="s">
        <v>91</v>
      </c>
      <c r="D54" s="155">
        <f>'Data Sheet'!B47+'Data Sheet'!B46</f>
      </c>
      <c r="E54" s="143">
        <f>'Data Sheet'!C47+'Data Sheet'!C46</f>
      </c>
      <c r="F54" s="143">
        <f>'Data Sheet'!D47+'Data Sheet'!D46</f>
      </c>
      <c r="G54" s="143">
        <f>'Data Sheet'!E47+'Data Sheet'!E46</f>
      </c>
      <c r="H54" s="143">
        <f>'Data Sheet'!F47+'Data Sheet'!F46</f>
      </c>
      <c r="I54" s="143">
        <f>'Data Sheet'!G47+'Data Sheet'!G46</f>
      </c>
      <c r="J54" s="143">
        <f>'Data Sheet'!H47+'Data Sheet'!H46</f>
      </c>
      <c r="K54" s="143">
        <f>'Data Sheet'!I47+'Data Sheet'!I46</f>
      </c>
      <c r="L54" s="143">
        <f>'Data Sheet'!J47+'Data Sheet'!J46</f>
      </c>
      <c r="M54" s="143">
        <f>'Data Sheet'!K47+'Data Sheet'!K46</f>
      </c>
      <c r="N54" s="337" t="e">
        <f>Financial!M101+Financial!M114-Financial!M115</f>
      </c>
      <c r="O54" s="372" t="e">
        <f>Financial!N101+Financial!N114-Financial!N115</f>
      </c>
      <c r="P54" s="372" t="e">
        <f>Financial!O101+Financial!O114-Financial!O115</f>
      </c>
      <c r="Q54" s="372">
        <f>Financial!P101+Financial!P114-Financial!P115</f>
      </c>
    </row>
    <row r="59" spans="1:24" ht="13.5" thickBot="1">
      <c r="A59" s="143" t="s">
        <v>235</v>
      </c>
      <c r="D59" s="388">
        <f>D50</f>
      </c>
      <c r="E59" s="388">
        <f t="shared" ref="E59:M59" si="52">E50</f>
      </c>
      <c r="F59" s="388">
        <f t="shared" si="52"/>
      </c>
      <c r="G59" s="388">
        <f t="shared" si="52"/>
      </c>
      <c r="H59" s="388">
        <f t="shared" si="52"/>
      </c>
      <c r="I59" s="388">
        <f t="shared" si="52"/>
      </c>
      <c r="J59" s="388">
        <f t="shared" si="52"/>
      </c>
      <c r="K59" s="388">
        <f t="shared" si="52"/>
      </c>
      <c r="L59" s="388">
        <f t="shared" si="52"/>
      </c>
      <c r="M59" s="388">
        <f t="shared" si="52"/>
      </c>
    </row>
    <row r="60" spans="1:24" ht="13.5" thickBot="1">
      <c r="A60" s="389" t="s">
        <v>5135</v>
      </c>
      <c r="B60" s="374">
        <v>21062</v>
      </c>
      <c r="C60" s="374">
        <v>27146</v>
      </c>
      <c r="D60" s="374">
        <v>35112</v>
      </c>
      <c r="E60" s="374">
        <v>38566</v>
      </c>
      <c r="F60" s="374">
        <v>44163</v>
      </c>
      <c r="G60" s="374">
        <v>47505</v>
      </c>
      <c r="H60" s="374">
        <v>48418</v>
      </c>
      <c r="I60" s="374">
        <v>57938</v>
      </c>
      <c r="J60" s="374">
        <v>61095</v>
      </c>
      <c r="K60" s="374">
        <v>65634</v>
      </c>
      <c r="L60" s="374">
        <v>75126</v>
      </c>
      <c r="M60" s="374">
        <v>86127</v>
      </c>
      <c r="N60" s="193">
        <f t="shared" ref="N60:N68" si="53">M60*(1+$V60)</f>
      </c>
      <c r="O60" s="194">
        <f t="shared" ref="O60:O68" si="54">N60*(1+$W60)</f>
      </c>
      <c r="P60" s="195">
        <f t="shared" ref="P60:P68" si="55">O60*(1+$X60)</f>
      </c>
      <c r="R60" s="197">
        <f t="shared" ref="R60:R93" si="56">((P60/M60)^(1/3))-1</f>
      </c>
      <c r="S60" s="198">
        <f t="shared" ref="S60:S93" si="57">((M60/J60)^(1/3))-1</f>
      </c>
      <c r="T60" s="198">
        <f t="shared" ref="T60:T93" si="58">((M60/H60)^(1/5))-1</f>
      </c>
      <c r="U60" s="198">
        <f t="shared" ref="U60:U93" si="59">IF(D60&gt;0,((M60/D60)^(1/9))-1,"-")</f>
      </c>
      <c r="V60" s="199">
        <f t="shared" ref="V60:V93" si="60">S60</f>
      </c>
      <c r="W60" s="200">
        <f t="shared" ref="W60:X60" si="61">V60</f>
      </c>
      <c r="X60" s="201">
        <f t="shared" si="61"/>
      </c>
    </row>
    <row r="61" spans="1:24" ht="13.5" thickBot="1">
      <c r="A61" s="389" t="s">
        <v>5137</v>
      </c>
      <c r="B61" s="374">
        <v>6205</v>
      </c>
      <c r="C61" s="374">
        <v>7540</v>
      </c>
      <c r="D61" s="374">
        <v>9614</v>
      </c>
      <c r="E61" s="374">
        <v>10934</v>
      </c>
      <c r="F61" s="374">
        <v>18040</v>
      </c>
      <c r="G61" s="374">
        <v>19521</v>
      </c>
      <c r="H61" s="374">
        <v>21131</v>
      </c>
      <c r="I61" s="374">
        <v>23925</v>
      </c>
      <c r="J61" s="374">
        <v>25978</v>
      </c>
      <c r="K61" s="374">
        <v>27077</v>
      </c>
      <c r="L61" s="374">
        <v>31874</v>
      </c>
      <c r="M61" s="374">
        <v>37653</v>
      </c>
      <c r="N61" s="193">
        <f t="shared" si="53"/>
      </c>
      <c r="O61" s="194">
        <f t="shared" si="54"/>
      </c>
      <c r="P61" s="195">
        <f t="shared" si="55"/>
      </c>
      <c r="R61" s="197">
        <f t="shared" si="56"/>
      </c>
      <c r="S61" s="198">
        <f t="shared" si="57"/>
      </c>
      <c r="T61" s="198">
        <f t="shared" si="58"/>
      </c>
      <c r="U61" s="198">
        <f t="shared" si="59"/>
      </c>
      <c r="V61" s="199">
        <f t="shared" si="60"/>
      </c>
      <c r="W61" s="200">
        <f t="shared" ref="W61:X61" si="62">V61</f>
      </c>
      <c r="X61" s="201">
        <f t="shared" si="62"/>
      </c>
    </row>
    <row r="62" spans="1:24" ht="13.5" thickBot="1">
      <c r="A62" s="389" t="s">
        <v>5136</v>
      </c>
      <c r="B62" s="374">
        <v>5954</v>
      </c>
      <c r="C62" s="374">
        <v>8401</v>
      </c>
      <c r="D62" s="374">
        <v>11309</v>
      </c>
      <c r="E62" s="374">
        <v>12829</v>
      </c>
      <c r="F62" s="374">
        <v>19204</v>
      </c>
      <c r="G62" s="374">
        <v>20459</v>
      </c>
      <c r="H62" s="374">
        <v>21055</v>
      </c>
      <c r="I62" s="374">
        <v>25164</v>
      </c>
      <c r="J62" s="374">
        <v>26280</v>
      </c>
      <c r="K62" s="374">
        <v>25589</v>
      </c>
      <c r="L62" s="374">
        <v>30715</v>
      </c>
      <c r="M62" s="374">
        <v>37506</v>
      </c>
      <c r="N62" s="193">
        <f t="shared" si="53"/>
      </c>
      <c r="O62" s="194">
        <f t="shared" si="54"/>
      </c>
      <c r="P62" s="195">
        <f t="shared" si="55"/>
      </c>
      <c r="R62" s="197">
        <f t="shared" si="56"/>
      </c>
      <c r="S62" s="198">
        <f t="shared" si="57"/>
      </c>
      <c r="T62" s="198">
        <f t="shared" si="58"/>
      </c>
      <c r="U62" s="198">
        <f t="shared" si="59"/>
      </c>
      <c r="V62" s="199">
        <f t="shared" si="60"/>
      </c>
      <c r="W62" s="200">
        <f t="shared" ref="W62:X62" si="63">V62</f>
      </c>
      <c r="X62" s="201">
        <f t="shared" si="63"/>
      </c>
    </row>
    <row r="63" spans="1:24" ht="13.5" thickBot="1">
      <c r="A63" s="389" t="s">
        <v>5138</v>
      </c>
      <c r="B63" s="375">
        <v>0</v>
      </c>
      <c r="C63" s="374">
        <v>0</v>
      </c>
      <c r="D63" s="374">
        <v>0</v>
      </c>
      <c r="E63" s="374">
        <v>0</v>
      </c>
      <c r="F63" s="374">
        <v>0</v>
      </c>
      <c r="G63" s="374">
        <v>0</v>
      </c>
      <c r="H63" s="374">
        <v>0</v>
      </c>
      <c r="I63" s="374">
        <v>0</v>
      </c>
      <c r="J63" s="374">
        <v>0</v>
      </c>
      <c r="K63" s="374">
        <v>16968</v>
      </c>
      <c r="L63" s="374">
        <v>20462</v>
      </c>
      <c r="M63" s="374">
        <v>24605</v>
      </c>
      <c r="N63" s="193" t="e">
        <f t="shared" si="53"/>
      </c>
      <c r="O63" s="194" t="e">
        <f t="shared" si="54"/>
      </c>
      <c r="P63" s="195" t="e">
        <f t="shared" si="55"/>
      </c>
      <c r="R63" s="197" t="e">
        <f t="shared" si="56"/>
      </c>
      <c r="S63" s="198" t="e">
        <f t="shared" si="57"/>
      </c>
      <c r="T63" s="198" t="e">
        <f t="shared" si="58"/>
      </c>
      <c r="U63" s="198" t="str">
        <f t="shared" si="59"/>
      </c>
      <c r="V63" s="199" t="e">
        <f t="shared" si="60"/>
      </c>
      <c r="W63" s="200" t="e">
        <f t="shared" ref="W63:X63" si="64">V63</f>
      </c>
      <c r="X63" s="201" t="e">
        <f t="shared" si="64"/>
      </c>
    </row>
    <row r="64" spans="1:24" ht="13.5" thickBot="1">
      <c r="A64" s="389" t="s">
        <v>5139</v>
      </c>
      <c r="B64" s="374">
        <v>3801</v>
      </c>
      <c r="C64" s="374">
        <v>5216</v>
      </c>
      <c r="D64" s="374">
        <v>6989</v>
      </c>
      <c r="E64" s="374">
        <v>9242</v>
      </c>
      <c r="F64" s="374">
        <v>10909</v>
      </c>
      <c r="G64" s="374">
        <v>12486</v>
      </c>
      <c r="H64" s="374">
        <v>13361</v>
      </c>
      <c r="I64" s="374">
        <v>15682</v>
      </c>
      <c r="J64" s="374">
        <v>16468</v>
      </c>
      <c r="K64" s="374">
        <v>15950</v>
      </c>
      <c r="L64" s="374">
        <v>18610</v>
      </c>
      <c r="M64" s="374">
        <v>21236</v>
      </c>
      <c r="N64" s="193">
        <f t="shared" si="53"/>
      </c>
      <c r="O64" s="194">
        <f t="shared" si="54"/>
      </c>
      <c r="P64" s="195">
        <f t="shared" si="55"/>
      </c>
      <c r="R64" s="197">
        <f t="shared" si="56"/>
      </c>
      <c r="S64" s="198">
        <f t="shared" si="57"/>
      </c>
      <c r="T64" s="198">
        <f t="shared" si="58"/>
      </c>
      <c r="U64" s="198">
        <f t="shared" si="59"/>
      </c>
      <c r="V64" s="199">
        <f t="shared" si="60"/>
      </c>
      <c r="W64" s="200">
        <f t="shared" ref="W64:X64" si="65">V64</f>
      </c>
      <c r="X64" s="201">
        <f t="shared" si="65"/>
      </c>
    </row>
    <row r="65" spans="1:24" ht="13.5" thickBot="1">
      <c r="A65" s="389" t="s">
        <v>239</v>
      </c>
      <c r="B65" s="374">
        <v>11872</v>
      </c>
      <c r="C65" s="374">
        <v>14687</v>
      </c>
      <c r="D65" s="374">
        <v>18785</v>
      </c>
      <c r="E65" s="374">
        <v>23078</v>
      </c>
      <c r="F65" s="374">
        <v>16330</v>
      </c>
      <c r="G65" s="374">
        <v>17995</v>
      </c>
      <c r="H65" s="374">
        <v>19139</v>
      </c>
      <c r="I65" s="374">
        <v>23754</v>
      </c>
      <c r="J65" s="374">
        <v>27128</v>
      </c>
      <c r="K65" s="374">
        <v>12959</v>
      </c>
      <c r="L65" s="374">
        <v>14967</v>
      </c>
      <c r="M65" s="374">
        <v>18331</v>
      </c>
      <c r="N65" s="193">
        <f t="shared" si="53"/>
      </c>
      <c r="O65" s="194">
        <f t="shared" si="54"/>
      </c>
      <c r="P65" s="195">
        <f t="shared" si="55"/>
      </c>
      <c r="R65" s="197">
        <f t="shared" si="56"/>
      </c>
      <c r="S65" s="198">
        <f t="shared" si="57"/>
      </c>
      <c r="T65" s="198">
        <f t="shared" si="58"/>
      </c>
      <c r="U65" s="198">
        <f t="shared" si="59"/>
      </c>
      <c r="V65" s="199">
        <f t="shared" si="60"/>
      </c>
      <c r="W65" s="200">
        <f t="shared" ref="W65:X65" si="66">V65</f>
      </c>
      <c r="X65" s="201">
        <f t="shared" si="66"/>
      </c>
    </row>
    <row r="66" spans="1:24" ht="13.5" thickBot="1">
      <c r="A66" s="389"/>
      <c r="B66" s="375"/>
      <c r="C66" s="375"/>
      <c r="D66" s="375"/>
      <c r="E66" s="375"/>
      <c r="F66" s="375"/>
      <c r="G66" s="375"/>
      <c r="H66" s="375"/>
      <c r="I66" s="375"/>
      <c r="J66" s="375"/>
      <c r="K66" s="375"/>
      <c r="L66" s="375"/>
      <c r="M66" s="375"/>
      <c r="N66" s="193" t="e">
        <f t="shared" si="53"/>
      </c>
      <c r="O66" s="194" t="e">
        <f t="shared" si="54"/>
      </c>
      <c r="P66" s="195" t="e">
        <f t="shared" si="55"/>
      </c>
      <c r="R66" s="197" t="e">
        <f t="shared" si="56"/>
      </c>
      <c r="S66" s="198" t="e">
        <f t="shared" si="57"/>
      </c>
      <c r="T66" s="198" t="e">
        <f t="shared" si="58"/>
      </c>
      <c r="U66" s="198" t="str">
        <f t="shared" si="59"/>
      </c>
      <c r="V66" s="199" t="e">
        <f t="shared" si="60"/>
      </c>
      <c r="W66" s="200" t="e">
        <f t="shared" ref="W66:X66" si="67">V66</f>
      </c>
      <c r="X66" s="201" t="e">
        <f t="shared" si="67"/>
      </c>
    </row>
    <row r="67" spans="1:24" ht="13.5" thickBot="1">
      <c r="A67" s="389"/>
      <c r="B67" s="375"/>
      <c r="C67" s="375"/>
      <c r="D67" s="375"/>
      <c r="E67" s="375"/>
      <c r="F67" s="375"/>
      <c r="G67" s="375"/>
      <c r="H67" s="375"/>
      <c r="I67" s="375"/>
      <c r="J67" s="375"/>
      <c r="K67" s="375"/>
      <c r="L67" s="375"/>
      <c r="M67" s="375"/>
      <c r="N67" s="193" t="e">
        <f t="shared" si="53"/>
      </c>
      <c r="O67" s="194" t="e">
        <f t="shared" si="54"/>
      </c>
      <c r="P67" s="195" t="e">
        <f t="shared" si="55"/>
      </c>
      <c r="R67" s="197" t="e">
        <f t="shared" si="56"/>
      </c>
      <c r="S67" s="198" t="e">
        <f t="shared" si="57"/>
      </c>
      <c r="T67" s="198" t="e">
        <f t="shared" si="58"/>
      </c>
      <c r="U67" s="198" t="str">
        <f t="shared" si="59"/>
      </c>
      <c r="V67" s="199" t="e">
        <f t="shared" si="60"/>
      </c>
      <c r="W67" s="200" t="e">
        <f t="shared" ref="W67:X67" si="68">V67</f>
      </c>
      <c r="X67" s="201" t="e">
        <f t="shared" si="68"/>
      </c>
    </row>
    <row r="68" spans="1:24" ht="13.5" thickBot="1">
      <c r="A68" s="362" t="s">
        <v>126</v>
      </c>
      <c r="B68" s="363"/>
      <c r="C68" s="363"/>
      <c r="N68" s="193" t="e">
        <f t="shared" si="53"/>
      </c>
      <c r="O68" s="194" t="e">
        <f t="shared" si="54"/>
      </c>
      <c r="P68" s="195" t="e">
        <f t="shared" si="55"/>
      </c>
      <c r="R68" s="197" t="e">
        <f t="shared" si="56"/>
      </c>
      <c r="S68" s="198" t="e">
        <f t="shared" si="57"/>
      </c>
      <c r="T68" s="198" t="e">
        <f t="shared" si="58"/>
      </c>
      <c r="U68" s="198" t="str">
        <f t="shared" si="59"/>
      </c>
      <c r="V68" s="199" t="e">
        <f t="shared" si="60"/>
      </c>
      <c r="W68" s="200" t="e">
        <f t="shared" ref="W68:X68" si="69">V68</f>
      </c>
      <c r="X68" s="201" t="e">
        <f t="shared" si="69"/>
      </c>
    </row>
    <row r="69" spans="1:24" ht="13.5" thickBot="1">
      <c r="A69" s="143" t="s">
        <v>236</v>
      </c>
      <c r="B69" s="363"/>
      <c r="C69" s="363"/>
      <c r="D69" s="373">
        <f>SUM(D60:D68)</f>
      </c>
      <c r="E69" s="373">
        <f t="shared" ref="E69:P69" si="70">SUM(E60:E68)</f>
      </c>
      <c r="F69" s="373">
        <f t="shared" si="70"/>
      </c>
      <c r="G69" s="373">
        <f t="shared" si="70"/>
      </c>
      <c r="H69" s="373">
        <f t="shared" si="70"/>
      </c>
      <c r="I69" s="373">
        <f t="shared" si="70"/>
      </c>
      <c r="J69" s="373">
        <f t="shared" si="70"/>
      </c>
      <c r="K69" s="373">
        <f t="shared" si="70"/>
      </c>
      <c r="L69" s="373">
        <f t="shared" si="70"/>
      </c>
      <c r="M69" s="373">
        <f t="shared" si="70"/>
      </c>
      <c r="N69" s="373" t="e">
        <f t="shared" si="70"/>
      </c>
      <c r="O69" s="373" t="e">
        <f t="shared" si="70"/>
      </c>
      <c r="P69" s="373" t="e">
        <f t="shared" si="70"/>
      </c>
      <c r="R69" s="197" t="e">
        <f t="shared" si="56"/>
      </c>
      <c r="S69" s="198">
        <f t="shared" si="57"/>
      </c>
      <c r="T69" s="198">
        <f t="shared" si="58"/>
      </c>
      <c r="U69" s="198">
        <f t="shared" si="59"/>
      </c>
      <c r="V69" s="199">
        <f t="shared" si="60"/>
      </c>
      <c r="W69" s="200">
        <f t="shared" ref="W69:X69" si="71">V69</f>
      </c>
      <c r="X69" s="201">
        <f t="shared" si="71"/>
      </c>
    </row>
    <row r="70" spans="1:24" ht="13.5" thickBot="1">
      <c r="A70" s="362" t="s">
        <v>127</v>
      </c>
      <c r="B70" s="362" t="s">
        <v>91</v>
      </c>
      <c r="C70" s="362"/>
      <c r="R70" s="197" t="e">
        <f t="shared" si="56"/>
      </c>
      <c r="S70" s="198" t="e">
        <f t="shared" si="57"/>
      </c>
      <c r="T70" s="198" t="e">
        <f t="shared" si="58"/>
      </c>
      <c r="U70" s="198" t="str">
        <f t="shared" si="59"/>
      </c>
      <c r="V70" s="199" t="e">
        <f t="shared" si="60"/>
      </c>
      <c r="W70" s="200" t="e">
        <f t="shared" ref="W70:X70" si="72">V70</f>
      </c>
      <c r="X70" s="201" t="e">
        <f t="shared" si="72"/>
      </c>
    </row>
    <row r="71" spans="1:24" ht="13.5" thickBot="1">
      <c r="A71" s="143" t="s">
        <v>238</v>
      </c>
      <c r="B71" s="363"/>
      <c r="C71" s="363"/>
      <c r="R71" s="197" t="e">
        <f t="shared" si="56"/>
      </c>
      <c r="S71" s="198" t="e">
        <f t="shared" si="57"/>
      </c>
      <c r="T71" s="198" t="e">
        <f t="shared" si="58"/>
      </c>
      <c r="U71" s="198" t="str">
        <f t="shared" si="59"/>
      </c>
      <c r="V71" s="199" t="e">
        <f t="shared" si="60"/>
      </c>
      <c r="W71" s="200" t="e">
        <f t="shared" ref="W71:X71" si="73">V71</f>
      </c>
      <c r="X71" s="201" t="e">
        <f t="shared" si="73"/>
      </c>
    </row>
    <row r="72" spans="1:24" ht="13.5" thickBot="1">
      <c r="A72" s="389" t="s">
        <v>5135</v>
      </c>
      <c r="B72" s="374">
        <v>6493</v>
      </c>
      <c r="C72" s="374">
        <v>8014</v>
      </c>
      <c r="D72" s="374">
        <v>11523</v>
      </c>
      <c r="E72" s="374">
        <v>10594</v>
      </c>
      <c r="F72" s="374">
        <v>12851</v>
      </c>
      <c r="G72" s="374">
        <v>13098</v>
      </c>
      <c r="H72" s="374">
        <v>13045</v>
      </c>
      <c r="I72" s="374">
        <v>16089</v>
      </c>
      <c r="J72" s="374">
        <v>16950</v>
      </c>
      <c r="K72" s="374">
        <v>18681</v>
      </c>
      <c r="L72" s="374">
        <v>20174</v>
      </c>
      <c r="M72" s="374">
        <v>22345</v>
      </c>
      <c r="N72" s="193">
        <f t="shared" ref="N72:N80" si="74">M72*(1+$V72)</f>
      </c>
      <c r="O72" s="194">
        <f t="shared" ref="O72:O80" si="75">N72*(1+$W72)</f>
      </c>
      <c r="P72" s="195">
        <f t="shared" ref="P72:P80" si="76">O72*(1+$X72)</f>
      </c>
      <c r="R72" s="197">
        <f t="shared" si="56"/>
      </c>
      <c r="S72" s="198">
        <f t="shared" si="57"/>
      </c>
      <c r="T72" s="198">
        <f t="shared" si="58"/>
      </c>
      <c r="U72" s="198">
        <f t="shared" si="59"/>
      </c>
      <c r="V72" s="199">
        <f t="shared" si="60"/>
      </c>
      <c r="W72" s="200">
        <f t="shared" ref="W72:X72" si="77">V72</f>
      </c>
      <c r="X72" s="201">
        <f t="shared" si="77"/>
      </c>
    </row>
    <row r="73" spans="1:24" ht="13.5" thickBot="1">
      <c r="A73" s="389" t="s">
        <v>5137</v>
      </c>
      <c r="B73" s="374">
        <v>1890</v>
      </c>
      <c r="C73" s="374">
        <v>1949</v>
      </c>
      <c r="D73" s="374">
        <v>2749</v>
      </c>
      <c r="E73" s="374">
        <v>2771</v>
      </c>
      <c r="F73" s="374">
        <v>5190</v>
      </c>
      <c r="G73" s="374">
        <v>5552</v>
      </c>
      <c r="H73" s="374">
        <v>5797</v>
      </c>
      <c r="I73" s="374">
        <v>6644</v>
      </c>
      <c r="J73" s="374">
        <v>7703</v>
      </c>
      <c r="K73" s="374">
        <v>8010</v>
      </c>
      <c r="L73" s="374">
        <v>9518</v>
      </c>
      <c r="M73" s="374">
        <v>10667</v>
      </c>
      <c r="N73" s="193">
        <f t="shared" si="74"/>
      </c>
      <c r="O73" s="194">
        <f t="shared" si="75"/>
      </c>
      <c r="P73" s="195">
        <f t="shared" si="76"/>
      </c>
      <c r="R73" s="197">
        <f t="shared" si="56"/>
      </c>
      <c r="S73" s="198">
        <f t="shared" si="57"/>
      </c>
      <c r="T73" s="198">
        <f t="shared" si="58"/>
      </c>
      <c r="U73" s="198">
        <f t="shared" si="59"/>
      </c>
      <c r="V73" s="199">
        <f t="shared" si="60"/>
      </c>
      <c r="W73" s="200">
        <f t="shared" ref="W73:X73" si="78">V73</f>
      </c>
      <c r="X73" s="201">
        <f t="shared" si="78"/>
      </c>
    </row>
    <row r="74" spans="1:24" ht="13.5" thickBot="1">
      <c r="A74" s="389" t="s">
        <v>5136</v>
      </c>
      <c r="B74" s="374">
        <v>1742</v>
      </c>
      <c r="C74" s="374">
        <v>2581</v>
      </c>
      <c r="D74" s="374">
        <v>3674</v>
      </c>
      <c r="E74" s="374">
        <v>3254</v>
      </c>
      <c r="F74" s="374">
        <v>5330</v>
      </c>
      <c r="G74" s="374">
        <v>5740</v>
      </c>
      <c r="H74" s="374">
        <v>5580</v>
      </c>
      <c r="I74" s="374">
        <v>6871</v>
      </c>
      <c r="J74" s="374">
        <v>6870</v>
      </c>
      <c r="K74" s="374">
        <v>7151</v>
      </c>
      <c r="L74" s="374">
        <v>8534</v>
      </c>
      <c r="M74" s="374">
        <v>9636</v>
      </c>
      <c r="N74" s="193">
        <f t="shared" si="74"/>
      </c>
      <c r="O74" s="194">
        <f t="shared" si="75"/>
      </c>
      <c r="P74" s="195">
        <f t="shared" si="76"/>
      </c>
      <c r="R74" s="197">
        <f t="shared" si="56"/>
      </c>
      <c r="S74" s="198">
        <f t="shared" si="57"/>
      </c>
      <c r="T74" s="198">
        <f t="shared" si="58"/>
      </c>
      <c r="U74" s="198">
        <f t="shared" si="59"/>
      </c>
      <c r="V74" s="199">
        <f t="shared" si="60"/>
      </c>
      <c r="W74" s="200">
        <f t="shared" ref="W74:X74" si="79">V74</f>
      </c>
      <c r="X74" s="201">
        <f t="shared" si="79"/>
      </c>
    </row>
    <row r="75" spans="1:24" ht="13.5" thickBot="1">
      <c r="A75" s="389" t="s">
        <v>5138</v>
      </c>
      <c r="B75" s="375">
        <v>0</v>
      </c>
      <c r="C75" s="374">
        <v>0</v>
      </c>
      <c r="D75" s="374">
        <v>0</v>
      </c>
      <c r="E75" s="374">
        <v>0</v>
      </c>
      <c r="F75" s="374">
        <v>0</v>
      </c>
      <c r="G75" s="374">
        <v>0</v>
      </c>
      <c r="H75" s="374">
        <v>0</v>
      </c>
      <c r="I75" s="374">
        <v>0</v>
      </c>
      <c r="J75" s="374">
        <v>0</v>
      </c>
      <c r="K75" s="374">
        <v>5253</v>
      </c>
      <c r="L75" s="374">
        <v>6139</v>
      </c>
      <c r="M75" s="374">
        <v>6894</v>
      </c>
      <c r="N75" s="193" t="e">
        <f t="shared" si="74"/>
      </c>
      <c r="O75" s="194" t="e">
        <f t="shared" si="75"/>
      </c>
      <c r="P75" s="195" t="e">
        <f t="shared" si="76"/>
      </c>
      <c r="R75" s="197" t="e">
        <f t="shared" si="56"/>
      </c>
      <c r="S75" s="198" t="e">
        <f t="shared" si="57"/>
      </c>
      <c r="T75" s="198" t="e">
        <f t="shared" si="58"/>
      </c>
      <c r="U75" s="198" t="str">
        <f t="shared" si="59"/>
      </c>
      <c r="V75" s="199" t="e">
        <f t="shared" si="60"/>
      </c>
      <c r="W75" s="200" t="e">
        <f t="shared" ref="W75:X75" si="80">V75</f>
      </c>
      <c r="X75" s="201" t="e">
        <f t="shared" si="80"/>
      </c>
    </row>
    <row r="76" spans="1:24" ht="13.5" thickBot="1">
      <c r="A76" s="389" t="s">
        <v>5139</v>
      </c>
      <c r="B76" s="375">
        <v>986</v>
      </c>
      <c r="C76" s="374">
        <v>1363</v>
      </c>
      <c r="D76" s="374">
        <v>2051</v>
      </c>
      <c r="E76" s="374">
        <v>2223</v>
      </c>
      <c r="F76" s="374">
        <v>2924</v>
      </c>
      <c r="G76" s="374">
        <v>3574</v>
      </c>
      <c r="H76" s="374">
        <v>3698</v>
      </c>
      <c r="I76" s="374">
        <v>4311</v>
      </c>
      <c r="J76" s="374">
        <v>4445</v>
      </c>
      <c r="K76" s="374">
        <v>4483</v>
      </c>
      <c r="L76" s="374">
        <v>5602</v>
      </c>
      <c r="M76" s="374">
        <v>5842</v>
      </c>
      <c r="N76" s="193">
        <f t="shared" si="74"/>
      </c>
      <c r="O76" s="194">
        <f t="shared" si="75"/>
      </c>
      <c r="P76" s="195">
        <f t="shared" si="76"/>
      </c>
      <c r="R76" s="197">
        <f t="shared" si="56"/>
      </c>
      <c r="S76" s="198">
        <f t="shared" si="57"/>
      </c>
      <c r="T76" s="198">
        <f t="shared" si="58"/>
      </c>
      <c r="U76" s="198">
        <f t="shared" si="59"/>
      </c>
      <c r="V76" s="199">
        <f t="shared" si="60"/>
      </c>
      <c r="W76" s="200">
        <f t="shared" ref="W76:X76" si="81">V76</f>
      </c>
      <c r="X76" s="201">
        <f t="shared" si="81"/>
      </c>
    </row>
    <row r="77" spans="1:24" ht="13.5" thickBot="1">
      <c r="A77" s="389" t="s">
        <v>239</v>
      </c>
      <c r="B77" s="374">
        <v>3203</v>
      </c>
      <c r="C77" s="374">
        <v>3992</v>
      </c>
      <c r="D77" s="374">
        <v>5029</v>
      </c>
      <c r="E77" s="374">
        <v>5480</v>
      </c>
      <c r="F77" s="374">
        <v>4294</v>
      </c>
      <c r="G77" s="374">
        <v>4271</v>
      </c>
      <c r="H77" s="374">
        <v>4339</v>
      </c>
      <c r="I77" s="374">
        <v>5554</v>
      </c>
      <c r="J77" s="374">
        <v>6141</v>
      </c>
      <c r="K77" s="374">
        <v>2968</v>
      </c>
      <c r="L77" s="374">
        <v>3090</v>
      </c>
      <c r="M77" s="374">
        <v>3875</v>
      </c>
      <c r="N77" s="193">
        <f t="shared" si="74"/>
      </c>
      <c r="O77" s="194">
        <f t="shared" si="75"/>
      </c>
      <c r="P77" s="195">
        <f t="shared" si="76"/>
      </c>
      <c r="R77" s="197">
        <f t="shared" si="56"/>
      </c>
      <c r="S77" s="198">
        <f t="shared" si="57"/>
      </c>
      <c r="T77" s="198">
        <f t="shared" si="58"/>
      </c>
      <c r="U77" s="198">
        <f t="shared" si="59"/>
      </c>
      <c r="V77" s="199">
        <f t="shared" si="60"/>
      </c>
      <c r="W77" s="200">
        <f t="shared" ref="W77:X77" si="82">V77</f>
      </c>
      <c r="X77" s="201">
        <f t="shared" si="82"/>
      </c>
    </row>
    <row r="78" spans="1:24" ht="13.5" thickBot="1">
      <c r="A78" s="389" t="s">
        <v>240</v>
      </c>
      <c r="B78" s="375">
        <v>-390</v>
      </c>
      <c r="C78" s="374">
        <v>192</v>
      </c>
      <c r="D78" s="375">
        <v>377</v>
      </c>
      <c r="E78" s="374">
        <v>1486</v>
      </c>
      <c r="F78" s="374">
        <v>1251</v>
      </c>
      <c r="G78" s="374">
        <v>2278</v>
      </c>
      <c r="H78" s="374">
        <v>1633</v>
      </c>
      <c r="I78" s="374">
        <v>2094</v>
      </c>
      <c r="J78" s="375">
        <v>139</v>
      </c>
      <c r="K78" s="374">
        <v>-2786</v>
      </c>
      <c r="L78" s="374">
        <v>-1370</v>
      </c>
      <c r="M78" s="374">
        <v>-2352</v>
      </c>
      <c r="N78" s="193">
        <f t="shared" si="74"/>
      </c>
      <c r="O78" s="194">
        <f t="shared" si="75"/>
      </c>
      <c r="P78" s="195">
        <f t="shared" si="76"/>
      </c>
      <c r="R78" s="197">
        <f t="shared" si="56"/>
      </c>
      <c r="S78" s="198">
        <f t="shared" si="57"/>
      </c>
      <c r="T78" s="198">
        <f t="shared" si="58"/>
      </c>
      <c r="U78" s="198">
        <f t="shared" si="59"/>
      </c>
      <c r="V78" s="199">
        <f t="shared" si="60"/>
      </c>
      <c r="W78" s="200">
        <f t="shared" ref="W78:X78" si="83">V78</f>
      </c>
      <c r="X78" s="201">
        <f t="shared" si="83"/>
      </c>
    </row>
    <row r="79" spans="1:24" ht="13.5" thickBot="1">
      <c r="A79" s="389"/>
      <c r="B79" s="375"/>
      <c r="C79" s="375"/>
      <c r="D79" s="375"/>
      <c r="E79" s="375"/>
      <c r="F79" s="374"/>
      <c r="G79" s="374"/>
      <c r="H79" s="374"/>
      <c r="I79" s="374"/>
      <c r="J79" s="374"/>
      <c r="K79" s="374"/>
      <c r="L79" s="374"/>
      <c r="M79" s="374"/>
      <c r="N79" s="193" t="e">
        <f t="shared" si="74"/>
      </c>
      <c r="O79" s="194" t="e">
        <f t="shared" si="75"/>
      </c>
      <c r="P79" s="195" t="e">
        <f t="shared" si="76"/>
      </c>
      <c r="R79" s="197" t="e">
        <f t="shared" si="56"/>
      </c>
      <c r="S79" s="198" t="e">
        <f t="shared" si="57"/>
      </c>
      <c r="T79" s="198" t="e">
        <f t="shared" si="58"/>
      </c>
      <c r="U79" s="198" t="str">
        <f t="shared" si="59"/>
      </c>
      <c r="V79" s="199" t="e">
        <f t="shared" si="60"/>
      </c>
      <c r="W79" s="200" t="e">
        <f t="shared" ref="W79:X79" si="84">V79</f>
      </c>
      <c r="X79" s="201" t="e">
        <f t="shared" si="84"/>
      </c>
    </row>
    <row r="80" spans="1:24" ht="13.5" thickBot="1">
      <c r="A80" s="362" t="s">
        <v>126</v>
      </c>
      <c r="N80" s="193" t="e">
        <f t="shared" si="74"/>
      </c>
      <c r="O80" s="194" t="e">
        <f t="shared" si="75"/>
      </c>
      <c r="P80" s="195" t="e">
        <f t="shared" si="76"/>
      </c>
      <c r="R80" s="197" t="e">
        <f t="shared" si="56"/>
      </c>
      <c r="S80" s="198" t="e">
        <f t="shared" si="57"/>
      </c>
      <c r="T80" s="198" t="e">
        <f t="shared" si="58"/>
      </c>
      <c r="U80" s="198" t="str">
        <f t="shared" si="59"/>
      </c>
      <c r="V80" s="199" t="e">
        <f t="shared" si="60"/>
      </c>
      <c r="W80" s="200" t="e">
        <f t="shared" ref="W80:X80" si="85">V80</f>
      </c>
      <c r="X80" s="201" t="e">
        <f t="shared" si="85"/>
      </c>
    </row>
    <row r="81" spans="1:24" ht="13.5" thickBot="1">
      <c r="A81" s="143" t="s">
        <v>236</v>
      </c>
      <c r="B81" s="373">
        <f>SUM(B72:B80)</f>
      </c>
      <c r="C81" s="373">
        <f>SUM(C72:C80)</f>
      </c>
      <c r="D81" s="373">
        <f>SUM(D72:D80)</f>
      </c>
      <c r="E81" s="373">
        <f t="shared" ref="E81:P81" si="86">SUM(E72:E80)</f>
      </c>
      <c r="F81" s="373">
        <f t="shared" si="86"/>
      </c>
      <c r="G81" s="373">
        <f t="shared" si="86"/>
      </c>
      <c r="H81" s="373">
        <f t="shared" si="86"/>
      </c>
      <c r="I81" s="373">
        <f t="shared" si="86"/>
      </c>
      <c r="J81" s="373">
        <f t="shared" si="86"/>
      </c>
      <c r="K81" s="373">
        <f t="shared" si="86"/>
      </c>
      <c r="L81" s="373">
        <f t="shared" si="86"/>
      </c>
      <c r="M81" s="373">
        <f t="shared" si="86"/>
      </c>
      <c r="N81" s="373" t="e">
        <f t="shared" si="86"/>
      </c>
      <c r="O81" s="373" t="e">
        <f t="shared" si="86"/>
      </c>
      <c r="P81" s="373" t="e">
        <f t="shared" si="86"/>
      </c>
      <c r="R81" s="197" t="e">
        <f t="shared" si="56"/>
      </c>
      <c r="S81" s="198">
        <f t="shared" si="57"/>
      </c>
      <c r="T81" s="198">
        <f t="shared" si="58"/>
      </c>
      <c r="U81" s="198">
        <f t="shared" si="59"/>
      </c>
      <c r="V81" s="199">
        <f t="shared" si="60"/>
      </c>
      <c r="W81" s="200">
        <f t="shared" ref="W81:X81" si="87">V81</f>
      </c>
      <c r="X81" s="201">
        <f t="shared" si="87"/>
      </c>
    </row>
    <row r="82" spans="1:24" ht="13.5" thickBot="1">
      <c r="R82" s="197" t="e">
        <f t="shared" si="56"/>
      </c>
      <c r="S82" s="198" t="e">
        <f t="shared" si="57"/>
      </c>
      <c r="T82" s="198" t="e">
        <f t="shared" si="58"/>
      </c>
      <c r="U82" s="198" t="str">
        <f t="shared" si="59"/>
      </c>
      <c r="V82" s="199" t="e">
        <f t="shared" si="60"/>
      </c>
      <c r="W82" s="200" t="e">
        <f t="shared" ref="W82:X82" si="88">V82</f>
      </c>
      <c r="X82" s="201" t="e">
        <f t="shared" si="88"/>
      </c>
    </row>
    <row r="83" spans="1:24" ht="13.5" thickBot="1">
      <c r="A83" s="143" t="s">
        <v>237</v>
      </c>
      <c r="R83" s="197" t="e">
        <f t="shared" si="56"/>
      </c>
      <c r="S83" s="198" t="e">
        <f t="shared" si="57"/>
      </c>
      <c r="T83" s="198" t="e">
        <f t="shared" si="58"/>
      </c>
      <c r="U83" s="198" t="str">
        <f t="shared" si="59"/>
      </c>
      <c r="V83" s="199" t="e">
        <f t="shared" si="60"/>
      </c>
      <c r="W83" s="200" t="e">
        <f t="shared" ref="W83:X83" si="89">V83</f>
      </c>
      <c r="X83" s="201" t="e">
        <f t="shared" si="89"/>
      </c>
    </row>
    <row r="84" spans="1:24" ht="13.5" thickBot="1">
      <c r="A84" s="389" t="s">
        <v>5135</v>
      </c>
      <c r="B84" s="374">
        <v>8570</v>
      </c>
      <c r="C84" s="374">
        <v>10045</v>
      </c>
      <c r="D84" s="374">
        <v>8344</v>
      </c>
      <c r="E84" s="374">
        <v>7057</v>
      </c>
      <c r="F84" s="374">
        <v>9681</v>
      </c>
      <c r="G84" s="374">
        <v>8635</v>
      </c>
      <c r="H84" s="374">
        <v>9039</v>
      </c>
      <c r="I84" s="374">
        <v>10483</v>
      </c>
      <c r="J84" s="375">
        <v>0</v>
      </c>
      <c r="K84" s="375">
        <v>0</v>
      </c>
      <c r="L84" s="375">
        <v>0</v>
      </c>
      <c r="M84" s="375">
        <v>0</v>
      </c>
      <c r="R84" s="197" t="e">
        <f t="shared" si="56"/>
      </c>
      <c r="S84" s="198" t="e">
        <f t="shared" si="57"/>
      </c>
      <c r="T84" s="198">
        <f t="shared" si="58"/>
      </c>
      <c r="U84" s="198">
        <f t="shared" si="59"/>
      </c>
      <c r="V84" s="199" t="e">
        <f t="shared" si="60"/>
      </c>
      <c r="W84" s="200" t="e">
        <f t="shared" ref="W84:X84" si="90">V84</f>
      </c>
      <c r="X84" s="201" t="e">
        <f t="shared" si="90"/>
      </c>
    </row>
    <row r="85" spans="1:24" ht="13.5" thickBot="1">
      <c r="A85" s="389" t="s">
        <v>5137</v>
      </c>
      <c r="B85" s="374">
        <v>1901</v>
      </c>
      <c r="C85" s="374">
        <v>2336</v>
      </c>
      <c r="D85" s="374">
        <v>2977</v>
      </c>
      <c r="E85" s="374">
        <v>2697</v>
      </c>
      <c r="F85" s="374">
        <v>4639</v>
      </c>
      <c r="G85" s="374">
        <v>4671</v>
      </c>
      <c r="H85" s="374">
        <v>5605</v>
      </c>
      <c r="I85" s="374">
        <v>5590</v>
      </c>
      <c r="J85" s="375">
        <v>0</v>
      </c>
      <c r="K85" s="375">
        <v>0</v>
      </c>
      <c r="L85" s="375">
        <v>0</v>
      </c>
      <c r="M85" s="375">
        <v>0</v>
      </c>
      <c r="R85" s="197" t="e">
        <f t="shared" si="56"/>
      </c>
      <c r="S85" s="198" t="e">
        <f t="shared" si="57"/>
      </c>
      <c r="T85" s="198">
        <f t="shared" si="58"/>
      </c>
      <c r="U85" s="198">
        <f t="shared" si="59"/>
      </c>
      <c r="V85" s="199" t="e">
        <f t="shared" si="60"/>
      </c>
      <c r="W85" s="200" t="e">
        <f t="shared" ref="W85:X85" si="91">V85</f>
      </c>
      <c r="X85" s="201" t="e">
        <f t="shared" si="91"/>
      </c>
    </row>
    <row r="86" spans="1:24" ht="13.5" thickBot="1">
      <c r="A86" s="389" t="s">
        <v>5136</v>
      </c>
      <c r="B86" s="374">
        <v>1384</v>
      </c>
      <c r="C86" s="374">
        <v>2051</v>
      </c>
      <c r="D86" s="374">
        <v>2924</v>
      </c>
      <c r="E86" s="374">
        <v>2768</v>
      </c>
      <c r="F86" s="374">
        <v>4641</v>
      </c>
      <c r="G86" s="374">
        <v>4850</v>
      </c>
      <c r="H86" s="374">
        <v>5546</v>
      </c>
      <c r="I86" s="375">
        <v>0</v>
      </c>
      <c r="J86" s="375">
        <v>0</v>
      </c>
      <c r="K86" s="375">
        <v>0</v>
      </c>
      <c r="L86" s="375">
        <v>0</v>
      </c>
      <c r="M86" s="375">
        <v>0</v>
      </c>
      <c r="R86" s="197" t="e">
        <f t="shared" si="56"/>
      </c>
      <c r="S86" s="198" t="e">
        <f t="shared" si="57"/>
      </c>
      <c r="T86" s="198">
        <f t="shared" si="58"/>
      </c>
      <c r="U86" s="198">
        <f t="shared" si="59"/>
      </c>
      <c r="V86" s="199" t="e">
        <f t="shared" si="60"/>
      </c>
      <c r="W86" s="200" t="e">
        <f t="shared" ref="W86:X86" si="92">V86</f>
      </c>
      <c r="X86" s="201" t="e">
        <f t="shared" si="92"/>
      </c>
    </row>
    <row r="87" spans="1:24" ht="13.5" thickBot="1">
      <c r="A87" s="389" t="s">
        <v>5139</v>
      </c>
      <c r="B87" s="374">
        <v>991</v>
      </c>
      <c r="C87" s="374">
        <v>1493</v>
      </c>
      <c r="D87" s="374">
        <v>1994</v>
      </c>
      <c r="E87" s="374">
        <v>2148</v>
      </c>
      <c r="F87" s="374">
        <v>2676</v>
      </c>
      <c r="G87" s="374">
        <v>3100</v>
      </c>
      <c r="H87" s="374">
        <v>3381</v>
      </c>
      <c r="I87" s="374">
        <v>4043</v>
      </c>
      <c r="J87" s="375">
        <v>0</v>
      </c>
      <c r="K87" s="375">
        <v>0</v>
      </c>
      <c r="L87" s="375">
        <v>0</v>
      </c>
      <c r="M87" s="375">
        <v>0</v>
      </c>
      <c r="R87" s="197" t="e">
        <f t="shared" si="56"/>
      </c>
      <c r="S87" s="198" t="e">
        <f t="shared" si="57"/>
      </c>
      <c r="T87" s="198">
        <f t="shared" si="58"/>
      </c>
      <c r="U87" s="198">
        <f t="shared" si="59"/>
      </c>
      <c r="V87" s="199" t="e">
        <f t="shared" si="60"/>
      </c>
      <c r="W87" s="200" t="e">
        <f t="shared" ref="W87:X87" si="93">V87</f>
      </c>
      <c r="X87" s="201" t="e">
        <f t="shared" si="93"/>
      </c>
    </row>
    <row r="88" spans="1:24" ht="13.5" thickBot="1">
      <c r="A88" s="389" t="s">
        <v>239</v>
      </c>
      <c r="B88" s="374">
        <v>5179</v>
      </c>
      <c r="C88" s="374">
        <v>6027</v>
      </c>
      <c r="D88" s="374">
        <v>7009</v>
      </c>
      <c r="E88" s="374">
        <v>7121</v>
      </c>
      <c r="F88" s="374">
        <v>5531</v>
      </c>
      <c r="G88" s="374">
        <v>5569</v>
      </c>
      <c r="H88" s="374">
        <v>6223</v>
      </c>
      <c r="I88" s="374">
        <v>6864</v>
      </c>
      <c r="J88" s="375">
        <v>0</v>
      </c>
      <c r="K88" s="375">
        <v>0</v>
      </c>
      <c r="L88" s="375">
        <v>0</v>
      </c>
      <c r="M88" s="375">
        <v>0</v>
      </c>
      <c r="R88" s="197" t="e">
        <f t="shared" si="56"/>
      </c>
      <c r="S88" s="198" t="e">
        <f t="shared" si="57"/>
      </c>
      <c r="T88" s="198">
        <f t="shared" si="58"/>
      </c>
      <c r="U88" s="198">
        <f t="shared" si="59"/>
      </c>
      <c r="V88" s="199" t="e">
        <f t="shared" si="60"/>
      </c>
      <c r="W88" s="200" t="e">
        <f t="shared" ref="W88:X88" si="94">V88</f>
      </c>
      <c r="X88" s="201" t="e">
        <f t="shared" si="94"/>
      </c>
    </row>
    <row r="89" spans="1:24" ht="13.5" thickBot="1">
      <c r="A89" s="389" t="s">
        <v>5140</v>
      </c>
      <c r="B89" s="143">
        <v>0</v>
      </c>
      <c r="C89" s="143">
        <v>0</v>
      </c>
      <c r="D89" s="143">
        <v>0</v>
      </c>
      <c r="E89" s="143">
        <v>0</v>
      </c>
      <c r="F89" s="143">
        <v>0</v>
      </c>
      <c r="G89" s="143">
        <v>0</v>
      </c>
      <c r="H89" s="143">
        <v>0</v>
      </c>
      <c r="I89" s="373">
        <v>6447</v>
      </c>
      <c r="J89" s="143">
        <v>0</v>
      </c>
      <c r="K89" s="143">
        <v>0</v>
      </c>
      <c r="L89" s="143">
        <v>0</v>
      </c>
      <c r="M89" s="143">
        <v>0</v>
      </c>
      <c r="R89" s="197" t="e">
        <f t="shared" si="56"/>
      </c>
      <c r="S89" s="198" t="e">
        <f t="shared" si="57"/>
      </c>
      <c r="T89" s="198" t="e">
        <f t="shared" si="58"/>
      </c>
      <c r="U89" s="198" t="str">
        <f t="shared" si="59"/>
      </c>
      <c r="V89" s="199" t="e">
        <f t="shared" si="60"/>
      </c>
      <c r="W89" s="200" t="e">
        <f t="shared" ref="W89:X89" si="95">V89</f>
      </c>
      <c r="X89" s="201" t="e">
        <f t="shared" si="95"/>
      </c>
    </row>
    <row r="90" spans="1:24" ht="13.5" thickBot="1">
      <c r="A90" s="389" t="s">
        <v>240</v>
      </c>
      <c r="B90" s="373">
        <v>12112</v>
      </c>
      <c r="C90" s="373">
        <v>17389</v>
      </c>
      <c r="D90" s="373">
        <v>26655</v>
      </c>
      <c r="E90" s="373">
        <v>29971</v>
      </c>
      <c r="F90" s="373">
        <v>44259</v>
      </c>
      <c r="G90" s="373">
        <v>59755</v>
      </c>
      <c r="H90" s="373">
        <v>55736</v>
      </c>
      <c r="I90" s="373">
        <v>56472</v>
      </c>
      <c r="J90" s="143">
        <v>0</v>
      </c>
      <c r="K90" s="143">
        <v>0</v>
      </c>
      <c r="L90" s="143">
        <v>0</v>
      </c>
      <c r="M90" s="143">
        <v>0</v>
      </c>
      <c r="R90" s="197" t="e">
        <f t="shared" si="56"/>
      </c>
      <c r="S90" s="198" t="e">
        <f t="shared" si="57"/>
      </c>
      <c r="T90" s="198">
        <f t="shared" si="58"/>
      </c>
      <c r="U90" s="198">
        <f t="shared" si="59"/>
      </c>
      <c r="V90" s="199" t="e">
        <f t="shared" si="60"/>
      </c>
      <c r="W90" s="200" t="e">
        <f t="shared" ref="W90:X90" si="96">V90</f>
      </c>
      <c r="X90" s="201" t="e">
        <f t="shared" si="96"/>
      </c>
    </row>
    <row r="91" spans="1:24" ht="13.5" thickBot="1">
      <c r="A91" s="362"/>
      <c r="R91" s="197" t="e">
        <f t="shared" si="56"/>
      </c>
      <c r="S91" s="198" t="e">
        <f t="shared" si="57"/>
      </c>
      <c r="T91" s="198" t="e">
        <f t="shared" si="58"/>
      </c>
      <c r="U91" s="198" t="str">
        <f t="shared" si="59"/>
      </c>
      <c r="V91" s="199" t="e">
        <f t="shared" si="60"/>
      </c>
      <c r="W91" s="200" t="e">
        <f t="shared" ref="W91:X91" si="97">V91</f>
      </c>
      <c r="X91" s="201" t="e">
        <f t="shared" si="97"/>
      </c>
    </row>
    <row r="92" spans="1:24" ht="13.5" thickBot="1">
      <c r="A92" s="362" t="s">
        <v>126</v>
      </c>
      <c r="R92" s="197" t="e">
        <f t="shared" si="56"/>
      </c>
      <c r="S92" s="198" t="e">
        <f t="shared" si="57"/>
      </c>
      <c r="T92" s="198" t="e">
        <f t="shared" si="58"/>
      </c>
      <c r="U92" s="198" t="str">
        <f t="shared" si="59"/>
      </c>
      <c r="V92" s="199" t="e">
        <f t="shared" si="60"/>
      </c>
      <c r="W92" s="200" t="e">
        <f t="shared" ref="W92:X92" si="98">V92</f>
      </c>
      <c r="X92" s="201" t="e">
        <f t="shared" si="98"/>
      </c>
    </row>
    <row r="93" spans="1:24">
      <c r="A93" s="143" t="s">
        <v>236</v>
      </c>
      <c r="B93" s="373">
        <f>SUM(B84:B92)</f>
      </c>
      <c r="C93" s="373">
        <f>SUM(C84:C92)</f>
      </c>
      <c r="D93" s="373">
        <f>SUM(D84:D92)</f>
      </c>
      <c r="E93" s="373">
        <f t="shared" ref="E93:P93" si="99">SUM(E84:E92)</f>
      </c>
      <c r="F93" s="373">
        <f t="shared" si="99"/>
      </c>
      <c r="G93" s="373">
        <f t="shared" si="99"/>
      </c>
      <c r="H93" s="373">
        <f t="shared" si="99"/>
      </c>
      <c r="I93" s="373">
        <f t="shared" si="99"/>
      </c>
      <c r="J93" s="373">
        <f t="shared" si="99"/>
      </c>
      <c r="K93" s="373">
        <f t="shared" si="99"/>
      </c>
      <c r="L93" s="373">
        <f t="shared" si="99"/>
      </c>
      <c r="M93" s="373">
        <f t="shared" si="99"/>
      </c>
      <c r="N93" s="373">
        <f t="shared" si="99"/>
      </c>
      <c r="O93" s="373">
        <f t="shared" si="99"/>
      </c>
      <c r="P93" s="373">
        <f t="shared" si="99"/>
      </c>
      <c r="R93" s="197" t="e">
        <f t="shared" si="56"/>
      </c>
      <c r="S93" s="198" t="e">
        <f t="shared" si="57"/>
      </c>
      <c r="T93" s="198">
        <f t="shared" si="58"/>
      </c>
      <c r="U93" s="198">
        <f t="shared" si="59"/>
      </c>
      <c r="V93" s="199" t="e">
        <f t="shared" si="60"/>
      </c>
      <c r="W93" s="200" t="e">
        <f t="shared" ref="W93:X93" si="100">V93</f>
      </c>
      <c r="X93" s="201" t="e">
        <f t="shared" si="100"/>
      </c>
    </row>
  </sheetData>
  <sheetProtection selectLockedCells="1"/>
  <conditionalFormatting sqref="E2:E3">
    <cfRule type="cellIs" dxfId="19" priority="51" operator="greaterThanOrEqual">
      <formula>D2</formula>
    </cfRule>
    <cfRule type="cellIs" dxfId="18" priority="52" operator="lessThan">
      <formula>D2</formula>
    </cfRule>
    <cfRule type="cellIs" dxfId="17" priority="53" operator="greaterThanOrEqual">
      <formula>D2</formula>
    </cfRule>
    <cfRule type="cellIs" dxfId="16" priority="54" operator="lessThan">
      <formula>D2</formula>
    </cfRule>
  </conditionalFormatting>
  <conditionalFormatting sqref="F2:F3">
    <cfRule type="cellIs" dxfId="15" priority="59" operator="greaterThanOrEqual">
      <formula>E2</formula>
    </cfRule>
    <cfRule type="cellIs" dxfId="14" priority="60" operator="lessThan">
      <formula>E2</formula>
    </cfRule>
    <cfRule type="cellIs" dxfId="13" priority="61" operator="greaterThanOrEqual">
      <formula>E2</formula>
    </cfRule>
    <cfRule type="cellIs" dxfId="12" priority="62" operator="lessThan">
      <formula>E2</formula>
    </cfRule>
  </conditionalFormatting>
  <conditionalFormatting sqref="F2:M2">
    <cfRule type="cellIs" dxfId="11" priority="55" operator="greaterThanOrEqual">
      <formula>E2</formula>
    </cfRule>
    <cfRule type="cellIs" dxfId="10" priority="56" operator="lessThan">
      <formula>E2</formula>
    </cfRule>
    <cfRule type="cellIs" dxfId="9" priority="57" operator="greaterThanOrEqual">
      <formula>E2</formula>
    </cfRule>
    <cfRule type="cellIs" dxfId="8" priority="58" operator="lessThan">
      <formula>E2</formula>
    </cfRule>
  </conditionalFormatting>
  <conditionalFormatting sqref="F3:M3">
    <cfRule type="cellIs" dxfId="7" priority="17" operator="greaterThanOrEqual">
      <formula>E3</formula>
    </cfRule>
    <cfRule type="cellIs" dxfId="6" priority="18" operator="lessThan">
      <formula>E3</formula>
    </cfRule>
    <cfRule type="cellIs" dxfId="5" priority="19" operator="greaterThanOrEqual">
      <formula>E3</formula>
    </cfRule>
    <cfRule type="cellIs" dxfId="4" priority="20" operator="lessThan">
      <formula>E3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F4B3D-951E-4A9E-97FF-04857B825F76}">
  <sheetPr codeName="Sheet9"/>
  <dimension ref="A1:N23"/>
  <sheetViews>
    <sheetView zoomScale="85" zoomScaleNormal="85" workbookViewId="0">
      <selection activeCell="Q16" sqref="Q16"/>
    </sheetView>
  </sheetViews>
  <sheetFormatPr defaultColWidth="8.7109375" defaultRowHeight="12.75"/>
  <cols>
    <col min="1" max="1" width="18.5703125" style="143" customWidth="1"/>
    <col min="2" max="14" width="10.140625" style="143" customWidth="1"/>
    <col min="15" max="16384" width="8.7109375" style="143"/>
  </cols>
  <sheetData>
    <row r="1" spans="1:14">
      <c r="B1" s="382" t="str">
        <f>'Data Sheet'!B1</f>
      </c>
      <c r="C1" s="143" t="e">
        <f>VLOOKUP(B1,Lookup!A:C,3,FALSE)</f>
      </c>
      <c r="D1" s="383" t="s">
        <v>5134</v>
      </c>
      <c r="E1" s="143" t="e">
        <f>CONCATENATE(D1,C1)</f>
      </c>
    </row>
    <row r="2" spans="1:14">
      <c r="C2" s="143" t="e">
        <f>VLOOKUP(B1,Lookup!A:C,2,FALSE)</f>
      </c>
    </row>
    <row r="3" spans="1:14">
      <c r="A3" s="143" t="str">
        <f>[1]Sheet1!A2</f>
      </c>
      <c r="B3" s="384" t="str">
        <f>[1]Sheet1!B2</f>
      </c>
      <c r="C3" s="384" t="str">
        <f>[1]Sheet1!C2</f>
      </c>
      <c r="D3" s="384" t="str">
        <f>[1]Sheet1!D2</f>
      </c>
      <c r="E3" s="384" t="str">
        <f>[1]Sheet1!E2</f>
      </c>
      <c r="F3" s="384" t="str">
        <f>[1]Sheet1!F2</f>
      </c>
      <c r="G3" s="384" t="str">
        <f>[1]Sheet1!G2</f>
      </c>
      <c r="H3" s="384" t="str">
        <f>[1]Sheet1!H2</f>
      </c>
      <c r="I3" s="384" t="str">
        <f>[1]Sheet1!I2</f>
      </c>
      <c r="J3" s="384" t="str">
        <f>[1]Sheet1!J2</f>
      </c>
      <c r="K3" s="384" t="str">
        <f>[1]Sheet1!K2</f>
      </c>
      <c r="L3" s="384" t="str">
        <f>[1]Sheet1!L2</f>
      </c>
      <c r="M3" s="384">
        <f>[1]Sheet1!M2</f>
      </c>
      <c r="N3" s="384">
        <f>[1]Sheet1!N2</f>
      </c>
    </row>
    <row r="4" spans="1:14">
      <c r="A4" s="143" t="str">
        <f>[1]Sheet1!A3</f>
      </c>
      <c r="B4" s="384" t="str">
        <f>[1]Sheet1!B3</f>
      </c>
      <c r="C4" s="384" t="str">
        <f>[1]Sheet1!C3</f>
      </c>
      <c r="D4" s="384" t="str">
        <f>[1]Sheet1!D3</f>
      </c>
      <c r="E4" s="384" t="str">
        <f>[1]Sheet1!E3</f>
      </c>
      <c r="F4" s="384" t="str">
        <f>[1]Sheet1!F3</f>
      </c>
      <c r="G4" s="384" t="str">
        <f>[1]Sheet1!G3</f>
      </c>
      <c r="H4" s="384" t="str">
        <f>[1]Sheet1!H3</f>
      </c>
      <c r="I4" s="384" t="str">
        <f>[1]Sheet1!I3</f>
      </c>
      <c r="J4" s="384" t="str">
        <f>[1]Sheet1!J3</f>
      </c>
      <c r="K4" s="384" t="str">
        <f>[1]Sheet1!K3</f>
      </c>
      <c r="L4" s="384" t="str">
        <f>[1]Sheet1!L3</f>
      </c>
      <c r="M4" s="384">
        <f>[1]Sheet1!M3</f>
      </c>
      <c r="N4" s="384">
        <f>[1]Sheet1!N3</f>
      </c>
    </row>
    <row r="5" spans="1:14">
      <c r="A5" s="143" t="str">
        <f>[1]Sheet1!A4</f>
      </c>
      <c r="B5" s="385">
        <f>[1]Sheet1!B4</f>
      </c>
      <c r="C5" s="385">
        <f>[1]Sheet1!C4</f>
      </c>
      <c r="D5" s="385">
        <f>[1]Sheet1!D4</f>
      </c>
      <c r="E5" s="385">
        <f>[1]Sheet1!E4</f>
      </c>
      <c r="F5" s="385">
        <f>[1]Sheet1!F4</f>
      </c>
      <c r="G5" s="385">
        <f>[1]Sheet1!G4</f>
      </c>
      <c r="H5" s="385">
        <f>[1]Sheet1!H4</f>
      </c>
      <c r="I5" s="385">
        <f>[1]Sheet1!I4</f>
      </c>
      <c r="J5" s="385">
        <f>[1]Sheet1!J4</f>
      </c>
      <c r="K5" s="385">
        <f>[1]Sheet1!K4</f>
      </c>
      <c r="L5" s="385">
        <f>[1]Sheet1!L4</f>
      </c>
      <c r="M5" s="385">
        <f>[1]Sheet1!M4</f>
      </c>
      <c r="N5" s="385">
        <f>[1]Sheet1!N4</f>
      </c>
    </row>
    <row r="6" spans="1:14">
      <c r="A6" s="143" t="str">
        <f>[1]Sheet1!A5</f>
      </c>
      <c r="B6" s="384" t="str">
        <f>[1]Sheet1!B5</f>
      </c>
      <c r="C6" s="384" t="str">
        <f>[1]Sheet1!C5</f>
      </c>
      <c r="D6" s="384" t="str">
        <f>[1]Sheet1!D5</f>
      </c>
      <c r="E6" s="384" t="str">
        <f>[1]Sheet1!E5</f>
      </c>
      <c r="F6" s="384" t="str">
        <f>[1]Sheet1!F5</f>
      </c>
      <c r="G6" s="384" t="str">
        <f>[1]Sheet1!G5</f>
      </c>
      <c r="H6" s="384" t="str">
        <f>[1]Sheet1!H5</f>
      </c>
      <c r="I6" s="384" t="str">
        <f>[1]Sheet1!I5</f>
      </c>
      <c r="J6" s="384" t="str">
        <f>[1]Sheet1!J5</f>
      </c>
      <c r="K6" s="384" t="str">
        <f>[1]Sheet1!K5</f>
      </c>
      <c r="L6" s="384" t="str">
        <f>[1]Sheet1!L5</f>
      </c>
      <c r="M6" s="384">
        <f>[1]Sheet1!M5</f>
      </c>
      <c r="N6" s="384">
        <f>[1]Sheet1!N5</f>
      </c>
    </row>
    <row r="7" spans="1:14">
      <c r="A7" s="143" t="str">
        <f>[1]Sheet1!A6</f>
      </c>
      <c r="B7" s="385">
        <f>[1]Sheet1!B6</f>
      </c>
      <c r="C7" s="385">
        <f>[1]Sheet1!C6</f>
      </c>
      <c r="D7" s="385">
        <f>[1]Sheet1!D6</f>
      </c>
      <c r="E7" s="385">
        <f>[1]Sheet1!E6</f>
      </c>
      <c r="F7" s="385">
        <f>[1]Sheet1!F6</f>
      </c>
      <c r="G7" s="385">
        <f>[1]Sheet1!G6</f>
      </c>
      <c r="H7" s="385">
        <f>[1]Sheet1!H6</f>
      </c>
      <c r="I7" s="385">
        <f>[1]Sheet1!I6</f>
      </c>
      <c r="J7" s="385">
        <f>[1]Sheet1!J6</f>
      </c>
      <c r="K7" s="385">
        <f>[1]Sheet1!K6</f>
      </c>
      <c r="L7" s="385">
        <f>[1]Sheet1!L6</f>
      </c>
      <c r="M7" s="385">
        <f>[1]Sheet1!M6</f>
      </c>
      <c r="N7" s="385">
        <f>[1]Sheet1!N6</f>
      </c>
    </row>
    <row r="8" spans="1:14">
      <c r="A8" s="143" t="str">
        <f>[1]Sheet1!A7</f>
      </c>
      <c r="B8" s="386">
        <f>[1]Sheet1!B7</f>
      </c>
      <c r="C8" s="386">
        <f>[1]Sheet1!C7</f>
      </c>
      <c r="D8" s="386">
        <f>[1]Sheet1!D7</f>
      </c>
      <c r="E8" s="386">
        <f>[1]Sheet1!E7</f>
      </c>
      <c r="F8" s="386">
        <f>[1]Sheet1!F7</f>
      </c>
      <c r="G8" s="386">
        <f>[1]Sheet1!G7</f>
      </c>
      <c r="H8" s="386">
        <f>[1]Sheet1!H7</f>
      </c>
      <c r="I8" s="386">
        <f>[1]Sheet1!I7</f>
      </c>
      <c r="J8" s="386">
        <f>[1]Sheet1!J7</f>
      </c>
      <c r="K8" s="386">
        <f>[1]Sheet1!K7</f>
      </c>
      <c r="L8" s="386">
        <f>[1]Sheet1!L7</f>
      </c>
      <c r="M8" s="386">
        <f>[1]Sheet1!M7</f>
      </c>
      <c r="N8" s="386">
        <f>[1]Sheet1!N7</f>
      </c>
    </row>
    <row r="9" spans="1:14">
      <c r="A9" s="143" t="str">
        <f>[1]Sheet1!A8</f>
      </c>
      <c r="B9" s="384" t="str">
        <f>[1]Sheet1!B8</f>
      </c>
      <c r="C9" s="384" t="str">
        <f>[1]Sheet1!C8</f>
      </c>
      <c r="D9" s="384" t="str">
        <f>[1]Sheet1!D8</f>
      </c>
      <c r="E9" s="384" t="str">
        <f>[1]Sheet1!E8</f>
      </c>
      <c r="F9" s="384" t="str">
        <f>[1]Sheet1!F8</f>
      </c>
      <c r="G9" s="384" t="str">
        <f>[1]Sheet1!G8</f>
      </c>
      <c r="H9" s="384" t="str">
        <f>[1]Sheet1!H8</f>
      </c>
      <c r="I9" s="384" t="str">
        <f>[1]Sheet1!I8</f>
      </c>
      <c r="J9" s="384" t="str">
        <f>[1]Sheet1!J8</f>
      </c>
      <c r="K9" s="384" t="str">
        <f>[1]Sheet1!K8</f>
      </c>
      <c r="L9" s="384" t="str">
        <f>[1]Sheet1!L8</f>
      </c>
      <c r="M9" s="384">
        <f>[1]Sheet1!M8</f>
      </c>
      <c r="N9" s="384">
        <f>[1]Sheet1!N8</f>
      </c>
    </row>
    <row r="10" spans="1:14">
      <c r="A10" s="143" t="str">
        <f>[1]Sheet1!A9</f>
      </c>
      <c r="B10" s="385">
        <f>[1]Sheet1!B9</f>
      </c>
      <c r="C10" s="385">
        <f>[1]Sheet1!C9</f>
      </c>
      <c r="D10" s="385">
        <f>[1]Sheet1!D9</f>
      </c>
      <c r="E10" s="385">
        <f>[1]Sheet1!E9</f>
      </c>
      <c r="F10" s="385">
        <f>[1]Sheet1!F9</f>
      </c>
      <c r="G10" s="385">
        <f>[1]Sheet1!G9</f>
      </c>
      <c r="H10" s="385">
        <f>[1]Sheet1!H9</f>
      </c>
      <c r="I10" s="385">
        <f>[1]Sheet1!I9</f>
      </c>
      <c r="J10" s="385">
        <f>[1]Sheet1!J9</f>
      </c>
      <c r="K10" s="385">
        <f>[1]Sheet1!K9</f>
      </c>
      <c r="L10" s="385">
        <f>[1]Sheet1!L9</f>
      </c>
      <c r="M10" s="385">
        <f>[1]Sheet1!M9</f>
      </c>
      <c r="N10" s="385">
        <f>[1]Sheet1!N9</f>
      </c>
    </row>
    <row r="11" spans="1:14">
      <c r="A11" s="143" t="str">
        <f>[1]Sheet1!A10</f>
      </c>
      <c r="B11" s="386">
        <f>[1]Sheet1!B10</f>
      </c>
      <c r="C11" s="386">
        <f>[1]Sheet1!C10</f>
      </c>
      <c r="D11" s="386">
        <f>[1]Sheet1!D10</f>
      </c>
      <c r="E11" s="386">
        <f>[1]Sheet1!E10</f>
      </c>
      <c r="F11" s="386">
        <f>[1]Sheet1!F10</f>
      </c>
      <c r="G11" s="386">
        <f>[1]Sheet1!G10</f>
      </c>
      <c r="H11" s="386">
        <f>[1]Sheet1!H10</f>
      </c>
      <c r="I11" s="386">
        <f>[1]Sheet1!I10</f>
      </c>
      <c r="J11" s="386">
        <f>[1]Sheet1!J10</f>
      </c>
      <c r="K11" s="386">
        <f>[1]Sheet1!K10</f>
      </c>
      <c r="L11" s="386">
        <f>[1]Sheet1!L10</f>
      </c>
      <c r="M11" s="386">
        <f>[1]Sheet1!M10</f>
      </c>
      <c r="N11" s="386">
        <f>[1]Sheet1!N10</f>
      </c>
    </row>
    <row r="12" spans="1:14">
      <c r="A12" s="143" t="str">
        <f>[1]Sheet1!A11</f>
      </c>
      <c r="B12" s="384">
        <f>[1]Sheet1!B11</f>
      </c>
      <c r="C12" s="384">
        <f>[1]Sheet1!C11</f>
      </c>
      <c r="D12" s="384">
        <f>[1]Sheet1!D11</f>
      </c>
      <c r="E12" s="384">
        <f>[1]Sheet1!E11</f>
      </c>
      <c r="F12" s="384">
        <f>[1]Sheet1!F11</f>
      </c>
      <c r="G12" s="384">
        <f>[1]Sheet1!G11</f>
      </c>
      <c r="H12" s="384">
        <f>[1]Sheet1!H11</f>
      </c>
      <c r="I12" s="384">
        <f>[1]Sheet1!I11</f>
      </c>
      <c r="J12" s="384">
        <f>[1]Sheet1!J11</f>
      </c>
      <c r="K12" s="384">
        <f>[1]Sheet1!K11</f>
      </c>
      <c r="L12" s="384">
        <f>[1]Sheet1!L11</f>
      </c>
      <c r="M12" s="384">
        <f>[1]Sheet1!M11</f>
      </c>
      <c r="N12" s="384">
        <f>[1]Sheet1!N11</f>
      </c>
    </row>
    <row r="13" spans="1:14">
      <c r="A13" s="143" t="str">
        <f>[1]Sheet1!A12</f>
      </c>
      <c r="B13" s="385">
        <f>[1]Sheet1!B12</f>
      </c>
      <c r="C13" s="385">
        <f>[1]Sheet1!C12</f>
      </c>
      <c r="D13" s="385">
        <f>[1]Sheet1!D12</f>
      </c>
      <c r="E13" s="385">
        <f>[1]Sheet1!E12</f>
      </c>
      <c r="F13" s="385">
        <f>[1]Sheet1!F12</f>
      </c>
      <c r="G13" s="385">
        <f>[1]Sheet1!G12</f>
      </c>
      <c r="H13" s="385">
        <f>[1]Sheet1!H12</f>
      </c>
      <c r="I13" s="385">
        <f>[1]Sheet1!I12</f>
      </c>
      <c r="J13" s="385">
        <f>[1]Sheet1!J12</f>
      </c>
      <c r="K13" s="385">
        <f>[1]Sheet1!K12</f>
      </c>
      <c r="L13" s="385">
        <f>[1]Sheet1!L12</f>
      </c>
      <c r="M13" s="385">
        <f>[1]Sheet1!M12</f>
      </c>
      <c r="N13" s="385">
        <f>[1]Sheet1!N12</f>
      </c>
    </row>
    <row r="14" spans="1:14">
      <c r="A14" s="143" t="str">
        <f>[1]Sheet1!A13</f>
      </c>
      <c r="B14" s="384">
        <f>[1]Sheet1!B13</f>
      </c>
      <c r="C14" s="384">
        <f>[1]Sheet1!C13</f>
      </c>
      <c r="D14" s="384">
        <f>[1]Sheet1!D13</f>
      </c>
      <c r="E14" s="384">
        <f>[1]Sheet1!E13</f>
      </c>
      <c r="F14" s="384">
        <f>[1]Sheet1!F13</f>
      </c>
      <c r="G14" s="384">
        <f>[1]Sheet1!G13</f>
      </c>
      <c r="H14" s="384">
        <f>[1]Sheet1!H13</f>
      </c>
      <c r="I14" s="384">
        <f>[1]Sheet1!I13</f>
      </c>
      <c r="J14" s="384">
        <f>[1]Sheet1!J13</f>
      </c>
      <c r="K14" s="384">
        <f>[1]Sheet1!K13</f>
      </c>
      <c r="L14" s="384">
        <f>[1]Sheet1!L13</f>
      </c>
      <c r="M14" s="384">
        <f>[1]Sheet1!M13</f>
      </c>
      <c r="N14" s="384">
        <f>[1]Sheet1!N13</f>
      </c>
    </row>
    <row r="15" spans="1:14">
      <c r="A15" s="143" t="str">
        <f>[1]Sheet1!A14</f>
      </c>
      <c r="B15" s="385">
        <f>[1]Sheet1!B14</f>
      </c>
      <c r="C15" s="385">
        <f>[1]Sheet1!C14</f>
      </c>
      <c r="D15" s="385">
        <f>[1]Sheet1!D14</f>
      </c>
      <c r="E15" s="385">
        <f>[1]Sheet1!E14</f>
      </c>
      <c r="F15" s="385">
        <f>[1]Sheet1!F14</f>
      </c>
      <c r="G15" s="385">
        <f>[1]Sheet1!G14</f>
      </c>
      <c r="H15" s="385">
        <f>[1]Sheet1!H14</f>
      </c>
      <c r="I15" s="385">
        <f>[1]Sheet1!I14</f>
      </c>
      <c r="J15" s="385">
        <f>[1]Sheet1!J14</f>
      </c>
      <c r="K15" s="385">
        <f>[1]Sheet1!K14</f>
      </c>
      <c r="L15" s="385">
        <f>[1]Sheet1!L14</f>
      </c>
      <c r="M15" s="385">
        <f>[1]Sheet1!M14</f>
      </c>
      <c r="N15" s="385">
        <f>[1]Sheet1!N14</f>
      </c>
    </row>
    <row r="16" spans="1:14">
      <c r="A16" s="143" t="str">
        <f>[1]Sheet1!A15</f>
      </c>
      <c r="B16" s="384">
        <f>[1]Sheet1!B15</f>
      </c>
      <c r="C16" s="384">
        <f>[1]Sheet1!C15</f>
      </c>
      <c r="D16" s="384">
        <f>[1]Sheet1!D15</f>
      </c>
      <c r="E16" s="384">
        <f>[1]Sheet1!E15</f>
      </c>
      <c r="F16" s="384">
        <f>[1]Sheet1!F15</f>
      </c>
      <c r="G16" s="384">
        <f>[1]Sheet1!G15</f>
      </c>
      <c r="H16" s="384">
        <f>[1]Sheet1!H15</f>
      </c>
      <c r="I16" s="384">
        <f>[1]Sheet1!I15</f>
      </c>
      <c r="J16" s="384">
        <f>[1]Sheet1!J15</f>
      </c>
      <c r="K16" s="384">
        <f>[1]Sheet1!K15</f>
      </c>
      <c r="L16" s="384">
        <f>[1]Sheet1!L15</f>
      </c>
      <c r="M16" s="384">
        <f>[1]Sheet1!M15</f>
      </c>
      <c r="N16" s="384">
        <f>[1]Sheet1!N15</f>
      </c>
    </row>
    <row r="17" spans="1:14">
      <c r="A17" s="143" t="str">
        <f>[1]Sheet1!A16</f>
      </c>
      <c r="B17" s="384" t="str">
        <f>[1]Sheet1!B16</f>
      </c>
      <c r="C17" s="384">
        <f>[1]Sheet1!C16</f>
      </c>
      <c r="D17" s="384">
        <f>[1]Sheet1!D16</f>
      </c>
      <c r="E17" s="384">
        <f>[1]Sheet1!E16</f>
      </c>
      <c r="F17" s="384">
        <f>[1]Sheet1!F16</f>
      </c>
      <c r="G17" s="384">
        <f>[1]Sheet1!G16</f>
      </c>
      <c r="H17" s="384">
        <f>[1]Sheet1!H16</f>
      </c>
      <c r="I17" s="384">
        <f>[1]Sheet1!I16</f>
      </c>
      <c r="J17" s="384">
        <f>[1]Sheet1!J16</f>
      </c>
      <c r="K17" s="384">
        <f>[1]Sheet1!K16</f>
      </c>
      <c r="L17" s="384">
        <f>[1]Sheet1!L16</f>
      </c>
      <c r="M17" s="384">
        <f>[1]Sheet1!M16</f>
      </c>
      <c r="N17" s="384">
        <f>[1]Sheet1!N16</f>
      </c>
    </row>
    <row r="18" spans="1:14">
      <c r="A18" s="143" t="str">
        <f>[1]Sheet1!A17</f>
      </c>
      <c r="B18" s="385">
        <f>[1]Sheet1!B17</f>
      </c>
      <c r="C18" s="385">
        <f>[1]Sheet1!C17</f>
      </c>
      <c r="D18" s="385">
        <f>[1]Sheet1!D17</f>
      </c>
      <c r="E18" s="385">
        <f>[1]Sheet1!E17</f>
      </c>
      <c r="F18" s="385">
        <f>[1]Sheet1!F17</f>
      </c>
      <c r="G18" s="385">
        <f>[1]Sheet1!G17</f>
      </c>
      <c r="H18" s="385">
        <f>[1]Sheet1!H17</f>
      </c>
      <c r="I18" s="385">
        <f>[1]Sheet1!I17</f>
      </c>
      <c r="J18" s="385">
        <f>[1]Sheet1!J17</f>
      </c>
      <c r="K18" s="385">
        <f>[1]Sheet1!K17</f>
      </c>
      <c r="L18" s="385">
        <f>[1]Sheet1!L17</f>
      </c>
      <c r="M18" s="385">
        <f>[1]Sheet1!M17</f>
      </c>
      <c r="N18" s="385">
        <f>[1]Sheet1!N17</f>
      </c>
    </row>
    <row r="20" spans="1:14">
      <c r="A20" s="143" t="s">
        <v>213</v>
      </c>
      <c r="B20" s="376" t="e">
        <f>B4/Financial!C9-1</f>
      </c>
      <c r="C20" s="376" t="e">
        <f>C4/Financial!D9-1</f>
      </c>
      <c r="D20" s="376" t="e">
        <f>D4/Financial!E9-1</f>
      </c>
      <c r="E20" s="376" t="e">
        <f>E4/Financial!F9-1</f>
      </c>
      <c r="F20" s="376" t="e">
        <f>F4/Financial!G9-1</f>
      </c>
      <c r="G20" s="376">
        <f>G4/Financial!H9-1</f>
      </c>
      <c r="H20" s="376">
        <f>H4/Financial!I9-1</f>
      </c>
      <c r="I20" s="376">
        <f>I4/Financial!J9-1</f>
      </c>
      <c r="J20" s="376">
        <f>J4/Financial!K9-1</f>
      </c>
      <c r="K20" s="376">
        <f>K4/Financial!L9-1</f>
      </c>
      <c r="L20" s="376">
        <f>L4/Financial!M9-1</f>
      </c>
      <c r="M20" s="376">
        <f>M4/Financial!N9-1</f>
      </c>
      <c r="N20" s="376">
        <f>N4/Financial!O9-1</f>
      </c>
    </row>
    <row r="21" spans="1:14">
      <c r="A21" s="143" t="s">
        <v>68</v>
      </c>
      <c r="B21" s="376" t="e">
        <f>B6/Financial!C13-1</f>
      </c>
      <c r="C21" s="376" t="e">
        <f>C6/Financial!D13-1</f>
      </c>
      <c r="D21" s="376" t="e">
        <f>D6/Financial!E13-1</f>
      </c>
      <c r="E21" s="376" t="e">
        <f>E6/Financial!F13-1</f>
      </c>
      <c r="F21" s="376" t="e">
        <f>F6/Financial!G13-1</f>
      </c>
      <c r="G21" s="376">
        <f>G6/Financial!H13-1</f>
      </c>
      <c r="H21" s="376">
        <f>H6/Financial!I13-1</f>
      </c>
      <c r="I21" s="376">
        <f>I6/Financial!J13-1</f>
      </c>
      <c r="J21" s="376">
        <f>J6/Financial!K13-1</f>
      </c>
      <c r="K21" s="376">
        <f>K6/Financial!L13-1</f>
      </c>
      <c r="L21" s="376">
        <f>L6/Financial!M13-1</f>
      </c>
      <c r="M21" s="376">
        <f>M6/Financial!N13-1</f>
      </c>
      <c r="N21" s="376">
        <f>N6/Financial!O13-1</f>
      </c>
    </row>
    <row r="22" spans="1:14">
      <c r="A22" s="143" t="s">
        <v>69</v>
      </c>
      <c r="B22" s="376" t="e">
        <f>B9/Financial!C20-1</f>
      </c>
      <c r="C22" s="376" t="e">
        <f>C9/Financial!D20-1</f>
      </c>
      <c r="D22" s="376" t="e">
        <f>D9/Financial!E20-1</f>
      </c>
      <c r="E22" s="376" t="e">
        <f>E9/Financial!F20-1</f>
      </c>
      <c r="F22" s="376" t="e">
        <f>F9/Financial!G20-1</f>
      </c>
      <c r="G22" s="376">
        <f>G9/Financial!H20-1</f>
      </c>
      <c r="H22" s="376">
        <f>H9/Financial!I20-1</f>
      </c>
      <c r="I22" s="376">
        <f>I9/Financial!J20-1</f>
      </c>
      <c r="J22" s="376">
        <f>J9/Financial!K20-1</f>
      </c>
      <c r="K22" s="376">
        <f>K9/Financial!L20-1</f>
      </c>
      <c r="L22" s="376">
        <f>L9/Financial!M20-1</f>
      </c>
      <c r="M22" s="376">
        <f>M9/Financial!N20-1</f>
      </c>
      <c r="N22" s="376">
        <f>N9/Financial!O20-1</f>
      </c>
    </row>
    <row r="23" spans="1:14">
      <c r="A23" s="143" t="s">
        <v>217</v>
      </c>
      <c r="B23" s="387" t="e">
        <f>B17/Financial!C86-1</f>
      </c>
      <c r="C23" s="387" t="e">
        <f>C17/Financial!D86-1</f>
      </c>
      <c r="D23" s="387" t="e">
        <f>D17/Financial!E86-1</f>
      </c>
      <c r="E23" s="387" t="e">
        <f>E17/Financial!F86-1</f>
      </c>
      <c r="F23" s="387" t="e">
        <f>F17/Financial!G86-1</f>
      </c>
      <c r="G23" s="387">
        <f>G17/Financial!H86-1</f>
      </c>
      <c r="H23" s="387">
        <f>H17/Financial!I86-1</f>
      </c>
      <c r="I23" s="387">
        <f>I17/Financial!J86-1</f>
      </c>
      <c r="J23" s="387">
        <f>J17/Financial!K86-1</f>
      </c>
      <c r="K23" s="387">
        <f>K17/Financial!L86-1</f>
      </c>
      <c r="L23" s="387">
        <f>L17/Financial!M86-1</f>
      </c>
      <c r="M23" s="387">
        <f>M17/Financial!N86-1</f>
      </c>
      <c r="N23" s="387">
        <f>N17/Financial!O86-1</f>
      </c>
    </row>
  </sheetData>
  <sheetProtection selectLockedCells="1"/>
  <conditionalFormatting sqref="L20:N23">
    <cfRule type="cellIs" dxfId="3" priority="1" operator="lessThan">
      <formula>0</formula>
    </cfRule>
    <cfRule type="colorScale" priority="2">
      <colorScale>
        <cfvo type="min"/>
        <cfvo type="max"/>
        <color rgb="FFF8696B"/>
        <color rgb="FFFCFCFF"/>
      </colorScale>
    </cfRule>
  </conditionalFormatting>
  <hyperlinks>
    <hyperlink ref="D1" r:id="rId1" xr:uid="{EA00E6AE-D7C7-4D9C-AB35-2E506C623DDC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C8" sqref="C8"/>
    </sheetView>
  </sheetViews>
  <sheetFormatPr defaultColWidth="8.85546875" defaultRowHeight="15"/>
  <cols>
    <col min="1" max="1" width="8.85546875" style="3"/>
    <col min="2" max="2" width="10.42578125" customWidth="1"/>
    <col min="3" max="3" width="13.42578125" style="9" customWidth="1"/>
    <col min="6" max="6" width="6.85546875" customWidth="1"/>
  </cols>
  <sheetData>
    <row r="1" spans="1:7" ht="21">
      <c r="A1" s="8" t="s">
        <v>39</v>
      </c>
    </row>
    <row r="3" spans="1:7">
      <c r="A3" s="3" t="s">
        <v>30</v>
      </c>
    </row>
    <row r="4" spans="1:7">
      <c r="B4" t="s">
        <v>65</v>
      </c>
    </row>
    <row r="5" spans="1:7">
      <c r="B5" t="s">
        <v>31</v>
      </c>
    </row>
    <row r="7" spans="1:7">
      <c r="A7" s="3" t="s">
        <v>32</v>
      </c>
    </row>
    <row r="8" spans="1:7">
      <c r="B8" t="s">
        <v>33</v>
      </c>
      <c r="C8" s="10" t="s">
        <v>66</v>
      </c>
    </row>
    <row r="10" spans="1:7">
      <c r="A10" s="3" t="s">
        <v>34</v>
      </c>
    </row>
    <row r="11" spans="1:7">
      <c r="B11" t="s">
        <v>35</v>
      </c>
    </row>
    <row r="14" spans="1:7">
      <c r="A14" s="3" t="s">
        <v>36</v>
      </c>
    </row>
    <row r="15" spans="1:7">
      <c r="B15" t="s">
        <v>37</v>
      </c>
    </row>
    <row r="16" spans="1:7">
      <c r="B16" t="s">
        <v>38</v>
      </c>
      <c r="G16" s="11" t="s">
        <v>67</v>
      </c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K93"/>
  <sheetViews>
    <sheetView zoomScale="85" zoomScaleNormal="85" zoomScalePageLayoutView="120" workbookViewId="0">
      <pane xSplit="1" ySplit="1" topLeftCell="B2" activePane="bottomRight" state="frozen"/>
      <selection activeCell="C8" sqref="C8"/>
      <selection pane="topRight" activeCell="C8" sqref="C8"/>
      <selection pane="bottomLeft" activeCell="C8" sqref="C8"/>
      <selection pane="bottomRight" activeCell="A6" sqref="A6"/>
    </sheetView>
  </sheetViews>
  <sheetFormatPr defaultColWidth="8.85546875" defaultRowHeight="15"/>
  <cols>
    <col min="1" max="1" width="27.5703125" style="2" bestFit="1" customWidth="1"/>
    <col min="2" max="11" width="13.42578125" style="2" bestFit="1" customWidth="1"/>
    <col min="12" max="16384" width="8.85546875" style="2"/>
  </cols>
  <sheetData>
    <row r="1" spans="1:11" s="1" customFormat="1">
      <c r="A1" s="1" t="s">
        <v>0</v>
      </c>
      <c r="B1" s="1" t="s">
        <v>43</v>
      </c>
      <c r="E1" s="436" t="str">
        <f>IF(B2&lt;&gt;B3, "A NEW VERSION OF THE WORKSHEET IS AVAILABLE", "")</f>
      </c>
      <c r="F1" s="436"/>
      <c r="G1" s="436"/>
      <c r="H1" s="436"/>
      <c r="I1" s="436"/>
      <c r="J1" s="436"/>
      <c r="K1" s="436"/>
    </row>
    <row r="2" spans="1:11">
      <c r="A2" s="1" t="s">
        <v>41</v>
      </c>
      <c r="B2" s="2">
        <v>2.1</v>
      </c>
      <c r="E2" s="437" t="s">
        <v>21</v>
      </c>
      <c r="F2" s="437"/>
      <c r="G2" s="437"/>
      <c r="H2" s="437"/>
      <c r="I2" s="437"/>
      <c r="J2" s="437"/>
      <c r="K2" s="437"/>
    </row>
    <row r="3" spans="1:11">
      <c r="A3" s="1" t="s">
        <v>42</v>
      </c>
      <c r="B3" s="2">
        <v>2.1</v>
      </c>
    </row>
    <row r="4" spans="1:11">
      <c r="A4" s="1"/>
    </row>
    <row r="5" spans="1:11">
      <c r="A5" s="1" t="s">
        <v>44</v>
      </c>
    </row>
    <row r="6" spans="1:11">
      <c r="A6" s="2" t="s">
        <v>27</v>
      </c>
      <c r="B6" s="2">
        <f>IF(B9&gt;0, B9/B8, 0)</f>
      </c>
    </row>
    <row r="7" spans="1:11">
      <c r="A7" s="2" t="s">
        <v>16</v>
      </c>
      <c r="B7">
        <v>1.00</v>
      </c>
    </row>
    <row r="8" spans="1:11">
      <c r="A8" s="2" t="s">
        <v>28</v>
      </c>
      <c r="B8">
        <v>829.10</v>
      </c>
    </row>
    <row r="9" spans="1:11">
      <c r="A9" s="2" t="s">
        <v>54</v>
      </c>
      <c r="B9">
        <v>23016.15</v>
      </c>
    </row>
    <row r="15" spans="1:11">
      <c r="A15" s="1" t="s">
        <v>22</v>
      </c>
    </row>
    <row r="16" spans="1:11" s="7" customFormat="1">
      <c r="A16" s="6" t="s">
        <v>23</v>
      </c>
      <c r="B16" s="5">
        <v>42460.0</v>
      </c>
      <c r="C16" s="5">
        <v>42825.0</v>
      </c>
      <c r="D16" s="5">
        <v>43190.0</v>
      </c>
      <c r="E16" s="5">
        <v>43555.0</v>
      </c>
      <c r="F16" s="5">
        <v>43921.0</v>
      </c>
      <c r="G16" s="5">
        <v>44286.0</v>
      </c>
      <c r="H16" s="5">
        <v>44651.0</v>
      </c>
      <c r="I16" s="5">
        <v>45016.0</v>
      </c>
      <c r="J16" s="5">
        <v>45382.0</v>
      </c>
      <c r="K16" s="5">
        <v>45747.0</v>
      </c>
    </row>
    <row r="17" spans="1:11" s="4" customFormat="1">
      <c r="A17" s="4" t="s">
        <v>1</v>
      </c>
      <c r="B17">
        <v>1298.57</v>
      </c>
      <c r="C17">
        <v>1414.47</v>
      </c>
      <c r="D17">
        <v>1603.01</v>
      </c>
      <c r="E17">
        <v>1265.88</v>
      </c>
      <c r="F17">
        <v>1091.78</v>
      </c>
      <c r="G17">
        <v>912.04</v>
      </c>
      <c r="H17">
        <v>1236.21</v>
      </c>
      <c r="I17">
        <v>1368.68</v>
      </c>
      <c r="J17">
        <v>2233.36</v>
      </c>
      <c r="K17">
        <v>1967.2</v>
      </c>
    </row>
    <row r="18" spans="1:11" s="4" customFormat="1">
      <c r="A18" s="2" t="s">
        <v>55</v>
      </c>
      <c r="B18">
        <v>770.36</v>
      </c>
      <c r="C18">
        <v>898.26</v>
      </c>
      <c r="D18">
        <v>1029.99</v>
      </c>
      <c r="E18">
        <v>809.02</v>
      </c>
      <c r="F18">
        <v>677.72</v>
      </c>
      <c r="G18">
        <v>555.67</v>
      </c>
      <c r="H18">
        <v>760.64</v>
      </c>
      <c r="I18">
        <v>832.09</v>
      </c>
      <c r="J18">
        <v>1208.52</v>
      </c>
      <c r="K18">
        <v>997.16</v>
      </c>
    </row>
    <row r="19" spans="1:11" s="4" customFormat="1">
      <c r="A19" s="2" t="s">
        <v>56</v>
      </c>
      <c r="B19">
        <v>-9.75</v>
      </c>
      <c r="C19">
        <v>12.09</v>
      </c>
      <c r="D19">
        <v>-34.88</v>
      </c>
      <c r="E19">
        <v>-6.67</v>
      </c>
      <c r="F19">
        <v>-9.53</v>
      </c>
      <c r="G19">
        <v>-7.29</v>
      </c>
      <c r="H19">
        <v>7.48</v>
      </c>
      <c r="I19">
        <v>-0.64</v>
      </c>
      <c r="J19">
        <v>58.79</v>
      </c>
      <c r="K19">
        <v>26.29</v>
      </c>
    </row>
    <row r="20" spans="1:11" s="4" customFormat="1">
      <c r="A20" s="2" t="s">
        <v>57</v>
      </c>
      <c r="B20">
        <v>51.62</v>
      </c>
      <c r="C20">
        <v>52.81</v>
      </c>
      <c r="D20">
        <v>61.88</v>
      </c>
      <c r="E20">
        <v>53.55</v>
      </c>
      <c r="F20">
        <v>45.64</v>
      </c>
      <c r="G20">
        <v>36.53</v>
      </c>
      <c r="H20">
        <v>42.44</v>
      </c>
      <c r="I20">
        <v>49.02</v>
      </c>
      <c r="J20">
        <v>62.17</v>
      </c>
      <c r="K20">
        <v>65.91</v>
      </c>
    </row>
    <row r="21" spans="1:11" s="4" customFormat="1">
      <c r="A21" s="2" t="s">
        <v>58</v>
      </c>
      <c r="B21">
        <v>116.46</v>
      </c>
      <c r="C21">
        <v>123.38</v>
      </c>
      <c r="D21">
        <v>132.4</v>
      </c>
      <c r="E21">
        <v>104.71</v>
      </c>
      <c r="F21">
        <v>97.6</v>
      </c>
      <c r="G21">
        <v>88.08</v>
      </c>
      <c r="H21">
        <v>111.08</v>
      </c>
      <c r="I21">
        <v>119.89</v>
      </c>
      <c r="J21">
        <v>298.95</v>
      </c>
      <c r="K21">
        <v>219.25</v>
      </c>
    </row>
    <row r="22" spans="1:11" s="4" customFormat="1">
      <c r="A22" s="2" t="s">
        <v>59</v>
      </c>
      <c r="B22">
        <v>103.81</v>
      </c>
      <c r="C22">
        <v>99.68</v>
      </c>
      <c r="D22">
        <v>97.96</v>
      </c>
      <c r="E22">
        <v>87.45</v>
      </c>
      <c r="F22">
        <v>90.7</v>
      </c>
      <c r="G22">
        <v>82.18</v>
      </c>
      <c r="H22">
        <v>99.91</v>
      </c>
      <c r="I22">
        <v>110.38</v>
      </c>
      <c r="J22">
        <v>157.62</v>
      </c>
      <c r="K22">
        <v>179.05</v>
      </c>
    </row>
    <row r="23" spans="1:11" s="4" customFormat="1">
      <c r="A23" s="2" t="s">
        <v>60</v>
      </c>
      <c r="B23">
        <v>82.64</v>
      </c>
      <c r="C23">
        <v>93.49</v>
      </c>
      <c r="D23">
        <v>91.83</v>
      </c>
      <c r="E23">
        <v>86.31</v>
      </c>
      <c r="F23">
        <v>72.11</v>
      </c>
      <c r="G23">
        <v>54.54</v>
      </c>
      <c r="H23">
        <v>67.22</v>
      </c>
      <c r="I23">
        <v>79.48</v>
      </c>
      <c r="J23">
        <v>110.31</v>
      </c>
      <c r="K23">
        <v>103.09</v>
      </c>
    </row>
    <row r="24" spans="1:11" s="4" customFormat="1">
      <c r="A24" s="2" t="s">
        <v>61</v>
      </c>
      <c r="B24">
        <v>29.43</v>
      </c>
      <c r="C24">
        <v>30.34</v>
      </c>
      <c r="D24">
        <v>28.14</v>
      </c>
      <c r="E24">
        <v>20.99</v>
      </c>
      <c r="F24">
        <v>17.94</v>
      </c>
      <c r="G24">
        <v>20.38</v>
      </c>
      <c r="H24">
        <v>23.41</v>
      </c>
      <c r="I24">
        <v>25.74</v>
      </c>
      <c r="J24">
        <v>31.12</v>
      </c>
      <c r="K24">
        <v>36.26</v>
      </c>
    </row>
    <row r="25" spans="1:11" s="4" customFormat="1">
      <c r="A25" s="4" t="s">
        <v>4</v>
      </c>
      <c r="B25">
        <v>11.59</v>
      </c>
      <c r="C25">
        <v>20.51</v>
      </c>
      <c r="D25">
        <v>15.96</v>
      </c>
      <c r="E25">
        <v>20.74</v>
      </c>
      <c r="F25">
        <v>22.5</v>
      </c>
      <c r="G25">
        <v>5.57</v>
      </c>
      <c r="H25">
        <v>25.98</v>
      </c>
      <c r="I25">
        <v>20.37</v>
      </c>
      <c r="J25">
        <v>7.52</v>
      </c>
      <c r="K25">
        <v>38.29</v>
      </c>
    </row>
    <row r="26" spans="1:11" s="4" customFormat="1">
      <c r="A26" s="4" t="s">
        <v>5</v>
      </c>
      <c r="B26">
        <v>50.68</v>
      </c>
      <c r="C26">
        <v>48.5</v>
      </c>
      <c r="D26">
        <v>46.17</v>
      </c>
      <c r="E26">
        <v>44.48</v>
      </c>
      <c r="F26">
        <v>40.75</v>
      </c>
      <c r="G26">
        <v>38.81</v>
      </c>
      <c r="H26">
        <v>35.08</v>
      </c>
      <c r="I26">
        <v>35.46</v>
      </c>
      <c r="J26">
        <v>41.26</v>
      </c>
      <c r="K26">
        <v>44.19</v>
      </c>
    </row>
    <row r="27" spans="1:11" s="4" customFormat="1">
      <c r="A27" s="4" t="s">
        <v>6</v>
      </c>
      <c r="B27">
        <v>68.42</v>
      </c>
      <c r="C27">
        <v>46.27</v>
      </c>
      <c r="D27">
        <v>40.67</v>
      </c>
      <c r="E27">
        <v>30.64</v>
      </c>
      <c r="F27">
        <v>22.2</v>
      </c>
      <c r="G27">
        <v>14.71</v>
      </c>
      <c r="H27">
        <v>7.48</v>
      </c>
      <c r="I27">
        <v>6.55</v>
      </c>
      <c r="J27">
        <v>12.94</v>
      </c>
      <c r="K27">
        <v>13.02</v>
      </c>
    </row>
    <row r="28" spans="1:11" s="4" customFormat="1">
      <c r="A28" s="4" t="s">
        <v>7</v>
      </c>
      <c r="B28">
        <v>26.99</v>
      </c>
      <c r="C28">
        <v>54.34</v>
      </c>
      <c r="D28">
        <v>55.05</v>
      </c>
      <c r="E28">
        <v>42.8</v>
      </c>
      <c r="F28">
        <v>40.09</v>
      </c>
      <c r="G28">
        <v>19.42</v>
      </c>
      <c r="H28">
        <v>122.41</v>
      </c>
      <c r="I28">
        <v>129.8</v>
      </c>
      <c r="J28">
        <v>376.78</v>
      </c>
      <c r="K28">
        <v>373.85</v>
      </c>
    </row>
    <row r="29" spans="1:11" s="4" customFormat="1">
      <c r="A29" s="4" t="s">
        <v>8</v>
      </c>
      <c r="B29">
        <v>12.16</v>
      </c>
      <c r="C29">
        <v>15.95</v>
      </c>
      <c r="D29">
        <v>23.37</v>
      </c>
      <c r="E29">
        <v>15.07</v>
      </c>
      <c r="F29">
        <v>13.87</v>
      </c>
      <c r="G29">
        <v>5.7</v>
      </c>
      <c r="H29">
        <v>28.69</v>
      </c>
      <c r="I29">
        <v>31.36</v>
      </c>
      <c r="J29">
        <v>96.43</v>
      </c>
      <c r="K29">
        <v>97.37</v>
      </c>
    </row>
    <row r="30" spans="1:11" s="4" customFormat="1">
      <c r="A30" s="4" t="s">
        <v>9</v>
      </c>
      <c r="B30">
        <v>14.9</v>
      </c>
      <c r="C30">
        <v>38.66</v>
      </c>
      <c r="D30">
        <v>31.63</v>
      </c>
      <c r="E30">
        <v>27.73</v>
      </c>
      <c r="F30">
        <v>26.22</v>
      </c>
      <c r="G30">
        <v>13.73</v>
      </c>
      <c r="H30">
        <v>93.9</v>
      </c>
      <c r="I30">
        <v>98.65</v>
      </c>
      <c r="J30">
        <v>280.89</v>
      </c>
      <c r="K30">
        <v>276.92</v>
      </c>
    </row>
    <row r="31" spans="1:11" s="4" customFormat="1">
      <c r="A31" s="4" t="s">
        <v>45</v>
      </c>
      <c r="B31">
        <v>6.32</v>
      </c>
      <c r="C31">
        <v>6.93</v>
      </c>
      <c r="D31">
        <v>6.93</v>
      </c>
      <c r="E31">
        <v>8.32</v>
      </c>
      <c r="F31">
        <v>8.32</v>
      </c>
      <c r="G31">
        <v>9.7</v>
      </c>
      <c r="H31">
        <v>11.09</v>
      </c>
      <c r="I31">
        <v>12.47</v>
      </c>
      <c r="J31">
        <v>13.86</v>
      </c>
      <c r="K31">
        <v>27.72</v>
      </c>
    </row>
    <row r="32" spans="1:11" s="4" customFormat="1"/>
    <row r="33" spans="1:11">
      <c r="A33" s="4"/>
    </row>
    <row r="34" spans="1:11">
      <c r="A34" s="4"/>
    </row>
    <row r="35" spans="1:11">
      <c r="A35" s="4"/>
    </row>
    <row r="36" spans="1:11">
      <c r="A36" s="4"/>
    </row>
    <row r="37" spans="1:11">
      <c r="A37" s="4"/>
    </row>
    <row r="38" spans="1:11">
      <c r="A38" s="4"/>
    </row>
    <row r="39" spans="1:11">
      <c r="A39" s="4"/>
    </row>
    <row r="40" spans="1:11">
      <c r="A40" s="1" t="s">
        <v>24</v>
      </c>
    </row>
    <row r="41" spans="1:11" s="7" customFormat="1">
      <c r="A41" s="6" t="s">
        <v>23</v>
      </c>
      <c r="B41" s="5">
        <v>45199.0</v>
      </c>
      <c r="C41" s="5">
        <v>45291.0</v>
      </c>
      <c r="D41" s="5">
        <v>45382.0</v>
      </c>
      <c r="E41" s="5">
        <v>45473.0</v>
      </c>
      <c r="F41" s="5">
        <v>45565.0</v>
      </c>
      <c r="G41" s="5">
        <v>45657.0</v>
      </c>
      <c r="H41" s="5">
        <v>45747.0</v>
      </c>
      <c r="I41" s="5">
        <v>45838.0</v>
      </c>
      <c r="J41" s="5">
        <v>45930.0</v>
      </c>
      <c r="K41" s="5">
        <v>46022.0</v>
      </c>
    </row>
    <row r="42" spans="1:11" s="4" customFormat="1">
      <c r="A42" s="4" t="s">
        <v>1</v>
      </c>
      <c r="B42">
        <v>556.58</v>
      </c>
      <c r="C42">
        <v>599.26</v>
      </c>
      <c r="D42">
        <v>610.09</v>
      </c>
      <c r="E42">
        <v>520.11</v>
      </c>
      <c r="F42">
        <v>520.96</v>
      </c>
      <c r="G42">
        <v>450.56</v>
      </c>
      <c r="H42">
        <v>475.58</v>
      </c>
      <c r="I42">
        <v>601.77</v>
      </c>
      <c r="J42">
        <v>1222.9</v>
      </c>
      <c r="K42">
        <v>874.04</v>
      </c>
    </row>
    <row r="43" spans="1:11" s="4" customFormat="1">
      <c r="A43" s="4" t="s">
        <v>2</v>
      </c>
      <c r="B43">
        <v>455.74</v>
      </c>
      <c r="C43">
        <v>486.06</v>
      </c>
      <c r="D43">
        <v>478.6</v>
      </c>
      <c r="E43">
        <v>409.64</v>
      </c>
      <c r="F43">
        <v>412.42</v>
      </c>
      <c r="G43">
        <v>357.0</v>
      </c>
      <c r="H43">
        <v>396.09</v>
      </c>
      <c r="I43">
        <v>409.9</v>
      </c>
      <c r="J43">
        <v>678.85</v>
      </c>
      <c r="K43">
        <v>571.64</v>
      </c>
    </row>
    <row r="44" spans="1:11" s="4" customFormat="1">
      <c r="A44" s="4" t="s">
        <v>4</v>
      </c>
      <c r="B44">
        <v>3.25</v>
      </c>
      <c r="C44">
        <v>2.44</v>
      </c>
      <c r="D44">
        <v>-18.6</v>
      </c>
      <c r="E44">
        <v>5.44</v>
      </c>
      <c r="F44">
        <v>12.42</v>
      </c>
      <c r="G44">
        <v>1.5</v>
      </c>
      <c r="H44">
        <v>5.74</v>
      </c>
      <c r="I44">
        <v>16.53</v>
      </c>
      <c r="J44">
        <v>-8.07</v>
      </c>
      <c r="K44">
        <v>9.57</v>
      </c>
    </row>
    <row r="45" spans="1:11" s="4" customFormat="1">
      <c r="A45" s="4" t="s">
        <v>5</v>
      </c>
      <c r="B45">
        <v>10.01</v>
      </c>
      <c r="C45">
        <v>10.84</v>
      </c>
      <c r="D45">
        <v>10.9</v>
      </c>
      <c r="E45">
        <v>10.83</v>
      </c>
      <c r="F45">
        <v>11.26</v>
      </c>
      <c r="G45">
        <v>11.19</v>
      </c>
      <c r="H45">
        <v>10.91</v>
      </c>
      <c r="I45">
        <v>11.54</v>
      </c>
      <c r="J45">
        <v>12.16</v>
      </c>
      <c r="K45">
        <v>12.29</v>
      </c>
    </row>
    <row r="46" spans="1:11" s="4" customFormat="1">
      <c r="A46" s="4" t="s">
        <v>6</v>
      </c>
      <c r="B46">
        <v>3.4</v>
      </c>
      <c r="C46">
        <v>3.28</v>
      </c>
      <c r="D46">
        <v>4.17</v>
      </c>
      <c r="E46">
        <v>1.89</v>
      </c>
      <c r="F46">
        <v>2.79</v>
      </c>
      <c r="G46">
        <v>4.65</v>
      </c>
      <c r="H46">
        <v>3.69</v>
      </c>
      <c r="I46">
        <v>6.35</v>
      </c>
      <c r="J46">
        <v>3.46</v>
      </c>
      <c r="K46">
        <v>2.59</v>
      </c>
    </row>
    <row r="47" spans="1:11" s="4" customFormat="1">
      <c r="A47" s="4" t="s">
        <v>7</v>
      </c>
      <c r="B47">
        <v>90.68</v>
      </c>
      <c r="C47">
        <v>101.52</v>
      </c>
      <c r="D47">
        <v>97.82</v>
      </c>
      <c r="E47">
        <v>103.19</v>
      </c>
      <c r="F47">
        <v>106.91</v>
      </c>
      <c r="G47">
        <v>79.22</v>
      </c>
      <c r="H47">
        <v>70.63</v>
      </c>
      <c r="I47">
        <v>190.51</v>
      </c>
      <c r="J47">
        <v>520.36</v>
      </c>
      <c r="K47">
        <v>297.09</v>
      </c>
    </row>
    <row r="48" spans="1:11" s="4" customFormat="1">
      <c r="A48" s="4" t="s">
        <v>8</v>
      </c>
      <c r="B48">
        <v>23.52</v>
      </c>
      <c r="C48">
        <v>23.07</v>
      </c>
      <c r="D48">
        <v>32.29</v>
      </c>
      <c r="E48">
        <v>27.33</v>
      </c>
      <c r="F48">
        <v>30.9</v>
      </c>
      <c r="G48">
        <v>20.83</v>
      </c>
      <c r="H48">
        <v>18.31</v>
      </c>
      <c r="I48">
        <v>49.29</v>
      </c>
      <c r="J48">
        <v>133.08</v>
      </c>
      <c r="K48">
        <v>79.53</v>
      </c>
    </row>
    <row r="49" spans="1:11" s="4" customFormat="1">
      <c r="A49" s="4" t="s">
        <v>9</v>
      </c>
      <c r="B49">
        <v>68.67</v>
      </c>
      <c r="C49">
        <v>79.04</v>
      </c>
      <c r="D49">
        <v>81.45</v>
      </c>
      <c r="E49">
        <v>80.09</v>
      </c>
      <c r="F49">
        <v>87.26</v>
      </c>
      <c r="G49">
        <v>64.61</v>
      </c>
      <c r="H49">
        <v>44.96</v>
      </c>
      <c r="I49">
        <v>143.27</v>
      </c>
      <c r="J49">
        <v>387.27</v>
      </c>
      <c r="K49">
        <v>220.6</v>
      </c>
    </row>
    <row r="50" spans="1:11">
      <c r="A50" s="4" t="s">
        <v>3</v>
      </c>
      <c r="B50">
        <v>100.84</v>
      </c>
      <c r="C50">
        <v>113.2</v>
      </c>
      <c r="D50">
        <v>131.49</v>
      </c>
      <c r="E50">
        <v>110.47</v>
      </c>
      <c r="F50">
        <v>108.54</v>
      </c>
      <c r="G50">
        <v>93.56</v>
      </c>
      <c r="H50">
        <v>79.49</v>
      </c>
      <c r="I50">
        <v>191.87</v>
      </c>
      <c r="J50">
        <v>544.05</v>
      </c>
      <c r="K50">
        <v>302.4</v>
      </c>
    </row>
    <row r="51" spans="1:11">
      <c r="A51" s="4"/>
    </row>
    <row r="52" spans="1:11">
      <c r="A52" s="4"/>
    </row>
    <row r="53" spans="1:11">
      <c r="A53" s="4"/>
    </row>
    <row r="54" spans="1:11">
      <c r="A54" s="4"/>
    </row>
    <row r="55" spans="1:11">
      <c r="A55" s="1" t="s">
        <v>25</v>
      </c>
    </row>
    <row r="56" spans="1:11" s="7" customFormat="1">
      <c r="A56" s="6" t="s">
        <v>23</v>
      </c>
      <c r="B56" s="5">
        <v>42460.0</v>
      </c>
      <c r="C56" s="5">
        <v>42825.0</v>
      </c>
      <c r="D56" s="5">
        <v>43190.0</v>
      </c>
      <c r="E56" s="5">
        <v>43555.0</v>
      </c>
      <c r="F56" s="5">
        <v>43921.0</v>
      </c>
      <c r="G56" s="5">
        <v>44286.0</v>
      </c>
      <c r="H56" s="5">
        <v>44651.0</v>
      </c>
      <c r="I56" s="5">
        <v>45016.0</v>
      </c>
      <c r="J56" s="5">
        <v>45382.0</v>
      </c>
      <c r="K56" s="5">
        <v>45747.0</v>
      </c>
    </row>
    <row r="57" spans="1:11">
      <c r="A57" s="4" t="s">
        <v>10</v>
      </c>
      <c r="B57">
        <v>25.3</v>
      </c>
      <c r="C57">
        <v>27.72</v>
      </c>
      <c r="D57">
        <v>27.72</v>
      </c>
      <c r="E57">
        <v>27.72</v>
      </c>
      <c r="F57">
        <v>27.72</v>
      </c>
      <c r="G57">
        <v>27.72</v>
      </c>
      <c r="H57">
        <v>27.72</v>
      </c>
      <c r="I57">
        <v>27.72</v>
      </c>
      <c r="J57">
        <v>27.72</v>
      </c>
      <c r="K57">
        <v>27.72</v>
      </c>
    </row>
    <row r="58" spans="1:11">
      <c r="A58" s="4" t="s">
        <v>11</v>
      </c>
      <c r="B58">
        <v>583.81</v>
      </c>
      <c r="C58">
        <v>701.4</v>
      </c>
      <c r="D58">
        <v>723.97</v>
      </c>
      <c r="E58">
        <v>738.51</v>
      </c>
      <c r="F58">
        <v>745.15</v>
      </c>
      <c r="G58">
        <v>754.33</v>
      </c>
      <c r="H58">
        <v>838.04</v>
      </c>
      <c r="I58">
        <v>923.73</v>
      </c>
      <c r="J58">
        <v>1192.82</v>
      </c>
      <c r="K58">
        <v>1455.03</v>
      </c>
    </row>
    <row r="59" spans="1:11">
      <c r="A59" s="4" t="s">
        <v>46</v>
      </c>
      <c r="B59">
        <v>548.9</v>
      </c>
      <c r="C59">
        <v>479.03</v>
      </c>
      <c r="D59">
        <v>366.28</v>
      </c>
      <c r="E59">
        <v>232.1</v>
      </c>
      <c r="F59">
        <v>160.96</v>
      </c>
      <c r="G59">
        <v>69.94</v>
      </c>
      <c r="H59">
        <v>62.61</v>
      </c>
      <c r="I59">
        <v>86.02</v>
      </c>
      <c r="J59">
        <v>67.46</v>
      </c>
      <c r="K59">
        <v>74.3</v>
      </c>
    </row>
    <row r="60" spans="1:11">
      <c r="A60" s="4" t="s">
        <v>47</v>
      </c>
      <c r="B60">
        <v>276.89</v>
      </c>
      <c r="C60">
        <v>258.38</v>
      </c>
      <c r="D60">
        <v>223.55</v>
      </c>
      <c r="E60">
        <v>162.38</v>
      </c>
      <c r="F60">
        <v>168.69</v>
      </c>
      <c r="G60">
        <v>184.27</v>
      </c>
      <c r="H60">
        <v>204.24</v>
      </c>
      <c r="I60">
        <v>256.72</v>
      </c>
      <c r="J60">
        <v>366.1</v>
      </c>
      <c r="K60">
        <v>422.45</v>
      </c>
    </row>
    <row r="61" spans="1:11" s="1" customFormat="1">
      <c r="A61" s="1" t="s">
        <v>12</v>
      </c>
      <c r="B61">
        <v>1434.9</v>
      </c>
      <c r="C61">
        <v>1466.53</v>
      </c>
      <c r="D61">
        <v>1341.52</v>
      </c>
      <c r="E61">
        <v>1160.71</v>
      </c>
      <c r="F61">
        <v>1102.52</v>
      </c>
      <c r="G61">
        <v>1036.26</v>
      </c>
      <c r="H61">
        <v>1132.61</v>
      </c>
      <c r="I61">
        <v>1294.19</v>
      </c>
      <c r="J61">
        <v>1654.1</v>
      </c>
      <c r="K61">
        <v>1979.5</v>
      </c>
    </row>
    <row r="62" spans="1:11">
      <c r="A62" s="4" t="s">
        <v>13</v>
      </c>
      <c r="B62">
        <v>415.4</v>
      </c>
      <c r="C62">
        <v>416.88</v>
      </c>
      <c r="D62">
        <v>363.43</v>
      </c>
      <c r="E62">
        <v>320.7</v>
      </c>
      <c r="F62">
        <v>303.69</v>
      </c>
      <c r="G62">
        <v>279.01</v>
      </c>
      <c r="H62">
        <v>264.51</v>
      </c>
      <c r="I62">
        <v>320.4</v>
      </c>
      <c r="J62">
        <v>354.24</v>
      </c>
      <c r="K62">
        <v>396.63</v>
      </c>
    </row>
    <row r="63" spans="1:11">
      <c r="A63" s="4" t="s">
        <v>14</v>
      </c>
      <c r="B63">
        <v>48.07</v>
      </c>
      <c r="C63">
        <v>33.36</v>
      </c>
      <c r="D63">
        <v>26.01</v>
      </c>
      <c r="E63">
        <v>37.21</v>
      </c>
      <c r="F63">
        <v>26.96</v>
      </c>
      <c r="G63">
        <v>42.86</v>
      </c>
      <c r="H63">
        <v>81.33</v>
      </c>
      <c r="I63">
        <v>50.09</v>
      </c>
      <c r="J63">
        <v>20.4</v>
      </c>
      <c r="K63">
        <v>68.18</v>
      </c>
    </row>
    <row r="64" spans="1:11">
      <c r="A64" s="4" t="s">
        <v>15</v>
      </c>
      <c r="B64">
        <v>7.7</v>
      </c>
      <c r="C64">
        <v>7.85</v>
      </c>
      <c r="D64">
        <v>4.73</v>
      </c>
      <c r="E64">
        <v>5.31</v>
      </c>
      <c r="F64">
        <v>6.06</v>
      </c>
      <c r="G64">
        <v>7.07</v>
      </c>
      <c r="H64">
        <v>7.73</v>
      </c>
      <c r="I64">
        <v>8.73</v>
      </c>
      <c r="J64">
        <v>108.22</v>
      </c>
      <c r="K64">
        <v>289.57</v>
      </c>
    </row>
    <row r="65" spans="1:11">
      <c r="A65" s="4" t="s">
        <v>48</v>
      </c>
      <c r="B65">
        <v>963.73</v>
      </c>
      <c r="C65">
        <v>1008.44</v>
      </c>
      <c r="D65">
        <v>947.35</v>
      </c>
      <c r="E65">
        <v>797.49</v>
      </c>
      <c r="F65">
        <v>765.81</v>
      </c>
      <c r="G65">
        <v>707.32</v>
      </c>
      <c r="H65">
        <v>779.04</v>
      </c>
      <c r="I65">
        <v>914.97</v>
      </c>
      <c r="J65">
        <v>1171.24</v>
      </c>
      <c r="K65">
        <v>1225.12</v>
      </c>
    </row>
    <row r="66" spans="1:11" s="1" customFormat="1">
      <c r="A66" s="1" t="s">
        <v>12</v>
      </c>
      <c r="B66">
        <v>1434.9</v>
      </c>
      <c r="C66">
        <v>1466.53</v>
      </c>
      <c r="D66">
        <v>1341.52</v>
      </c>
      <c r="E66">
        <v>1160.71</v>
      </c>
      <c r="F66">
        <v>1102.52</v>
      </c>
      <c r="G66">
        <v>1036.26</v>
      </c>
      <c r="H66">
        <v>1132.61</v>
      </c>
      <c r="I66">
        <v>1294.19</v>
      </c>
      <c r="J66">
        <v>1654.1</v>
      </c>
      <c r="K66">
        <v>1979.5</v>
      </c>
    </row>
    <row r="67" spans="1:11" s="4" customFormat="1">
      <c r="A67" s="4" t="s">
        <v>53</v>
      </c>
      <c r="B67">
        <v>426.62</v>
      </c>
      <c r="C67">
        <v>471.03</v>
      </c>
      <c r="D67">
        <v>453.18</v>
      </c>
      <c r="E67">
        <v>363.09</v>
      </c>
      <c r="F67">
        <v>305.16</v>
      </c>
      <c r="G67">
        <v>253.72</v>
      </c>
      <c r="H67">
        <v>292.66</v>
      </c>
      <c r="I67">
        <v>312.01</v>
      </c>
      <c r="J67">
        <v>352.33</v>
      </c>
      <c r="K67">
        <v>373.33</v>
      </c>
    </row>
    <row r="68" spans="1:11">
      <c r="A68" s="4" t="s">
        <v>29</v>
      </c>
      <c r="B68">
        <v>395.88</v>
      </c>
      <c r="C68">
        <v>407.72</v>
      </c>
      <c r="D68">
        <v>367.46</v>
      </c>
      <c r="E68">
        <v>324.85</v>
      </c>
      <c r="F68">
        <v>304.32</v>
      </c>
      <c r="G68">
        <v>289.86</v>
      </c>
      <c r="H68">
        <v>307.03</v>
      </c>
      <c r="I68">
        <v>336.25</v>
      </c>
      <c r="J68">
        <v>432.72</v>
      </c>
      <c r="K68">
        <v>533.57</v>
      </c>
    </row>
    <row r="69" spans="1:11">
      <c r="A69" s="2" t="s">
        <v>62</v>
      </c>
      <c r="B69">
        <v>34.05</v>
      </c>
      <c r="C69">
        <v>25.69</v>
      </c>
      <c r="D69">
        <v>20.24</v>
      </c>
      <c r="E69">
        <v>33.02</v>
      </c>
      <c r="F69">
        <v>74.93</v>
      </c>
      <c r="G69">
        <v>68.24</v>
      </c>
      <c r="H69">
        <v>104.72</v>
      </c>
      <c r="I69">
        <v>145.96</v>
      </c>
      <c r="J69">
        <v>234.95</v>
      </c>
      <c r="K69">
        <v>142.59</v>
      </c>
    </row>
    <row r="70" spans="1:11">
      <c r="A70" s="2" t="s">
        <v>49</v>
      </c>
      <c r="B70">
        <v>253000000.0</v>
      </c>
      <c r="C70">
        <v>277194946.0</v>
      </c>
      <c r="D70">
        <v>277194946.0</v>
      </c>
      <c r="E70">
        <v>277194946.0</v>
      </c>
      <c r="F70">
        <v>277194946.0</v>
      </c>
      <c r="G70">
        <v>277194946.0</v>
      </c>
      <c r="H70">
        <v>277194946.0</v>
      </c>
      <c r="I70">
        <v>277194946.0</v>
      </c>
      <c r="J70">
        <v>277194946.0</v>
      </c>
      <c r="K70">
        <v>277194946.0</v>
      </c>
    </row>
    <row r="71" spans="1:11">
      <c r="A71" s="2" t="s">
        <v>50</v>
      </c>
      <c r="F71"/>
      <c r="G71"/>
      <c r="H71"/>
      <c r="I71"/>
      <c r="J71"/>
      <c r="K71"/>
    </row>
    <row r="72" spans="1:11">
      <c r="A72" s="2" t="s">
        <v>63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1">
      <c r="A74" s="4"/>
    </row>
    <row r="75" spans="1:11">
      <c r="A75" s="4"/>
    </row>
    <row r="76" spans="1:11">
      <c r="A76" s="4"/>
    </row>
    <row r="77" spans="1:11">
      <c r="A77" s="4"/>
    </row>
    <row r="78" spans="1:11">
      <c r="A78" s="4"/>
    </row>
    <row r="79" spans="1:11">
      <c r="A79" s="4"/>
    </row>
    <row r="80" spans="1:11">
      <c r="A80" s="1" t="s">
        <v>26</v>
      </c>
    </row>
    <row r="81" spans="1:11" s="7" customFormat="1">
      <c r="A81" s="6" t="s">
        <v>23</v>
      </c>
      <c r="B81" s="5">
        <v>42460.0</v>
      </c>
      <c r="C81" s="5">
        <v>42825.0</v>
      </c>
      <c r="D81" s="5">
        <v>43190.0</v>
      </c>
      <c r="E81" s="5">
        <v>43555.0</v>
      </c>
      <c r="F81" s="5">
        <v>43921.0</v>
      </c>
      <c r="G81" s="5">
        <v>44286.0</v>
      </c>
      <c r="H81" s="5">
        <v>44651.0</v>
      </c>
      <c r="I81" s="5">
        <v>45016.0</v>
      </c>
      <c r="J81" s="5">
        <v>45382.0</v>
      </c>
      <c r="K81" s="5">
        <v>45747.0</v>
      </c>
    </row>
    <row r="82" spans="1:11" s="1" customFormat="1">
      <c r="A82" s="4" t="s">
        <v>17</v>
      </c>
      <c r="B82">
        <v>157.76</v>
      </c>
      <c r="C82">
        <v>43.2</v>
      </c>
      <c r="D82">
        <v>158.76</v>
      </c>
      <c r="E82">
        <v>167.07</v>
      </c>
      <c r="F82">
        <v>148.78</v>
      </c>
      <c r="G82">
        <v>121.12</v>
      </c>
      <c r="H82">
        <v>62.47</v>
      </c>
      <c r="I82">
        <v>122.44</v>
      </c>
      <c r="J82">
        <v>273.1</v>
      </c>
      <c r="K82">
        <v>239.14</v>
      </c>
    </row>
    <row r="83" spans="1:11" s="4" customFormat="1">
      <c r="A83" s="4" t="s">
        <v>18</v>
      </c>
      <c r="B83">
        <v>-10.2</v>
      </c>
      <c r="C83">
        <v>60.23</v>
      </c>
      <c r="D83">
        <v>-7.97</v>
      </c>
      <c r="E83">
        <v>0.92</v>
      </c>
      <c r="F83">
        <v>-5.73</v>
      </c>
      <c r="G83">
        <v>-32.02</v>
      </c>
      <c r="H83">
        <v>-16.77</v>
      </c>
      <c r="I83">
        <v>-49.71</v>
      </c>
      <c r="J83">
        <v>-139.38</v>
      </c>
      <c r="K83">
        <v>-319.89</v>
      </c>
    </row>
    <row r="84" spans="1:11" s="4" customFormat="1">
      <c r="A84" s="4" t="s">
        <v>19</v>
      </c>
      <c r="B84">
        <v>-152.55</v>
      </c>
      <c r="C84">
        <v>-114.38</v>
      </c>
      <c r="D84">
        <v>-149.5</v>
      </c>
      <c r="E84">
        <v>-163.41</v>
      </c>
      <c r="F84">
        <v>-114.04</v>
      </c>
      <c r="G84">
        <v>-103.55</v>
      </c>
      <c r="H84">
        <v>-22.32</v>
      </c>
      <c r="I84">
        <v>9.56</v>
      </c>
      <c r="J84">
        <v>-42.27</v>
      </c>
      <c r="K84">
        <v>-25.77</v>
      </c>
    </row>
    <row r="85" spans="1:11" s="1" customFormat="1">
      <c r="A85" s="4" t="s">
        <v>20</v>
      </c>
      <c r="B85">
        <v>-4.99</v>
      </c>
      <c r="C85">
        <v>-10.94</v>
      </c>
      <c r="D85">
        <v>1.29</v>
      </c>
      <c r="E85">
        <v>4.58</v>
      </c>
      <c r="F85">
        <v>29.01</v>
      </c>
      <c r="G85">
        <v>-14.45</v>
      </c>
      <c r="H85">
        <v>23.38</v>
      </c>
      <c r="I85">
        <v>82.28</v>
      </c>
      <c r="J85">
        <v>91.45</v>
      </c>
      <c r="K85">
        <v>-106.52</v>
      </c>
    </row>
    <row r="86" spans="1:11">
      <c r="A86" s="4"/>
    </row>
    <row r="87" spans="1:11">
      <c r="A87" s="4"/>
    </row>
    <row r="88" spans="1:11">
      <c r="A88" s="4"/>
    </row>
    <row r="89" spans="1:11">
      <c r="A89" s="4"/>
    </row>
    <row r="90" spans="1:11" s="1" customFormat="1">
      <c r="A90" s="1" t="s">
        <v>52</v>
      </c>
      <c r="B90">
        <v>36.3</v>
      </c>
      <c r="C90">
        <v>42.8</v>
      </c>
      <c r="D90">
        <v>44.15</v>
      </c>
      <c r="E90">
        <v>25.6</v>
      </c>
      <c r="F90">
        <v>11.0</v>
      </c>
      <c r="G90">
        <v>33.35</v>
      </c>
      <c r="H90">
        <v>63.4</v>
      </c>
      <c r="I90">
        <v>95.25</v>
      </c>
      <c r="J90">
        <v>454.0</v>
      </c>
      <c r="K90">
        <v>472.5</v>
      </c>
    </row>
    <row r="92" spans="1:11" s="1" customFormat="1">
      <c r="A92" s="1" t="s">
        <v>51</v>
      </c>
    </row>
    <row r="93" spans="1:11">
      <c r="A93" s="2" t="s">
        <v>64</v>
      </c>
      <c r="B93" s="12">
        <v>25.3</v>
      </c>
      <c r="C93" s="12">
        <v>25.3</v>
      </c>
      <c r="D93" s="12">
        <v>27.72</v>
      </c>
      <c r="E93" s="12">
        <v>27.72</v>
      </c>
      <c r="F93" s="12">
        <v>27.72</v>
      </c>
      <c r="G93" s="12">
        <v>27.72</v>
      </c>
      <c r="H93" s="12">
        <v>27.72</v>
      </c>
      <c r="I93" s="12">
        <v>27.72</v>
      </c>
      <c r="J93" s="12">
        <v>27.72</v>
      </c>
      <c r="K93" s="12">
        <v>27.72</v>
      </c>
    </row>
  </sheetData>
  <mergeCells count="2">
    <mergeCell ref="E1:K1"/>
    <mergeCell ref="E2:K2"/>
  </mergeCells>
  <conditionalFormatting sqref="E1:K1">
    <cfRule type="cellIs" dxfId="2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B4FF-B795-4B81-BCF2-644801B7B61F}">
  <sheetPr codeName="Sheet7"/>
  <dimension ref="A1:E1243"/>
  <sheetViews>
    <sheetView workbookViewId="0">
      <selection activeCell="E2" sqref="E2"/>
    </sheetView>
  </sheetViews>
  <sheetFormatPr defaultRowHeight="15"/>
  <cols>
    <col min="1" max="1" width="30.140625" style="380" customWidth="1"/>
    <col min="2" max="2" width="14.140625" style="380" customWidth="1"/>
    <col min="3" max="3" width="11.85546875" style="380" bestFit="1" customWidth="1"/>
    <col min="4" max="4" width="11" style="380" customWidth="1"/>
    <col min="5" max="5" width="13.5703125" style="380" customWidth="1"/>
  </cols>
  <sheetData>
    <row r="1" spans="1:5">
      <c r="A1" s="377" t="s">
        <v>242</v>
      </c>
      <c r="B1" s="377" t="s">
        <v>243</v>
      </c>
      <c r="C1" s="378" t="s">
        <v>244</v>
      </c>
      <c r="D1" s="377" t="s">
        <v>245</v>
      </c>
      <c r="E1" s="377" t="s">
        <v>246</v>
      </c>
    </row>
    <row r="2" spans="1:5">
      <c r="A2" s="379" t="s">
        <v>3908</v>
      </c>
      <c r="B2" s="379" t="s">
        <v>2670</v>
      </c>
      <c r="C2" s="380">
        <v>132628</v>
      </c>
      <c r="D2" s="379" t="s">
        <v>2671</v>
      </c>
      <c r="E2" s="379" t="s">
        <v>2672</v>
      </c>
    </row>
    <row r="3" spans="1:5">
      <c r="A3" s="379" t="s">
        <v>3909</v>
      </c>
      <c r="B3" s="379" t="s">
        <v>768</v>
      </c>
      <c r="C3" s="380">
        <v>123395</v>
      </c>
      <c r="D3" s="379" t="s">
        <v>769</v>
      </c>
      <c r="E3" s="379" t="s">
        <v>770</v>
      </c>
    </row>
    <row r="4" spans="1:5">
      <c r="A4" s="379" t="s">
        <v>3910</v>
      </c>
      <c r="B4" s="379" t="s">
        <v>2955</v>
      </c>
      <c r="C4" s="380">
        <v>228972</v>
      </c>
      <c r="D4" s="379" t="s">
        <v>2956</v>
      </c>
      <c r="E4" s="379" t="s">
        <v>2957</v>
      </c>
    </row>
    <row r="5" spans="1:5">
      <c r="A5" s="379" t="s">
        <v>3911</v>
      </c>
      <c r="B5" s="379" t="s">
        <v>3163</v>
      </c>
      <c r="C5" s="380">
        <v>126881</v>
      </c>
      <c r="D5" s="379" t="s">
        <v>3164</v>
      </c>
      <c r="E5" s="379" t="s">
        <v>3165</v>
      </c>
    </row>
    <row r="6" spans="1:5">
      <c r="A6" s="379" t="s">
        <v>3912</v>
      </c>
      <c r="B6" s="379" t="s">
        <v>1703</v>
      </c>
      <c r="C6" s="380">
        <v>124348</v>
      </c>
      <c r="D6" s="379" t="s">
        <v>1704</v>
      </c>
      <c r="E6" s="379" t="s">
        <v>1705</v>
      </c>
    </row>
    <row r="7" spans="1:5">
      <c r="A7" s="379" t="s">
        <v>3913</v>
      </c>
      <c r="B7" s="379" t="s">
        <v>665</v>
      </c>
      <c r="C7" s="380">
        <v>124208</v>
      </c>
      <c r="D7" s="379" t="s">
        <v>666</v>
      </c>
      <c r="E7" s="379" t="s">
        <v>667</v>
      </c>
    </row>
    <row r="8" spans="1:5">
      <c r="A8" s="379" t="s">
        <v>3914</v>
      </c>
      <c r="B8" s="379" t="s">
        <v>3480</v>
      </c>
      <c r="C8" s="380">
        <v>299121</v>
      </c>
      <c r="D8" s="379" t="s">
        <v>3481</v>
      </c>
      <c r="E8" s="379" t="s">
        <v>3482</v>
      </c>
    </row>
    <row r="9" spans="1:5">
      <c r="A9" s="379" t="s">
        <v>3915</v>
      </c>
      <c r="B9" s="379" t="s">
        <v>933</v>
      </c>
      <c r="C9" s="380">
        <v>267615</v>
      </c>
      <c r="D9" s="379" t="s">
        <v>934</v>
      </c>
      <c r="E9" s="379" t="s">
        <v>935</v>
      </c>
    </row>
    <row r="10" spans="1:5">
      <c r="A10" s="379" t="s">
        <v>3916</v>
      </c>
      <c r="B10" s="379" t="s">
        <v>548</v>
      </c>
      <c r="C10" s="380">
        <v>100002</v>
      </c>
      <c r="D10" s="379" t="s">
        <v>549</v>
      </c>
      <c r="E10" s="379" t="s">
        <v>550</v>
      </c>
    </row>
    <row r="11" spans="1:5">
      <c r="A11" s="379" t="s">
        <v>3917</v>
      </c>
      <c r="B11" s="379" t="s">
        <v>616</v>
      </c>
      <c r="C11" s="380">
        <v>100488</v>
      </c>
      <c r="D11" s="379" t="s">
        <v>617</v>
      </c>
      <c r="E11" s="379" t="s">
        <v>618</v>
      </c>
    </row>
    <row r="12" spans="1:5">
      <c r="A12" s="379" t="s">
        <v>3918</v>
      </c>
      <c r="B12" s="379" t="s">
        <v>619</v>
      </c>
      <c r="C12" s="380">
        <v>100410</v>
      </c>
      <c r="D12" s="379" t="s">
        <v>620</v>
      </c>
      <c r="E12" s="379" t="s">
        <v>621</v>
      </c>
    </row>
    <row r="13" spans="1:5">
      <c r="A13" s="379" t="s">
        <v>3919</v>
      </c>
      <c r="B13" s="379" t="s">
        <v>2739</v>
      </c>
      <c r="C13" s="380">
        <v>132268</v>
      </c>
      <c r="D13" s="379" t="s">
        <v>2740</v>
      </c>
      <c r="E13" s="379" t="s">
        <v>2741</v>
      </c>
    </row>
    <row r="14" spans="1:5">
      <c r="A14" s="379" t="s">
        <v>3920</v>
      </c>
      <c r="B14" s="379" t="s">
        <v>2358</v>
      </c>
      <c r="C14" s="380">
        <v>124091</v>
      </c>
      <c r="D14" s="379" t="s">
        <v>2359</v>
      </c>
      <c r="E14" s="379" t="s">
        <v>2360</v>
      </c>
    </row>
    <row r="15" spans="1:5">
      <c r="A15" s="379" t="s">
        <v>3921</v>
      </c>
      <c r="B15" s="379" t="s">
        <v>2225</v>
      </c>
      <c r="C15" s="380">
        <v>132762</v>
      </c>
      <c r="D15" s="379" t="s">
        <v>2226</v>
      </c>
      <c r="E15" s="379" t="s">
        <v>2227</v>
      </c>
    </row>
    <row r="16" spans="1:5">
      <c r="A16" s="379" t="s">
        <v>3922</v>
      </c>
      <c r="B16" s="379" t="s">
        <v>320</v>
      </c>
      <c r="C16" s="380">
        <v>112599</v>
      </c>
      <c r="D16" s="379" t="s">
        <v>321</v>
      </c>
      <c r="E16" s="379" t="s">
        <v>322</v>
      </c>
    </row>
    <row r="17" spans="1:5">
      <c r="A17" s="379" t="s">
        <v>3923</v>
      </c>
      <c r="B17" s="379" t="s">
        <v>305</v>
      </c>
      <c r="C17" s="380">
        <v>289554</v>
      </c>
      <c r="D17" s="379" t="s">
        <v>306</v>
      </c>
      <c r="E17" s="379" t="s">
        <v>307</v>
      </c>
    </row>
    <row r="18" spans="1:5">
      <c r="A18" s="379" t="s">
        <v>3924</v>
      </c>
      <c r="B18" s="379" t="s">
        <v>344</v>
      </c>
      <c r="C18" s="380">
        <v>132921</v>
      </c>
      <c r="D18" s="379" t="s">
        <v>345</v>
      </c>
      <c r="E18" s="379" t="s">
        <v>346</v>
      </c>
    </row>
    <row r="19" spans="1:5">
      <c r="A19" s="379" t="s">
        <v>3925</v>
      </c>
      <c r="B19" s="379" t="s">
        <v>640</v>
      </c>
      <c r="C19" s="380">
        <v>209867</v>
      </c>
      <c r="D19" s="379" t="s">
        <v>641</v>
      </c>
      <c r="E19" s="379" t="s">
        <v>642</v>
      </c>
    </row>
    <row r="20" spans="1:5">
      <c r="A20" s="379" t="s">
        <v>3926</v>
      </c>
      <c r="B20" s="379" t="s">
        <v>323</v>
      </c>
      <c r="C20" s="380">
        <v>228347</v>
      </c>
      <c r="D20" s="379" t="s">
        <v>324</v>
      </c>
      <c r="E20" s="379" t="s">
        <v>325</v>
      </c>
    </row>
    <row r="21" spans="1:5">
      <c r="A21" s="379" t="s">
        <v>3927</v>
      </c>
      <c r="B21" s="379" t="s">
        <v>326</v>
      </c>
      <c r="C21" s="380">
        <v>271875</v>
      </c>
      <c r="D21" s="379" t="s">
        <v>327</v>
      </c>
      <c r="E21" s="379" t="s">
        <v>328</v>
      </c>
    </row>
    <row r="22" spans="1:5">
      <c r="A22" s="379" t="s">
        <v>3928</v>
      </c>
      <c r="B22" s="379" t="s">
        <v>2676</v>
      </c>
      <c r="C22" s="380">
        <v>119183</v>
      </c>
      <c r="D22" s="379" t="s">
        <v>2677</v>
      </c>
      <c r="E22" s="379" t="s">
        <v>2678</v>
      </c>
    </row>
    <row r="23" spans="1:5">
      <c r="A23" s="379" t="s">
        <v>3929</v>
      </c>
      <c r="B23" s="379" t="s">
        <v>762</v>
      </c>
      <c r="C23" s="380">
        <v>242461</v>
      </c>
      <c r="D23" s="379" t="s">
        <v>763</v>
      </c>
      <c r="E23" s="379" t="s">
        <v>764</v>
      </c>
    </row>
    <row r="24" spans="1:5">
      <c r="A24" s="379" t="s">
        <v>3930</v>
      </c>
      <c r="B24" s="379" t="s">
        <v>825</v>
      </c>
      <c r="C24" s="380">
        <v>210591</v>
      </c>
      <c r="D24" s="379" t="s">
        <v>826</v>
      </c>
      <c r="E24" s="379" t="s">
        <v>827</v>
      </c>
    </row>
    <row r="25" spans="1:5">
      <c r="A25" s="379" t="s">
        <v>3931</v>
      </c>
      <c r="B25" s="379" t="s">
        <v>1056</v>
      </c>
      <c r="C25" s="380">
        <v>209979</v>
      </c>
      <c r="D25" s="379" t="s">
        <v>1057</v>
      </c>
      <c r="E25" s="379" t="s">
        <v>1058</v>
      </c>
    </row>
    <row r="26" spans="1:5">
      <c r="A26" s="379" t="s">
        <v>3932</v>
      </c>
      <c r="B26" s="379"/>
      <c r="C26" s="380">
        <v>283206</v>
      </c>
      <c r="D26" s="379" t="s">
        <v>3450</v>
      </c>
      <c r="E26" s="379" t="s">
        <v>3451</v>
      </c>
    </row>
    <row r="27" spans="1:5">
      <c r="A27" s="379" t="s">
        <v>3933</v>
      </c>
      <c r="B27" s="379" t="s">
        <v>3248</v>
      </c>
      <c r="C27" s="380">
        <v>117041</v>
      </c>
      <c r="D27" s="379" t="s">
        <v>3249</v>
      </c>
      <c r="E27" s="379" t="s">
        <v>3250</v>
      </c>
    </row>
    <row r="28" spans="1:5">
      <c r="A28" s="379" t="s">
        <v>3934</v>
      </c>
      <c r="B28" s="379" t="s">
        <v>1931</v>
      </c>
      <c r="C28" s="380">
        <v>207679</v>
      </c>
      <c r="D28" s="379" t="s">
        <v>1932</v>
      </c>
      <c r="E28" s="379" t="s">
        <v>1933</v>
      </c>
    </row>
    <row r="29" spans="1:5">
      <c r="A29" s="379" t="s">
        <v>3935</v>
      </c>
      <c r="B29" s="379" t="s">
        <v>1427</v>
      </c>
      <c r="C29" s="380">
        <v>100003</v>
      </c>
      <c r="D29" s="379" t="s">
        <v>1428</v>
      </c>
      <c r="E29" s="379" t="s">
        <v>1429</v>
      </c>
    </row>
    <row r="30" spans="1:5">
      <c r="A30" s="379" t="s">
        <v>3936</v>
      </c>
      <c r="B30" s="379" t="s">
        <v>1074</v>
      </c>
      <c r="C30" s="380">
        <v>229238</v>
      </c>
      <c r="D30" s="379" t="s">
        <v>1075</v>
      </c>
      <c r="E30" s="379" t="s">
        <v>1076</v>
      </c>
    </row>
    <row r="31" spans="1:5">
      <c r="A31" s="379" t="s">
        <v>3937</v>
      </c>
      <c r="B31" s="379" t="s">
        <v>3826</v>
      </c>
      <c r="C31" s="380">
        <v>131921</v>
      </c>
      <c r="D31" s="379" t="s">
        <v>3827</v>
      </c>
      <c r="E31" s="379" t="s">
        <v>3828</v>
      </c>
    </row>
    <row r="32" spans="1:5">
      <c r="A32" s="379" t="s">
        <v>3938</v>
      </c>
      <c r="B32" s="379" t="s">
        <v>2338</v>
      </c>
      <c r="C32" s="380">
        <v>100215</v>
      </c>
      <c r="D32" s="379" t="s">
        <v>2339</v>
      </c>
      <c r="E32" s="379" t="s">
        <v>2340</v>
      </c>
    </row>
    <row r="33" spans="1:5">
      <c r="A33" s="379" t="s">
        <v>3939</v>
      </c>
      <c r="B33" s="379" t="s">
        <v>2183</v>
      </c>
      <c r="C33" s="380">
        <v>132811</v>
      </c>
      <c r="D33" s="379" t="s">
        <v>2184</v>
      </c>
      <c r="E33" s="379" t="s">
        <v>2185</v>
      </c>
    </row>
    <row r="34" spans="1:5">
      <c r="A34" s="379" t="s">
        <v>3940</v>
      </c>
      <c r="B34" s="379" t="s">
        <v>1001</v>
      </c>
      <c r="C34" s="380">
        <v>132683</v>
      </c>
      <c r="D34" s="379" t="s">
        <v>1002</v>
      </c>
      <c r="E34" s="379" t="s">
        <v>1003</v>
      </c>
    </row>
    <row r="35" spans="1:5">
      <c r="A35" s="379" t="s">
        <v>3941</v>
      </c>
      <c r="B35" s="379" t="s">
        <v>939</v>
      </c>
      <c r="C35" s="380">
        <v>132331</v>
      </c>
      <c r="D35" s="379" t="s">
        <v>940</v>
      </c>
      <c r="E35" s="379" t="s">
        <v>941</v>
      </c>
    </row>
    <row r="36" spans="1:5">
      <c r="A36" s="379" t="s">
        <v>3942</v>
      </c>
      <c r="B36" s="379" t="s">
        <v>3148</v>
      </c>
      <c r="C36" s="380">
        <v>113349</v>
      </c>
      <c r="D36" s="379" t="s">
        <v>3149</v>
      </c>
      <c r="E36" s="379" t="s">
        <v>3150</v>
      </c>
    </row>
    <row r="37" spans="1:5">
      <c r="A37" s="379" t="s">
        <v>3943</v>
      </c>
      <c r="B37" s="379" t="s">
        <v>1286</v>
      </c>
      <c r="C37" s="380">
        <v>100710</v>
      </c>
      <c r="D37" s="379" t="s">
        <v>1287</v>
      </c>
      <c r="E37" s="379" t="s">
        <v>1288</v>
      </c>
    </row>
    <row r="38" spans="1:5">
      <c r="A38" s="379" t="s">
        <v>3944</v>
      </c>
      <c r="B38" s="379" t="s">
        <v>2180</v>
      </c>
      <c r="C38" s="380">
        <v>106235</v>
      </c>
      <c r="D38" s="379" t="s">
        <v>2181</v>
      </c>
      <c r="E38" s="379" t="s">
        <v>2182</v>
      </c>
    </row>
    <row r="39" spans="1:5">
      <c r="A39" s="379" t="s">
        <v>3945</v>
      </c>
      <c r="B39" s="379" t="s">
        <v>1034</v>
      </c>
      <c r="C39" s="380">
        <v>224849</v>
      </c>
      <c r="D39" s="379" t="s">
        <v>1035</v>
      </c>
      <c r="E39" s="379" t="s">
        <v>1036</v>
      </c>
    </row>
    <row r="40" spans="1:5">
      <c r="A40" s="379" t="s">
        <v>3946</v>
      </c>
      <c r="B40" s="379" t="s">
        <v>2872</v>
      </c>
      <c r="C40" s="380">
        <v>131147</v>
      </c>
      <c r="D40" s="379" t="s">
        <v>2873</v>
      </c>
      <c r="E40" s="379" t="s">
        <v>2874</v>
      </c>
    </row>
    <row r="41" spans="1:5">
      <c r="A41" s="379" t="s">
        <v>3947</v>
      </c>
      <c r="B41" s="379" t="s">
        <v>597</v>
      </c>
      <c r="C41" s="380">
        <v>212427</v>
      </c>
      <c r="D41" s="379" t="s">
        <v>598</v>
      </c>
      <c r="E41" s="379" t="s">
        <v>599</v>
      </c>
    </row>
    <row r="42" spans="1:5">
      <c r="A42" s="379" t="s">
        <v>3948</v>
      </c>
      <c r="B42" s="379" t="s">
        <v>1004</v>
      </c>
      <c r="C42" s="380">
        <v>106767</v>
      </c>
      <c r="D42" s="379" t="s">
        <v>1005</v>
      </c>
      <c r="E42" s="379" t="s">
        <v>1006</v>
      </c>
    </row>
    <row r="43" spans="1:5">
      <c r="A43" s="379" t="s">
        <v>3949</v>
      </c>
      <c r="B43" s="379" t="s">
        <v>1274</v>
      </c>
      <c r="C43" s="380">
        <v>132749</v>
      </c>
      <c r="D43" s="379" t="s">
        <v>1275</v>
      </c>
      <c r="E43" s="379" t="s">
        <v>1276</v>
      </c>
    </row>
    <row r="44" spans="1:5">
      <c r="A44" s="379" t="s">
        <v>3950</v>
      </c>
      <c r="B44" s="379" t="s">
        <v>3706</v>
      </c>
      <c r="C44" s="380">
        <v>132875</v>
      </c>
      <c r="D44" s="379" t="s">
        <v>3707</v>
      </c>
      <c r="E44" s="379" t="s">
        <v>3708</v>
      </c>
    </row>
    <row r="45" spans="1:5">
      <c r="A45" s="379" t="s">
        <v>3951</v>
      </c>
      <c r="B45" s="379" t="s">
        <v>3297</v>
      </c>
      <c r="C45" s="380">
        <v>132633</v>
      </c>
      <c r="D45" s="379" t="s">
        <v>3298</v>
      </c>
      <c r="E45" s="379" t="s">
        <v>3299</v>
      </c>
    </row>
    <row r="46" spans="1:5">
      <c r="A46" s="379" t="s">
        <v>3952</v>
      </c>
      <c r="B46" s="379" t="s">
        <v>1105</v>
      </c>
      <c r="C46" s="380">
        <v>121070</v>
      </c>
      <c r="D46" s="379" t="s">
        <v>1106</v>
      </c>
      <c r="E46" s="379" t="s">
        <v>1107</v>
      </c>
    </row>
    <row r="47" spans="1:5">
      <c r="A47" s="379" t="s">
        <v>3953</v>
      </c>
      <c r="B47" s="379" t="s">
        <v>1214</v>
      </c>
      <c r="C47" s="380">
        <v>100008</v>
      </c>
      <c r="D47" s="379" t="s">
        <v>1215</v>
      </c>
      <c r="E47" s="379" t="s">
        <v>1216</v>
      </c>
    </row>
    <row r="48" spans="1:5">
      <c r="A48" s="379" t="s">
        <v>3954</v>
      </c>
      <c r="B48" s="379" t="s">
        <v>1183</v>
      </c>
      <c r="C48" s="380">
        <v>225154</v>
      </c>
      <c r="D48" s="379" t="s">
        <v>1184</v>
      </c>
      <c r="E48" s="379" t="s">
        <v>1185</v>
      </c>
    </row>
    <row r="49" spans="1:5">
      <c r="A49" s="379" t="s">
        <v>3955</v>
      </c>
      <c r="B49" s="379" t="s">
        <v>3064</v>
      </c>
      <c r="C49" s="380">
        <v>131978</v>
      </c>
      <c r="D49" s="379" t="s">
        <v>3065</v>
      </c>
      <c r="E49" s="379" t="s">
        <v>3066</v>
      </c>
    </row>
    <row r="50" spans="1:5">
      <c r="A50" s="379" t="s">
        <v>3956</v>
      </c>
      <c r="B50" s="379" t="s">
        <v>443</v>
      </c>
      <c r="C50" s="380">
        <v>100425</v>
      </c>
      <c r="D50" s="379" t="s">
        <v>444</v>
      </c>
      <c r="E50" s="379" t="s">
        <v>445</v>
      </c>
    </row>
    <row r="51" spans="1:5">
      <c r="A51" s="379" t="s">
        <v>3957</v>
      </c>
      <c r="B51" s="379" t="s">
        <v>1949</v>
      </c>
      <c r="C51" s="380">
        <v>232793</v>
      </c>
      <c r="D51" s="379" t="s">
        <v>1950</v>
      </c>
      <c r="E51" s="379" t="s">
        <v>1951</v>
      </c>
    </row>
    <row r="52" spans="1:5">
      <c r="A52" s="379" t="s">
        <v>3958</v>
      </c>
      <c r="B52" s="379"/>
      <c r="C52" s="380">
        <v>106248</v>
      </c>
      <c r="D52" s="379" t="s">
        <v>3593</v>
      </c>
      <c r="E52" s="379" t="s">
        <v>3594</v>
      </c>
    </row>
    <row r="53" spans="1:5">
      <c r="A53" s="379" t="s">
        <v>3959</v>
      </c>
      <c r="B53" s="379" t="s">
        <v>2204</v>
      </c>
      <c r="C53" s="380">
        <v>190006</v>
      </c>
      <c r="D53" s="379" t="s">
        <v>2205</v>
      </c>
      <c r="E53" s="379" t="s">
        <v>2206</v>
      </c>
    </row>
    <row r="54" spans="1:5">
      <c r="A54" s="379" t="s">
        <v>3960</v>
      </c>
      <c r="B54" s="379" t="s">
        <v>2299</v>
      </c>
      <c r="C54" s="380">
        <v>226156</v>
      </c>
      <c r="D54" s="379" t="s">
        <v>2300</v>
      </c>
      <c r="E54" s="379" t="s">
        <v>2301</v>
      </c>
    </row>
    <row r="55" spans="1:5">
      <c r="A55" s="379" t="s">
        <v>3961</v>
      </c>
      <c r="B55" s="379" t="s">
        <v>2370</v>
      </c>
      <c r="C55" s="380">
        <v>115055</v>
      </c>
      <c r="D55" s="379" t="s">
        <v>2371</v>
      </c>
      <c r="E55" s="379" t="s">
        <v>2372</v>
      </c>
    </row>
    <row r="56" spans="1:5">
      <c r="A56" s="379" t="s">
        <v>3962</v>
      </c>
      <c r="B56" s="379" t="s">
        <v>3310</v>
      </c>
      <c r="C56" s="380">
        <v>102330</v>
      </c>
      <c r="D56" s="379" t="s">
        <v>3311</v>
      </c>
      <c r="E56" s="379" t="s">
        <v>3312</v>
      </c>
    </row>
    <row r="57" spans="1:5">
      <c r="A57" s="379" t="s">
        <v>3963</v>
      </c>
      <c r="B57" s="379" t="s">
        <v>3136</v>
      </c>
      <c r="C57" s="380">
        <v>100012</v>
      </c>
      <c r="D57" s="379" t="s">
        <v>3137</v>
      </c>
      <c r="E57" s="379" t="s">
        <v>3138</v>
      </c>
    </row>
    <row r="58" spans="1:5">
      <c r="A58" s="379" t="s">
        <v>3964</v>
      </c>
      <c r="B58" s="379" t="s">
        <v>2896</v>
      </c>
      <c r="C58" s="380">
        <v>126173</v>
      </c>
      <c r="D58" s="379" t="s">
        <v>2897</v>
      </c>
      <c r="E58" s="379" t="s">
        <v>2898</v>
      </c>
    </row>
    <row r="59" spans="1:5">
      <c r="A59" s="379" t="s">
        <v>3965</v>
      </c>
      <c r="B59" s="379" t="s">
        <v>1256</v>
      </c>
      <c r="C59" s="380">
        <v>209902</v>
      </c>
      <c r="D59" s="379" t="s">
        <v>1257</v>
      </c>
      <c r="E59" s="379" t="s">
        <v>1258</v>
      </c>
    </row>
    <row r="60" spans="1:5">
      <c r="A60" s="379" t="s">
        <v>3966</v>
      </c>
      <c r="B60" s="379" t="s">
        <v>3468</v>
      </c>
      <c r="C60" s="380">
        <v>118091</v>
      </c>
      <c r="D60" s="379" t="s">
        <v>3469</v>
      </c>
      <c r="E60" s="379" t="s">
        <v>3470</v>
      </c>
    </row>
    <row r="61" spans="1:5">
      <c r="A61" s="379" t="s">
        <v>3967</v>
      </c>
      <c r="B61" s="379" t="s">
        <v>3378</v>
      </c>
      <c r="C61" s="380">
        <v>277374</v>
      </c>
      <c r="D61" s="379" t="s">
        <v>3379</v>
      </c>
      <c r="E61" s="379" t="s">
        <v>3380</v>
      </c>
    </row>
    <row r="62" spans="1:5">
      <c r="A62" s="379" t="s">
        <v>3968</v>
      </c>
      <c r="B62" s="379"/>
      <c r="C62" s="380">
        <v>106260</v>
      </c>
      <c r="D62" s="379" t="s">
        <v>3875</v>
      </c>
      <c r="E62" s="379" t="s">
        <v>3876</v>
      </c>
    </row>
    <row r="63" spans="1:5">
      <c r="A63" s="379" t="s">
        <v>3969</v>
      </c>
      <c r="B63" s="379" t="s">
        <v>1289</v>
      </c>
      <c r="C63" s="380">
        <v>226328</v>
      </c>
      <c r="D63" s="379" t="s">
        <v>1290</v>
      </c>
      <c r="E63" s="379" t="s">
        <v>1291</v>
      </c>
    </row>
    <row r="64" spans="1:5">
      <c r="A64" s="379" t="s">
        <v>3970</v>
      </c>
      <c r="B64" s="379" t="s">
        <v>2117</v>
      </c>
      <c r="C64" s="380">
        <v>132259</v>
      </c>
      <c r="D64" s="379" t="s">
        <v>2118</v>
      </c>
      <c r="E64" s="379" t="s">
        <v>2119</v>
      </c>
    </row>
    <row r="65" spans="1:5">
      <c r="A65" s="379" t="s">
        <v>3971</v>
      </c>
      <c r="B65" s="379" t="s">
        <v>2547</v>
      </c>
      <c r="C65" s="380">
        <v>123694</v>
      </c>
      <c r="D65" s="379" t="s">
        <v>2548</v>
      </c>
      <c r="E65" s="379" t="s">
        <v>2549</v>
      </c>
    </row>
    <row r="66" spans="1:5">
      <c r="A66" s="379" t="s">
        <v>3972</v>
      </c>
      <c r="B66" s="379" t="s">
        <v>3263</v>
      </c>
      <c r="C66" s="380">
        <v>285359</v>
      </c>
      <c r="D66" s="379" t="s">
        <v>3264</v>
      </c>
      <c r="E66" s="379" t="s">
        <v>3265</v>
      </c>
    </row>
    <row r="67" spans="1:5">
      <c r="A67" s="379" t="s">
        <v>3973</v>
      </c>
      <c r="B67" s="379" t="s">
        <v>831</v>
      </c>
      <c r="C67" s="380">
        <v>190059</v>
      </c>
      <c r="D67" s="379" t="s">
        <v>832</v>
      </c>
      <c r="E67" s="379" t="s">
        <v>833</v>
      </c>
    </row>
    <row r="68" spans="1:5">
      <c r="A68" s="379" t="s">
        <v>3974</v>
      </c>
      <c r="B68" s="379" t="s">
        <v>461</v>
      </c>
      <c r="C68" s="380">
        <v>108869</v>
      </c>
      <c r="D68" s="379" t="s">
        <v>462</v>
      </c>
      <c r="E68" s="379" t="s">
        <v>463</v>
      </c>
    </row>
    <row r="69" spans="1:5">
      <c r="A69" s="379" t="s">
        <v>3975</v>
      </c>
      <c r="B69" s="379" t="s">
        <v>2423</v>
      </c>
      <c r="C69" s="380">
        <v>131761</v>
      </c>
      <c r="D69" s="379" t="s">
        <v>2424</v>
      </c>
      <c r="E69" s="379" t="s">
        <v>2425</v>
      </c>
    </row>
    <row r="70" spans="1:5">
      <c r="A70" s="379" t="s">
        <v>3976</v>
      </c>
      <c r="B70" s="379"/>
      <c r="C70" s="380">
        <v>267529</v>
      </c>
      <c r="D70" s="379" t="s">
        <v>1635</v>
      </c>
      <c r="E70" s="379" t="s">
        <v>1636</v>
      </c>
    </row>
    <row r="71" spans="1:5">
      <c r="A71" s="379" t="s">
        <v>3977</v>
      </c>
      <c r="B71" s="379" t="s">
        <v>1086</v>
      </c>
      <c r="C71" s="380">
        <v>100877</v>
      </c>
      <c r="D71" s="379" t="s">
        <v>1087</v>
      </c>
      <c r="E71" s="379" t="s">
        <v>1088</v>
      </c>
    </row>
    <row r="72" spans="1:5">
      <c r="A72" s="379" t="s">
        <v>3978</v>
      </c>
      <c r="B72" s="379" t="s">
        <v>2742</v>
      </c>
      <c r="C72" s="380">
        <v>132475</v>
      </c>
      <c r="D72" s="379" t="s">
        <v>2743</v>
      </c>
      <c r="E72" s="379" t="s">
        <v>2744</v>
      </c>
    </row>
    <row r="73" spans="1:5">
      <c r="A73" s="379" t="s">
        <v>3979</v>
      </c>
      <c r="B73" s="379" t="s">
        <v>1010</v>
      </c>
      <c r="C73" s="380">
        <v>251791</v>
      </c>
      <c r="D73" s="379" t="s">
        <v>1011</v>
      </c>
      <c r="E73" s="379" t="s">
        <v>1012</v>
      </c>
    </row>
    <row r="74" spans="1:5">
      <c r="A74" s="379" t="s">
        <v>3980</v>
      </c>
      <c r="B74" s="379" t="s">
        <v>3532</v>
      </c>
      <c r="C74" s="380">
        <v>106194</v>
      </c>
      <c r="D74" s="379" t="s">
        <v>3533</v>
      </c>
      <c r="E74" s="379" t="s">
        <v>3534</v>
      </c>
    </row>
    <row r="75" spans="1:5">
      <c r="A75" s="379" t="s">
        <v>3981</v>
      </c>
      <c r="B75" s="379" t="s">
        <v>3493</v>
      </c>
      <c r="C75" s="380">
        <v>131179</v>
      </c>
      <c r="D75" s="379" t="s">
        <v>3494</v>
      </c>
      <c r="E75" s="379" t="s">
        <v>3495</v>
      </c>
    </row>
    <row r="76" spans="1:5">
      <c r="A76" s="379" t="s">
        <v>3982</v>
      </c>
      <c r="B76" s="379" t="s">
        <v>3323</v>
      </c>
      <c r="C76" s="380">
        <v>106074</v>
      </c>
      <c r="D76" s="379" t="s">
        <v>3324</v>
      </c>
      <c r="E76" s="379" t="s">
        <v>3325</v>
      </c>
    </row>
    <row r="77" spans="1:5">
      <c r="A77" s="379" t="s">
        <v>3983</v>
      </c>
      <c r="B77" s="379" t="s">
        <v>3803</v>
      </c>
      <c r="C77" s="380">
        <v>236257</v>
      </c>
      <c r="D77" s="379" t="s">
        <v>3804</v>
      </c>
      <c r="E77" s="379" t="s">
        <v>3805</v>
      </c>
    </row>
    <row r="78" spans="1:5">
      <c r="A78" s="379" t="s">
        <v>3984</v>
      </c>
      <c r="B78" s="379" t="s">
        <v>1928</v>
      </c>
      <c r="C78" s="380">
        <v>293665</v>
      </c>
      <c r="D78" s="379" t="s">
        <v>1929</v>
      </c>
      <c r="E78" s="379" t="s">
        <v>1930</v>
      </c>
    </row>
    <row r="79" spans="1:5">
      <c r="A79" s="379" t="s">
        <v>3985</v>
      </c>
      <c r="B79" s="379" t="s">
        <v>2108</v>
      </c>
      <c r="C79" s="380">
        <v>100101</v>
      </c>
      <c r="D79" s="379" t="s">
        <v>2109</v>
      </c>
      <c r="E79" s="379" t="s">
        <v>2110</v>
      </c>
    </row>
    <row r="80" spans="1:5">
      <c r="A80" s="379" t="s">
        <v>3986</v>
      </c>
      <c r="B80" s="379" t="s">
        <v>3326</v>
      </c>
      <c r="C80" s="380">
        <v>228011</v>
      </c>
      <c r="D80" s="379" t="s">
        <v>3327</v>
      </c>
      <c r="E80" s="379" t="s">
        <v>3328</v>
      </c>
    </row>
    <row r="81" spans="1:5">
      <c r="A81" s="379" t="s">
        <v>3987</v>
      </c>
      <c r="B81" s="379" t="s">
        <v>1180</v>
      </c>
      <c r="C81" s="380">
        <v>115030</v>
      </c>
      <c r="D81" s="379" t="s">
        <v>1181</v>
      </c>
      <c r="E81" s="379" t="s">
        <v>1182</v>
      </c>
    </row>
    <row r="82" spans="1:5">
      <c r="A82" s="379" t="s">
        <v>3988</v>
      </c>
      <c r="B82" s="379" t="s">
        <v>3294</v>
      </c>
      <c r="C82" s="380">
        <v>127001</v>
      </c>
      <c r="D82" s="379" t="s">
        <v>3295</v>
      </c>
      <c r="E82" s="379" t="s">
        <v>3296</v>
      </c>
    </row>
    <row r="83" spans="1:5">
      <c r="A83" s="379" t="s">
        <v>3989</v>
      </c>
      <c r="B83" s="379" t="s">
        <v>2595</v>
      </c>
      <c r="C83" s="380">
        <v>123716</v>
      </c>
      <c r="D83" s="379" t="s">
        <v>2596</v>
      </c>
      <c r="E83" s="379" t="s">
        <v>2597</v>
      </c>
    </row>
    <row r="84" spans="1:5">
      <c r="A84" s="379" t="s">
        <v>3990</v>
      </c>
      <c r="B84" s="379" t="s">
        <v>659</v>
      </c>
      <c r="C84" s="380">
        <v>100477</v>
      </c>
      <c r="D84" s="379" t="s">
        <v>660</v>
      </c>
      <c r="E84" s="379" t="s">
        <v>661</v>
      </c>
    </row>
    <row r="85" spans="1:5">
      <c r="A85" s="379" t="s">
        <v>3991</v>
      </c>
      <c r="B85" s="379" t="s">
        <v>2168</v>
      </c>
      <c r="C85" s="380">
        <v>207778</v>
      </c>
      <c r="D85" s="379" t="s">
        <v>2169</v>
      </c>
      <c r="E85" s="379" t="s">
        <v>2170</v>
      </c>
    </row>
    <row r="86" spans="1:5">
      <c r="A86" s="379" t="s">
        <v>3992</v>
      </c>
      <c r="B86" s="379" t="s">
        <v>3902</v>
      </c>
      <c r="C86" s="380">
        <v>130355</v>
      </c>
      <c r="D86" s="379" t="s">
        <v>3903</v>
      </c>
      <c r="E86" s="379" t="s">
        <v>3904</v>
      </c>
    </row>
    <row r="87" spans="1:5">
      <c r="A87" s="379" t="s">
        <v>3993</v>
      </c>
      <c r="B87" s="379" t="s">
        <v>3369</v>
      </c>
      <c r="C87" s="380">
        <v>132888</v>
      </c>
      <c r="D87" s="379" t="s">
        <v>3370</v>
      </c>
      <c r="E87" s="379" t="s">
        <v>3371</v>
      </c>
    </row>
    <row r="88" spans="1:5">
      <c r="A88" s="379" t="s">
        <v>3994</v>
      </c>
      <c r="B88" s="379" t="s">
        <v>287</v>
      </c>
      <c r="C88" s="380">
        <v>100820</v>
      </c>
      <c r="D88" s="379" t="s">
        <v>288</v>
      </c>
      <c r="E88" s="379" t="s">
        <v>289</v>
      </c>
    </row>
    <row r="89" spans="1:5">
      <c r="A89" s="379" t="s">
        <v>3995</v>
      </c>
      <c r="B89" s="379"/>
      <c r="C89" s="380">
        <v>131847</v>
      </c>
      <c r="D89" s="379" t="s">
        <v>2810</v>
      </c>
      <c r="E89" s="379" t="s">
        <v>2811</v>
      </c>
    </row>
    <row r="90" spans="1:5">
      <c r="A90" s="379" t="s">
        <v>3996</v>
      </c>
      <c r="B90" s="379"/>
      <c r="C90" s="380">
        <v>126433</v>
      </c>
      <c r="D90" s="379" t="s">
        <v>3598</v>
      </c>
      <c r="E90" s="379" t="s">
        <v>3599</v>
      </c>
    </row>
    <row r="91" spans="1:5">
      <c r="A91" s="379" t="s">
        <v>3997</v>
      </c>
      <c r="B91" s="379" t="s">
        <v>3282</v>
      </c>
      <c r="C91" s="380">
        <v>107526</v>
      </c>
      <c r="D91" s="379" t="s">
        <v>3283</v>
      </c>
      <c r="E91" s="379" t="s">
        <v>3284</v>
      </c>
    </row>
    <row r="92" spans="1:5">
      <c r="A92" s="379" t="s">
        <v>3998</v>
      </c>
      <c r="B92" s="379" t="s">
        <v>2139</v>
      </c>
      <c r="C92" s="380">
        <v>212609</v>
      </c>
      <c r="D92" s="379" t="s">
        <v>2140</v>
      </c>
      <c r="E92" s="379" t="s">
        <v>2141</v>
      </c>
    </row>
    <row r="93" spans="1:5">
      <c r="A93" s="379" t="s">
        <v>3999</v>
      </c>
      <c r="B93" s="379" t="s">
        <v>1331</v>
      </c>
      <c r="C93" s="380">
        <v>221033</v>
      </c>
      <c r="D93" s="379" t="s">
        <v>1332</v>
      </c>
      <c r="E93" s="379" t="s">
        <v>1333</v>
      </c>
    </row>
    <row r="94" spans="1:5">
      <c r="A94" s="379" t="s">
        <v>4000</v>
      </c>
      <c r="B94" s="379" t="s">
        <v>2439</v>
      </c>
      <c r="C94" s="380">
        <v>132493</v>
      </c>
      <c r="D94" s="379" t="s">
        <v>2440</v>
      </c>
      <c r="E94" s="379" t="s">
        <v>2441</v>
      </c>
    </row>
    <row r="95" spans="1:5">
      <c r="A95" s="379" t="s">
        <v>4001</v>
      </c>
      <c r="B95" s="379" t="s">
        <v>560</v>
      </c>
      <c r="C95" s="380">
        <v>132830</v>
      </c>
      <c r="D95" s="379" t="s">
        <v>561</v>
      </c>
      <c r="E95" s="379" t="s">
        <v>562</v>
      </c>
    </row>
    <row r="96" spans="1:5">
      <c r="A96" s="379" t="s">
        <v>4002</v>
      </c>
      <c r="B96" s="379" t="s">
        <v>1433</v>
      </c>
      <c r="C96" s="380">
        <v>106820</v>
      </c>
      <c r="D96" s="379" t="s">
        <v>1434</v>
      </c>
      <c r="E96" s="379" t="s">
        <v>1435</v>
      </c>
    </row>
    <row r="97" spans="1:5">
      <c r="A97" s="379" t="s">
        <v>4003</v>
      </c>
      <c r="B97" s="379" t="s">
        <v>804</v>
      </c>
      <c r="C97" s="380">
        <v>100027</v>
      </c>
      <c r="D97" s="379" t="s">
        <v>805</v>
      </c>
      <c r="E97" s="379" t="s">
        <v>806</v>
      </c>
    </row>
    <row r="98" spans="1:5">
      <c r="A98" s="379" t="s">
        <v>4004</v>
      </c>
      <c r="B98" s="379" t="s">
        <v>731</v>
      </c>
      <c r="C98" s="380">
        <v>286335</v>
      </c>
      <c r="D98" s="379" t="s">
        <v>732</v>
      </c>
      <c r="E98" s="379" t="s">
        <v>733</v>
      </c>
    </row>
    <row r="99" spans="1:5">
      <c r="A99" s="379" t="s">
        <v>4005</v>
      </c>
      <c r="B99" s="379" t="s">
        <v>3655</v>
      </c>
      <c r="C99" s="380">
        <v>132668</v>
      </c>
      <c r="D99" s="379" t="s">
        <v>3656</v>
      </c>
      <c r="E99" s="379" t="s">
        <v>3657</v>
      </c>
    </row>
    <row r="100" spans="1:5">
      <c r="A100" s="379" t="s">
        <v>4006</v>
      </c>
      <c r="B100" s="379" t="s">
        <v>587</v>
      </c>
      <c r="C100" s="380">
        <v>124804</v>
      </c>
      <c r="D100" s="379" t="s">
        <v>588</v>
      </c>
      <c r="E100" s="379" t="s">
        <v>589</v>
      </c>
    </row>
    <row r="101" spans="1:5">
      <c r="A101" s="379" t="s">
        <v>4007</v>
      </c>
      <c r="B101" s="379"/>
      <c r="C101" s="380">
        <v>243036</v>
      </c>
      <c r="D101" s="379" t="s">
        <v>2129</v>
      </c>
      <c r="E101" s="379" t="s">
        <v>2130</v>
      </c>
    </row>
    <row r="102" spans="1:5">
      <c r="A102" s="379" t="s">
        <v>4008</v>
      </c>
      <c r="B102" s="379" t="s">
        <v>3668</v>
      </c>
      <c r="C102" s="380">
        <v>105036</v>
      </c>
      <c r="D102" s="379" t="s">
        <v>3669</v>
      </c>
      <c r="E102" s="379" t="s">
        <v>3670</v>
      </c>
    </row>
    <row r="103" spans="1:5">
      <c r="A103" s="379" t="s">
        <v>4009</v>
      </c>
      <c r="B103" s="379" t="s">
        <v>2379</v>
      </c>
      <c r="C103" s="380">
        <v>105010</v>
      </c>
      <c r="D103" s="379" t="s">
        <v>2380</v>
      </c>
      <c r="E103" s="379" t="s">
        <v>2381</v>
      </c>
    </row>
    <row r="104" spans="1:5">
      <c r="A104" s="379" t="s">
        <v>4010</v>
      </c>
      <c r="B104" s="379" t="s">
        <v>3277</v>
      </c>
      <c r="C104" s="380">
        <v>120119</v>
      </c>
      <c r="D104" s="379" t="s">
        <v>3278</v>
      </c>
      <c r="E104" s="379" t="s">
        <v>3279</v>
      </c>
    </row>
    <row r="105" spans="1:5">
      <c r="A105" s="379" t="s">
        <v>4011</v>
      </c>
      <c r="B105" s="379" t="s">
        <v>3226</v>
      </c>
      <c r="C105" s="380">
        <v>286952</v>
      </c>
      <c r="D105" s="379" t="s">
        <v>3227</v>
      </c>
      <c r="E105" s="379" t="s">
        <v>3228</v>
      </c>
    </row>
    <row r="106" spans="1:5">
      <c r="A106" s="379" t="s">
        <v>4012</v>
      </c>
      <c r="B106" s="379" t="s">
        <v>1436</v>
      </c>
      <c r="C106" s="380">
        <v>112573</v>
      </c>
      <c r="D106" s="379" t="s">
        <v>1437</v>
      </c>
      <c r="E106" s="379" t="s">
        <v>1438</v>
      </c>
    </row>
    <row r="107" spans="1:5">
      <c r="A107" s="379" t="s">
        <v>4013</v>
      </c>
      <c r="B107" s="379" t="s">
        <v>290</v>
      </c>
      <c r="C107" s="380">
        <v>223595</v>
      </c>
      <c r="D107" s="379" t="s">
        <v>291</v>
      </c>
      <c r="E107" s="379" t="s">
        <v>292</v>
      </c>
    </row>
    <row r="108" spans="1:5">
      <c r="A108" s="379" t="s">
        <v>4014</v>
      </c>
      <c r="B108" s="379" t="s">
        <v>2970</v>
      </c>
      <c r="C108" s="380">
        <v>119105</v>
      </c>
      <c r="D108" s="379" t="s">
        <v>2971</v>
      </c>
      <c r="E108" s="379" t="s">
        <v>2972</v>
      </c>
    </row>
    <row r="109" spans="1:5">
      <c r="A109" s="379" t="s">
        <v>4015</v>
      </c>
      <c r="B109" s="379" t="s">
        <v>314</v>
      </c>
      <c r="C109" s="380">
        <v>132215</v>
      </c>
      <c r="D109" s="379" t="s">
        <v>315</v>
      </c>
      <c r="E109" s="379" t="s">
        <v>316</v>
      </c>
    </row>
    <row r="110" spans="1:5">
      <c r="A110" s="379" t="s">
        <v>4016</v>
      </c>
      <c r="B110" s="379"/>
      <c r="C110" s="380">
        <v>123850</v>
      </c>
      <c r="D110" s="379" t="s">
        <v>3764</v>
      </c>
      <c r="E110" s="379" t="s">
        <v>3765</v>
      </c>
    </row>
    <row r="111" spans="1:5">
      <c r="A111" s="379" t="s">
        <v>4017</v>
      </c>
      <c r="B111" s="379" t="s">
        <v>3578</v>
      </c>
      <c r="C111" s="380">
        <v>132719</v>
      </c>
      <c r="D111" s="379" t="s">
        <v>3579</v>
      </c>
      <c r="E111" s="379" t="s">
        <v>3580</v>
      </c>
    </row>
    <row r="112" spans="1:5">
      <c r="A112" s="379" t="s">
        <v>4018</v>
      </c>
      <c r="B112" s="379" t="s">
        <v>407</v>
      </c>
      <c r="C112" s="380">
        <v>200132</v>
      </c>
      <c r="D112" s="379" t="s">
        <v>408</v>
      </c>
      <c r="E112" s="379" t="s">
        <v>409</v>
      </c>
    </row>
    <row r="113" spans="1:5">
      <c r="A113" s="379" t="s">
        <v>4019</v>
      </c>
      <c r="B113" s="379" t="s">
        <v>2123</v>
      </c>
      <c r="C113" s="380">
        <v>220519</v>
      </c>
      <c r="D113" s="379" t="s">
        <v>2124</v>
      </c>
      <c r="E113" s="379" t="s">
        <v>2125</v>
      </c>
    </row>
    <row r="114" spans="1:5">
      <c r="A114" s="379" t="s">
        <v>4020</v>
      </c>
      <c r="B114" s="379" t="s">
        <v>1050</v>
      </c>
      <c r="C114" s="380">
        <v>100031</v>
      </c>
      <c r="D114" s="379" t="s">
        <v>1051</v>
      </c>
      <c r="E114" s="379" t="s">
        <v>1052</v>
      </c>
    </row>
    <row r="115" spans="1:5">
      <c r="A115" s="379" t="s">
        <v>4021</v>
      </c>
      <c r="B115" s="379" t="s">
        <v>268</v>
      </c>
      <c r="C115" s="380">
        <v>100034</v>
      </c>
      <c r="D115" s="379" t="s">
        <v>269</v>
      </c>
      <c r="E115" s="379" t="s">
        <v>270</v>
      </c>
    </row>
    <row r="116" spans="1:5">
      <c r="A116" s="379" t="s">
        <v>4022</v>
      </c>
      <c r="B116" s="379" t="s">
        <v>299</v>
      </c>
      <c r="C116" s="380">
        <v>205198</v>
      </c>
      <c r="D116" s="379" t="s">
        <v>300</v>
      </c>
      <c r="E116" s="379" t="s">
        <v>301</v>
      </c>
    </row>
    <row r="117" spans="1:5">
      <c r="A117" s="379" t="s">
        <v>4023</v>
      </c>
      <c r="B117" s="379" t="s">
        <v>3078</v>
      </c>
      <c r="C117" s="380">
        <v>212661</v>
      </c>
      <c r="D117" s="379" t="s">
        <v>3079</v>
      </c>
      <c r="E117" s="379" t="s">
        <v>3080</v>
      </c>
    </row>
    <row r="118" spans="1:5">
      <c r="A118" s="379" t="s">
        <v>4024</v>
      </c>
      <c r="B118" s="379" t="s">
        <v>2505</v>
      </c>
      <c r="C118" s="380">
        <v>100032</v>
      </c>
      <c r="D118" s="379" t="s">
        <v>2506</v>
      </c>
      <c r="E118" s="379" t="s">
        <v>2507</v>
      </c>
    </row>
    <row r="119" spans="1:5">
      <c r="A119" s="379" t="s">
        <v>4025</v>
      </c>
      <c r="B119" s="379" t="s">
        <v>515</v>
      </c>
      <c r="C119" s="380">
        <v>100490</v>
      </c>
      <c r="D119" s="379" t="s">
        <v>516</v>
      </c>
      <c r="E119" s="379" t="s">
        <v>517</v>
      </c>
    </row>
    <row r="120" spans="1:5">
      <c r="A120" s="379" t="s">
        <v>4026</v>
      </c>
      <c r="B120" s="379" t="s">
        <v>1217</v>
      </c>
      <c r="C120" s="380">
        <v>130999</v>
      </c>
      <c r="D120" s="379" t="s">
        <v>1218</v>
      </c>
      <c r="E120" s="379" t="s">
        <v>1219</v>
      </c>
    </row>
    <row r="121" spans="1:5">
      <c r="A121" s="379" t="s">
        <v>4027</v>
      </c>
      <c r="B121" s="379" t="s">
        <v>3627</v>
      </c>
      <c r="C121" s="380">
        <v>132382</v>
      </c>
      <c r="D121" s="379" t="s">
        <v>3628</v>
      </c>
      <c r="E121" s="379" t="s">
        <v>3629</v>
      </c>
    </row>
    <row r="122" spans="1:5">
      <c r="A122" s="379" t="s">
        <v>4028</v>
      </c>
      <c r="B122" s="379" t="s">
        <v>572</v>
      </c>
      <c r="C122" s="380">
        <v>102355</v>
      </c>
      <c r="D122" s="379" t="s">
        <v>573</v>
      </c>
      <c r="E122" s="379" t="s">
        <v>574</v>
      </c>
    </row>
    <row r="123" spans="1:5">
      <c r="A123" s="379" t="s">
        <v>4029</v>
      </c>
      <c r="B123" s="379" t="s">
        <v>2487</v>
      </c>
      <c r="C123" s="380">
        <v>123319</v>
      </c>
      <c r="D123" s="379" t="s">
        <v>2488</v>
      </c>
      <c r="E123" s="379" t="s">
        <v>2489</v>
      </c>
    </row>
    <row r="124" spans="1:5">
      <c r="A124" s="379" t="s">
        <v>4030</v>
      </c>
      <c r="B124" s="379"/>
      <c r="C124" s="380">
        <v>132485</v>
      </c>
      <c r="D124" s="379" t="s">
        <v>3303</v>
      </c>
      <c r="E124" s="379" t="s">
        <v>3304</v>
      </c>
    </row>
    <row r="125" spans="1:5">
      <c r="A125" s="379" t="s">
        <v>4031</v>
      </c>
      <c r="B125" s="379" t="s">
        <v>1478</v>
      </c>
      <c r="C125" s="380">
        <v>100038</v>
      </c>
      <c r="D125" s="379" t="s">
        <v>1479</v>
      </c>
      <c r="E125" s="379" t="s">
        <v>1480</v>
      </c>
    </row>
    <row r="126" spans="1:5">
      <c r="A126" s="379" t="s">
        <v>4032</v>
      </c>
      <c r="B126" s="379"/>
      <c r="C126" s="380">
        <v>131112</v>
      </c>
      <c r="D126" s="379" t="s">
        <v>3205</v>
      </c>
      <c r="E126" s="379" t="s">
        <v>3206</v>
      </c>
    </row>
    <row r="127" spans="1:5">
      <c r="A127" s="379" t="s">
        <v>4033</v>
      </c>
      <c r="B127" s="379" t="s">
        <v>2917</v>
      </c>
      <c r="C127" s="380">
        <v>100039</v>
      </c>
      <c r="D127" s="379" t="s">
        <v>2918</v>
      </c>
      <c r="E127" s="379" t="s">
        <v>2919</v>
      </c>
    </row>
    <row r="128" spans="1:5">
      <c r="A128" s="379" t="s">
        <v>4034</v>
      </c>
      <c r="B128" s="379" t="s">
        <v>613</v>
      </c>
      <c r="C128" s="380">
        <v>279527</v>
      </c>
      <c r="D128" s="379" t="s">
        <v>614</v>
      </c>
      <c r="E128" s="379" t="s">
        <v>615</v>
      </c>
    </row>
    <row r="129" spans="1:5">
      <c r="A129" s="379" t="s">
        <v>590</v>
      </c>
      <c r="B129" s="379" t="s">
        <v>591</v>
      </c>
      <c r="C129" s="380">
        <v>132134</v>
      </c>
      <c r="D129" s="379" t="s">
        <v>592</v>
      </c>
      <c r="E129" s="379" t="s">
        <v>593</v>
      </c>
    </row>
    <row r="130" spans="1:5">
      <c r="A130" s="379" t="s">
        <v>1098</v>
      </c>
      <c r="B130" s="379" t="s">
        <v>1099</v>
      </c>
      <c r="C130" s="380">
        <v>132525</v>
      </c>
      <c r="D130" s="379" t="s">
        <v>1100</v>
      </c>
      <c r="E130" s="379" t="s">
        <v>1101</v>
      </c>
    </row>
    <row r="131" spans="1:5">
      <c r="A131" s="379" t="s">
        <v>4035</v>
      </c>
      <c r="B131" s="379" t="s">
        <v>3829</v>
      </c>
      <c r="C131" s="380">
        <v>132674</v>
      </c>
      <c r="D131" s="379" t="s">
        <v>3830</v>
      </c>
      <c r="E131" s="379" t="s">
        <v>3831</v>
      </c>
    </row>
    <row r="132" spans="1:5">
      <c r="A132" s="379" t="s">
        <v>4036</v>
      </c>
      <c r="B132" s="379" t="s">
        <v>2030</v>
      </c>
      <c r="C132" s="380">
        <v>100041</v>
      </c>
      <c r="D132" s="379" t="s">
        <v>2031</v>
      </c>
      <c r="E132" s="379" t="s">
        <v>2032</v>
      </c>
    </row>
    <row r="133" spans="1:5">
      <c r="A133" s="379" t="s">
        <v>4037</v>
      </c>
      <c r="B133" s="379" t="s">
        <v>1664</v>
      </c>
      <c r="C133" s="380">
        <v>228465</v>
      </c>
      <c r="D133" s="379" t="s">
        <v>1665</v>
      </c>
      <c r="E133" s="379" t="s">
        <v>1666</v>
      </c>
    </row>
    <row r="134" spans="1:5">
      <c r="A134" s="379" t="s">
        <v>4038</v>
      </c>
      <c r="B134" s="379" t="s">
        <v>1126</v>
      </c>
      <c r="C134" s="380">
        <v>100042</v>
      </c>
      <c r="D134" s="379" t="s">
        <v>1127</v>
      </c>
      <c r="E134" s="379" t="s">
        <v>1128</v>
      </c>
    </row>
    <row r="135" spans="1:5">
      <c r="A135" s="379" t="s">
        <v>4039</v>
      </c>
      <c r="B135" s="379" t="s">
        <v>850</v>
      </c>
      <c r="C135" s="380">
        <v>100043</v>
      </c>
      <c r="D135" s="379" t="s">
        <v>851</v>
      </c>
      <c r="E135" s="379" t="s">
        <v>852</v>
      </c>
    </row>
    <row r="136" spans="1:5">
      <c r="A136" s="379" t="s">
        <v>4040</v>
      </c>
      <c r="B136" s="379" t="s">
        <v>883</v>
      </c>
      <c r="C136" s="380">
        <v>106285</v>
      </c>
      <c r="D136" s="379" t="s">
        <v>884</v>
      </c>
      <c r="E136" s="379" t="s">
        <v>885</v>
      </c>
    </row>
    <row r="137" spans="1:5">
      <c r="A137" s="379" t="s">
        <v>4041</v>
      </c>
      <c r="B137" s="379" t="s">
        <v>3422</v>
      </c>
      <c r="C137" s="380">
        <v>124332</v>
      </c>
      <c r="D137" s="379" t="s">
        <v>3423</v>
      </c>
      <c r="E137" s="379" t="s">
        <v>3424</v>
      </c>
    </row>
    <row r="138" spans="1:5">
      <c r="A138" s="379" t="s">
        <v>4042</v>
      </c>
      <c r="B138" s="379"/>
      <c r="C138" s="380">
        <v>212682</v>
      </c>
      <c r="D138" s="379" t="s">
        <v>3530</v>
      </c>
      <c r="E138" s="379" t="s">
        <v>3531</v>
      </c>
    </row>
    <row r="139" spans="1:5">
      <c r="A139" s="379" t="s">
        <v>4043</v>
      </c>
      <c r="B139" s="379" t="s">
        <v>1528</v>
      </c>
      <c r="C139" s="380">
        <v>100048</v>
      </c>
      <c r="D139" s="379" t="s">
        <v>1529</v>
      </c>
      <c r="E139" s="379" t="s">
        <v>1530</v>
      </c>
    </row>
    <row r="140" spans="1:5">
      <c r="A140" s="379" t="s">
        <v>4044</v>
      </c>
      <c r="B140" s="379"/>
      <c r="C140" s="380">
        <v>219234</v>
      </c>
      <c r="D140" s="379" t="s">
        <v>2288</v>
      </c>
      <c r="E140" s="379" t="s">
        <v>2289</v>
      </c>
    </row>
    <row r="141" spans="1:5">
      <c r="A141" s="379" t="s">
        <v>4045</v>
      </c>
      <c r="B141" s="379" t="s">
        <v>449</v>
      </c>
      <c r="C141" s="380">
        <v>109480</v>
      </c>
      <c r="D141" s="379" t="s">
        <v>450</v>
      </c>
      <c r="E141" s="379" t="s">
        <v>451</v>
      </c>
    </row>
    <row r="142" spans="1:5">
      <c r="A142" s="379" t="s">
        <v>4046</v>
      </c>
      <c r="B142" s="379" t="s">
        <v>2349</v>
      </c>
      <c r="C142" s="380">
        <v>245011</v>
      </c>
      <c r="D142" s="379" t="s">
        <v>2350</v>
      </c>
      <c r="E142" s="379" t="s">
        <v>2351</v>
      </c>
    </row>
    <row r="143" spans="1:5">
      <c r="A143" s="379" t="s">
        <v>4047</v>
      </c>
      <c r="B143" s="379" t="s">
        <v>3797</v>
      </c>
      <c r="C143" s="380">
        <v>287380</v>
      </c>
      <c r="D143" s="379" t="s">
        <v>3798</v>
      </c>
      <c r="E143" s="379" t="s">
        <v>3799</v>
      </c>
    </row>
    <row r="144" spans="1:5">
      <c r="A144" s="379" t="s">
        <v>4048</v>
      </c>
      <c r="B144" s="379" t="s">
        <v>2935</v>
      </c>
      <c r="C144" s="380">
        <v>220706</v>
      </c>
      <c r="D144" s="379" t="s">
        <v>2936</v>
      </c>
      <c r="E144" s="379" t="s">
        <v>2937</v>
      </c>
    </row>
    <row r="145" spans="1:5">
      <c r="A145" s="379" t="s">
        <v>4049</v>
      </c>
      <c r="B145" s="379" t="s">
        <v>2795</v>
      </c>
      <c r="C145" s="380">
        <v>132430</v>
      </c>
      <c r="D145" s="379" t="s">
        <v>2796</v>
      </c>
      <c r="E145" s="379" t="s">
        <v>2797</v>
      </c>
    </row>
    <row r="146" spans="1:5">
      <c r="A146" s="379" t="s">
        <v>4050</v>
      </c>
      <c r="B146" s="379" t="s">
        <v>3905</v>
      </c>
      <c r="C146" s="380">
        <v>200018</v>
      </c>
      <c r="D146" s="379" t="s">
        <v>3906</v>
      </c>
      <c r="E146" s="379" t="s">
        <v>3907</v>
      </c>
    </row>
    <row r="147" spans="1:5">
      <c r="A147" s="379" t="s">
        <v>4051</v>
      </c>
      <c r="B147" s="379" t="s">
        <v>3055</v>
      </c>
      <c r="C147" s="380">
        <v>130803</v>
      </c>
      <c r="D147" s="379" t="s">
        <v>3056</v>
      </c>
      <c r="E147" s="379" t="s">
        <v>3057</v>
      </c>
    </row>
    <row r="148" spans="1:5">
      <c r="A148" s="379" t="s">
        <v>4052</v>
      </c>
      <c r="B148" s="379" t="s">
        <v>3392</v>
      </c>
      <c r="C148" s="380">
        <v>131719</v>
      </c>
      <c r="D148" s="379" t="s">
        <v>3393</v>
      </c>
      <c r="E148" s="379" t="s">
        <v>3394</v>
      </c>
    </row>
    <row r="149" spans="1:5">
      <c r="A149" s="379" t="s">
        <v>4053</v>
      </c>
      <c r="B149" s="379" t="s">
        <v>2174</v>
      </c>
      <c r="C149" s="380">
        <v>100052</v>
      </c>
      <c r="D149" s="379" t="s">
        <v>2175</v>
      </c>
      <c r="E149" s="379" t="s">
        <v>2176</v>
      </c>
    </row>
    <row r="150" spans="1:5">
      <c r="A150" s="379" t="s">
        <v>4054</v>
      </c>
      <c r="B150" s="379" t="s">
        <v>3084</v>
      </c>
      <c r="C150" s="380">
        <v>103960</v>
      </c>
      <c r="D150" s="379" t="s">
        <v>3085</v>
      </c>
      <c r="E150" s="379" t="s">
        <v>3086</v>
      </c>
    </row>
    <row r="151" spans="1:5">
      <c r="A151" s="379" t="s">
        <v>4055</v>
      </c>
      <c r="B151" s="379" t="s">
        <v>1469</v>
      </c>
      <c r="C151" s="380">
        <v>212705</v>
      </c>
      <c r="D151" s="379" t="s">
        <v>1470</v>
      </c>
      <c r="E151" s="379" t="s">
        <v>1471</v>
      </c>
    </row>
    <row r="152" spans="1:5">
      <c r="A152" s="379" t="s">
        <v>4056</v>
      </c>
      <c r="B152" s="379" t="s">
        <v>533</v>
      </c>
      <c r="C152" s="380">
        <v>100049</v>
      </c>
      <c r="D152" s="379" t="s">
        <v>534</v>
      </c>
      <c r="E152" s="379" t="s">
        <v>535</v>
      </c>
    </row>
    <row r="153" spans="1:5">
      <c r="A153" s="379" t="s">
        <v>4057</v>
      </c>
      <c r="B153" s="379" t="s">
        <v>713</v>
      </c>
      <c r="C153" s="380">
        <v>100493</v>
      </c>
      <c r="D153" s="379" t="s">
        <v>714</v>
      </c>
      <c r="E153" s="379" t="s">
        <v>715</v>
      </c>
    </row>
    <row r="154" spans="1:5">
      <c r="A154" s="379" t="s">
        <v>4058</v>
      </c>
      <c r="B154" s="379" t="s">
        <v>921</v>
      </c>
      <c r="C154" s="380">
        <v>100103</v>
      </c>
      <c r="D154" s="379" t="s">
        <v>922</v>
      </c>
      <c r="E154" s="379" t="s">
        <v>923</v>
      </c>
    </row>
    <row r="155" spans="1:5">
      <c r="A155" s="379" t="s">
        <v>4059</v>
      </c>
      <c r="B155" s="379" t="s">
        <v>428</v>
      </c>
      <c r="C155" s="380">
        <v>100547</v>
      </c>
      <c r="D155" s="379" t="s">
        <v>429</v>
      </c>
      <c r="E155" s="379" t="s">
        <v>430</v>
      </c>
    </row>
    <row r="156" spans="1:5">
      <c r="A156" s="379" t="s">
        <v>4060</v>
      </c>
      <c r="B156" s="379" t="s">
        <v>1757</v>
      </c>
      <c r="C156" s="380">
        <v>190021</v>
      </c>
      <c r="D156" s="379" t="s">
        <v>1758</v>
      </c>
      <c r="E156" s="379" t="s">
        <v>1759</v>
      </c>
    </row>
    <row r="157" spans="1:5">
      <c r="A157" s="379" t="s">
        <v>4061</v>
      </c>
      <c r="B157" s="379" t="s">
        <v>275</v>
      </c>
      <c r="C157" s="380">
        <v>132454</v>
      </c>
      <c r="D157" s="379" t="s">
        <v>276</v>
      </c>
      <c r="E157" s="379" t="s">
        <v>277</v>
      </c>
    </row>
    <row r="158" spans="1:5">
      <c r="A158" s="379" t="s">
        <v>4062</v>
      </c>
      <c r="B158" s="379" t="s">
        <v>581</v>
      </c>
      <c r="C158" s="380">
        <v>132523</v>
      </c>
      <c r="D158" s="379" t="s">
        <v>582</v>
      </c>
      <c r="E158" s="379" t="s">
        <v>583</v>
      </c>
    </row>
    <row r="159" spans="1:5">
      <c r="A159" s="379" t="s">
        <v>4063</v>
      </c>
      <c r="B159" s="379" t="s">
        <v>1171</v>
      </c>
      <c r="C159" s="380">
        <v>100335</v>
      </c>
      <c r="D159" s="379" t="s">
        <v>1172</v>
      </c>
      <c r="E159" s="379" t="s">
        <v>1173</v>
      </c>
    </row>
    <row r="160" spans="1:5">
      <c r="A160" s="379" t="s">
        <v>4064</v>
      </c>
      <c r="B160" s="379" t="s">
        <v>1059</v>
      </c>
      <c r="C160" s="380">
        <v>132400</v>
      </c>
      <c r="D160" s="379" t="s">
        <v>1060</v>
      </c>
      <c r="E160" s="379" t="s">
        <v>1061</v>
      </c>
    </row>
    <row r="161" spans="1:5">
      <c r="A161" s="379" t="s">
        <v>4065</v>
      </c>
      <c r="B161" s="379" t="s">
        <v>2207</v>
      </c>
      <c r="C161" s="380">
        <v>100463</v>
      </c>
      <c r="D161" s="379" t="s">
        <v>2208</v>
      </c>
      <c r="E161" s="379" t="s">
        <v>2209</v>
      </c>
    </row>
    <row r="162" spans="1:5">
      <c r="A162" s="379" t="s">
        <v>4066</v>
      </c>
      <c r="B162" s="379"/>
      <c r="C162" s="380">
        <v>114183</v>
      </c>
      <c r="D162" s="379" t="s">
        <v>3125</v>
      </c>
      <c r="E162" s="379" t="s">
        <v>3126</v>
      </c>
    </row>
    <row r="163" spans="1:5">
      <c r="A163" s="379" t="s">
        <v>4067</v>
      </c>
      <c r="B163" s="379" t="s">
        <v>3008</v>
      </c>
      <c r="C163" s="380">
        <v>106197</v>
      </c>
      <c r="D163" s="379" t="s">
        <v>3009</v>
      </c>
      <c r="E163" s="379" t="s">
        <v>3010</v>
      </c>
    </row>
    <row r="164" spans="1:5">
      <c r="A164" s="379" t="s">
        <v>4068</v>
      </c>
      <c r="B164" s="379" t="s">
        <v>2496</v>
      </c>
      <c r="C164" s="380">
        <v>281585</v>
      </c>
      <c r="D164" s="379" t="s">
        <v>2497</v>
      </c>
      <c r="E164" s="379" t="s">
        <v>2498</v>
      </c>
    </row>
    <row r="165" spans="1:5">
      <c r="A165" s="379" t="s">
        <v>4069</v>
      </c>
      <c r="B165" s="379" t="s">
        <v>1065</v>
      </c>
      <c r="C165" s="380">
        <v>126612</v>
      </c>
      <c r="D165" s="379" t="s">
        <v>1066</v>
      </c>
      <c r="E165" s="379" t="s">
        <v>1067</v>
      </c>
    </row>
    <row r="166" spans="1:5">
      <c r="A166" s="379" t="s">
        <v>4070</v>
      </c>
      <c r="B166" s="379" t="s">
        <v>1247</v>
      </c>
      <c r="C166" s="380">
        <v>100067</v>
      </c>
      <c r="D166" s="379" t="s">
        <v>1248</v>
      </c>
      <c r="E166" s="379" t="s">
        <v>1249</v>
      </c>
    </row>
    <row r="167" spans="1:5">
      <c r="A167" s="379" t="s">
        <v>4071</v>
      </c>
      <c r="B167" s="379"/>
      <c r="C167" s="380">
        <v>212642</v>
      </c>
      <c r="D167" s="379" t="s">
        <v>3313</v>
      </c>
      <c r="E167" s="379" t="s">
        <v>3314</v>
      </c>
    </row>
    <row r="168" spans="1:5">
      <c r="A168" s="379" t="s">
        <v>4072</v>
      </c>
      <c r="B168" s="379" t="s">
        <v>2854</v>
      </c>
      <c r="C168" s="380">
        <v>124370</v>
      </c>
      <c r="D168" s="379" t="s">
        <v>2855</v>
      </c>
      <c r="E168" s="379" t="s">
        <v>2856</v>
      </c>
    </row>
    <row r="169" spans="1:5">
      <c r="A169" s="379" t="s">
        <v>4073</v>
      </c>
      <c r="B169" s="379" t="s">
        <v>1445</v>
      </c>
      <c r="C169" s="380">
        <v>101425</v>
      </c>
      <c r="D169" s="379" t="s">
        <v>1446</v>
      </c>
      <c r="E169" s="379" t="s">
        <v>1447</v>
      </c>
    </row>
    <row r="170" spans="1:5">
      <c r="A170" s="379" t="s">
        <v>4074</v>
      </c>
      <c r="B170" s="379" t="s">
        <v>2326</v>
      </c>
      <c r="C170" s="380">
        <v>100020</v>
      </c>
      <c r="D170" s="379" t="s">
        <v>2327</v>
      </c>
      <c r="E170" s="379" t="s">
        <v>2328</v>
      </c>
    </row>
    <row r="171" spans="1:5">
      <c r="A171" s="379" t="s">
        <v>4075</v>
      </c>
      <c r="B171" s="379" t="s">
        <v>1721</v>
      </c>
      <c r="C171" s="380">
        <v>299229</v>
      </c>
      <c r="D171" s="379" t="s">
        <v>1722</v>
      </c>
      <c r="E171" s="379" t="s">
        <v>1723</v>
      </c>
    </row>
    <row r="172" spans="1:5">
      <c r="A172" s="379" t="s">
        <v>4076</v>
      </c>
      <c r="B172" s="379" t="s">
        <v>1409</v>
      </c>
      <c r="C172" s="380">
        <v>102219</v>
      </c>
      <c r="D172" s="379" t="s">
        <v>1410</v>
      </c>
      <c r="E172" s="379" t="s">
        <v>1411</v>
      </c>
    </row>
    <row r="173" spans="1:5">
      <c r="A173" s="379" t="s">
        <v>4077</v>
      </c>
      <c r="B173" s="379" t="s">
        <v>539</v>
      </c>
      <c r="C173" s="380">
        <v>100530</v>
      </c>
      <c r="D173" s="379" t="s">
        <v>540</v>
      </c>
      <c r="E173" s="379" t="s">
        <v>541</v>
      </c>
    </row>
    <row r="174" spans="1:5">
      <c r="A174" s="379" t="s">
        <v>4078</v>
      </c>
      <c r="B174" s="379" t="s">
        <v>1177</v>
      </c>
      <c r="C174" s="380">
        <v>200020</v>
      </c>
      <c r="D174" s="379" t="s">
        <v>1178</v>
      </c>
      <c r="E174" s="379" t="s">
        <v>1179</v>
      </c>
    </row>
    <row r="175" spans="1:5">
      <c r="A175" s="379" t="s">
        <v>4079</v>
      </c>
      <c r="B175" s="379" t="s">
        <v>930</v>
      </c>
      <c r="C175" s="380">
        <v>132368</v>
      </c>
      <c r="D175" s="379" t="s">
        <v>931</v>
      </c>
      <c r="E175" s="379" t="s">
        <v>932</v>
      </c>
    </row>
    <row r="176" spans="1:5">
      <c r="A176" s="379" t="s">
        <v>4080</v>
      </c>
      <c r="B176" s="379" t="s">
        <v>425</v>
      </c>
      <c r="C176" s="380">
        <v>100825</v>
      </c>
      <c r="D176" s="379" t="s">
        <v>426</v>
      </c>
      <c r="E176" s="379" t="s">
        <v>427</v>
      </c>
    </row>
    <row r="177" spans="1:5">
      <c r="A177" s="379" t="s">
        <v>4081</v>
      </c>
      <c r="B177" s="379" t="s">
        <v>1325</v>
      </c>
      <c r="C177" s="380">
        <v>207901</v>
      </c>
      <c r="D177" s="379" t="s">
        <v>1326</v>
      </c>
      <c r="E177" s="379" t="s">
        <v>1327</v>
      </c>
    </row>
    <row r="178" spans="1:5">
      <c r="A178" s="379" t="s">
        <v>4082</v>
      </c>
      <c r="B178" s="379" t="s">
        <v>1637</v>
      </c>
      <c r="C178" s="380">
        <v>296214</v>
      </c>
      <c r="D178" s="379" t="s">
        <v>1638</v>
      </c>
      <c r="E178" s="379" t="s">
        <v>1639</v>
      </c>
    </row>
    <row r="179" spans="1:5">
      <c r="A179" s="379" t="s">
        <v>4083</v>
      </c>
      <c r="B179" s="379" t="s">
        <v>2429</v>
      </c>
      <c r="C179" s="380">
        <v>117421</v>
      </c>
      <c r="D179" s="379" t="s">
        <v>2430</v>
      </c>
      <c r="E179" s="379" t="s">
        <v>2431</v>
      </c>
    </row>
    <row r="180" spans="1:5">
      <c r="A180" s="379" t="s">
        <v>4084</v>
      </c>
      <c r="B180" s="379" t="s">
        <v>545</v>
      </c>
      <c r="C180" s="380">
        <v>132321</v>
      </c>
      <c r="D180" s="379" t="s">
        <v>546</v>
      </c>
      <c r="E180" s="379" t="s">
        <v>547</v>
      </c>
    </row>
    <row r="181" spans="1:5">
      <c r="A181" s="379" t="s">
        <v>4085</v>
      </c>
      <c r="B181" s="379" t="s">
        <v>2727</v>
      </c>
      <c r="C181" s="380">
        <v>132834</v>
      </c>
      <c r="D181" s="379" t="s">
        <v>2728</v>
      </c>
      <c r="E181" s="379" t="s">
        <v>2729</v>
      </c>
    </row>
    <row r="182" spans="1:5">
      <c r="A182" s="379" t="s">
        <v>4086</v>
      </c>
      <c r="B182" s="379" t="s">
        <v>1439</v>
      </c>
      <c r="C182" s="380">
        <v>111196</v>
      </c>
      <c r="D182" s="379" t="s">
        <v>1440</v>
      </c>
      <c r="E182" s="379" t="s">
        <v>1441</v>
      </c>
    </row>
    <row r="183" spans="1:5">
      <c r="A183" s="379" t="s">
        <v>4087</v>
      </c>
      <c r="B183" s="379" t="s">
        <v>2926</v>
      </c>
      <c r="C183" s="380">
        <v>219452</v>
      </c>
      <c r="D183" s="379" t="s">
        <v>2927</v>
      </c>
      <c r="E183" s="379" t="s">
        <v>2928</v>
      </c>
    </row>
    <row r="184" spans="1:5">
      <c r="A184" s="379" t="s">
        <v>4088</v>
      </c>
      <c r="B184" s="379" t="s">
        <v>2991</v>
      </c>
      <c r="C184" s="380">
        <v>285668</v>
      </c>
      <c r="D184" s="379" t="s">
        <v>2992</v>
      </c>
      <c r="E184" s="379" t="s">
        <v>2993</v>
      </c>
    </row>
    <row r="185" spans="1:5">
      <c r="A185" s="379" t="s">
        <v>4089</v>
      </c>
      <c r="B185" s="379"/>
      <c r="C185" s="380">
        <v>130879</v>
      </c>
      <c r="D185" s="379" t="s">
        <v>3240</v>
      </c>
      <c r="E185" s="379" t="s">
        <v>3241</v>
      </c>
    </row>
    <row r="186" spans="1:5">
      <c r="A186" s="379" t="s">
        <v>4090</v>
      </c>
      <c r="B186" s="379" t="s">
        <v>1579</v>
      </c>
      <c r="C186" s="380">
        <v>124742</v>
      </c>
      <c r="D186" s="379" t="s">
        <v>1580</v>
      </c>
      <c r="E186" s="379" t="s">
        <v>1581</v>
      </c>
    </row>
    <row r="187" spans="1:5">
      <c r="A187" s="379" t="s">
        <v>4091</v>
      </c>
      <c r="B187" s="379" t="s">
        <v>1313</v>
      </c>
      <c r="C187" s="380">
        <v>131595</v>
      </c>
      <c r="D187" s="379" t="s">
        <v>1314</v>
      </c>
      <c r="E187" s="379" t="s">
        <v>1315</v>
      </c>
    </row>
    <row r="188" spans="1:5">
      <c r="A188" s="379" t="s">
        <v>4092</v>
      </c>
      <c r="B188" s="379" t="s">
        <v>989</v>
      </c>
      <c r="C188" s="380">
        <v>113375</v>
      </c>
      <c r="D188" s="379" t="s">
        <v>990</v>
      </c>
      <c r="E188" s="379" t="s">
        <v>991</v>
      </c>
    </row>
    <row r="189" spans="1:5">
      <c r="A189" s="379" t="s">
        <v>4093</v>
      </c>
      <c r="B189" s="379" t="s">
        <v>2571</v>
      </c>
      <c r="C189" s="380">
        <v>227347</v>
      </c>
      <c r="D189" s="379" t="s">
        <v>2572</v>
      </c>
      <c r="E189" s="379" t="s">
        <v>2573</v>
      </c>
    </row>
    <row r="190" spans="1:5">
      <c r="A190" s="379" t="s">
        <v>4094</v>
      </c>
      <c r="B190" s="379" t="s">
        <v>1865</v>
      </c>
      <c r="C190" s="380">
        <v>275316</v>
      </c>
      <c r="D190" s="379" t="s">
        <v>1866</v>
      </c>
      <c r="E190" s="379" t="s">
        <v>1867</v>
      </c>
    </row>
    <row r="191" spans="1:5">
      <c r="A191" s="379" t="s">
        <v>4095</v>
      </c>
      <c r="B191" s="379" t="s">
        <v>1135</v>
      </c>
      <c r="C191" s="380">
        <v>100870</v>
      </c>
      <c r="D191" s="379" t="s">
        <v>1136</v>
      </c>
      <c r="E191" s="379" t="s">
        <v>1137</v>
      </c>
    </row>
    <row r="192" spans="1:5">
      <c r="A192" s="379" t="s">
        <v>4096</v>
      </c>
      <c r="B192" s="379" t="s">
        <v>1608</v>
      </c>
      <c r="C192" s="380">
        <v>119600</v>
      </c>
      <c r="D192" s="379" t="s">
        <v>1609</v>
      </c>
      <c r="E192" s="379" t="s">
        <v>1610</v>
      </c>
    </row>
    <row r="193" spans="1:5">
      <c r="A193" s="379" t="s">
        <v>4097</v>
      </c>
      <c r="B193" s="379" t="s">
        <v>1337</v>
      </c>
      <c r="C193" s="380">
        <v>303322</v>
      </c>
      <c r="D193" s="379" t="s">
        <v>1338</v>
      </c>
      <c r="E193" s="379" t="s">
        <v>1339</v>
      </c>
    </row>
    <row r="194" spans="1:5">
      <c r="A194" s="379" t="s">
        <v>4098</v>
      </c>
      <c r="B194" s="379" t="s">
        <v>1685</v>
      </c>
      <c r="C194" s="380">
        <v>100878</v>
      </c>
      <c r="D194" s="379" t="s">
        <v>1686</v>
      </c>
      <c r="E194" s="379" t="s">
        <v>1687</v>
      </c>
    </row>
    <row r="195" spans="1:5">
      <c r="A195" s="379" t="s">
        <v>960</v>
      </c>
      <c r="B195" s="379" t="s">
        <v>961</v>
      </c>
      <c r="C195" s="380">
        <v>132885</v>
      </c>
      <c r="D195" s="379" t="s">
        <v>962</v>
      </c>
      <c r="E195" s="379" t="s">
        <v>963</v>
      </c>
    </row>
    <row r="196" spans="1:5">
      <c r="A196" s="379" t="s">
        <v>4099</v>
      </c>
      <c r="B196" s="379" t="s">
        <v>1037</v>
      </c>
      <c r="C196" s="380">
        <v>207950</v>
      </c>
      <c r="D196" s="379" t="s">
        <v>1038</v>
      </c>
      <c r="E196" s="379" t="s">
        <v>1039</v>
      </c>
    </row>
    <row r="197" spans="1:5">
      <c r="A197" s="379" t="s">
        <v>4100</v>
      </c>
      <c r="B197" s="379" t="s">
        <v>2845</v>
      </c>
      <c r="C197" s="380">
        <v>101150</v>
      </c>
      <c r="D197" s="379" t="s">
        <v>2846</v>
      </c>
      <c r="E197" s="379" t="s">
        <v>2847</v>
      </c>
    </row>
    <row r="198" spans="1:5">
      <c r="A198" s="379" t="s">
        <v>4101</v>
      </c>
      <c r="B198" s="379" t="s">
        <v>3502</v>
      </c>
      <c r="C198" s="380">
        <v>117544</v>
      </c>
      <c r="D198" s="379" t="s">
        <v>3503</v>
      </c>
      <c r="E198" s="379" t="s">
        <v>3504</v>
      </c>
    </row>
    <row r="199" spans="1:5">
      <c r="A199" s="379" t="s">
        <v>4102</v>
      </c>
      <c r="B199" s="379" t="s">
        <v>3207</v>
      </c>
      <c r="C199" s="380">
        <v>100280</v>
      </c>
      <c r="D199" s="379" t="s">
        <v>3208</v>
      </c>
      <c r="E199" s="379" t="s">
        <v>3209</v>
      </c>
    </row>
    <row r="200" spans="1:5">
      <c r="A200" s="379" t="s">
        <v>4103</v>
      </c>
      <c r="B200" s="379" t="s">
        <v>1092</v>
      </c>
      <c r="C200" s="380">
        <v>132548</v>
      </c>
      <c r="D200" s="379" t="s">
        <v>1093</v>
      </c>
      <c r="E200" s="379" t="s">
        <v>1094</v>
      </c>
    </row>
    <row r="201" spans="1:5">
      <c r="A201" s="379" t="s">
        <v>4104</v>
      </c>
      <c r="B201" s="379" t="s">
        <v>1232</v>
      </c>
      <c r="C201" s="380">
        <v>100040</v>
      </c>
      <c r="D201" s="379" t="s">
        <v>1233</v>
      </c>
      <c r="E201" s="379" t="s">
        <v>1234</v>
      </c>
    </row>
    <row r="202" spans="1:5">
      <c r="A202" s="379" t="s">
        <v>4105</v>
      </c>
      <c r="B202" s="379" t="s">
        <v>1576</v>
      </c>
      <c r="C202" s="380">
        <v>132443</v>
      </c>
      <c r="D202" s="379" t="s">
        <v>1577</v>
      </c>
      <c r="E202" s="379" t="s">
        <v>1578</v>
      </c>
    </row>
    <row r="203" spans="1:5">
      <c r="A203" s="379" t="s">
        <v>4106</v>
      </c>
      <c r="B203" s="379" t="s">
        <v>3142</v>
      </c>
      <c r="C203" s="380">
        <v>132413</v>
      </c>
      <c r="D203" s="379" t="s">
        <v>3143</v>
      </c>
      <c r="E203" s="379" t="s">
        <v>3144</v>
      </c>
    </row>
    <row r="204" spans="1:5">
      <c r="A204" s="379" t="s">
        <v>4107</v>
      </c>
      <c r="B204" s="379" t="s">
        <v>1156</v>
      </c>
      <c r="C204" s="380">
        <v>100084</v>
      </c>
      <c r="D204" s="379" t="s">
        <v>1157</v>
      </c>
      <c r="E204" s="379" t="s">
        <v>1158</v>
      </c>
    </row>
    <row r="205" spans="1:5">
      <c r="A205" s="379" t="s">
        <v>4108</v>
      </c>
      <c r="B205" s="379" t="s">
        <v>816</v>
      </c>
      <c r="C205" s="380">
        <v>100093</v>
      </c>
      <c r="D205" s="379" t="s">
        <v>817</v>
      </c>
      <c r="E205" s="379" t="s">
        <v>818</v>
      </c>
    </row>
    <row r="206" spans="1:5">
      <c r="A206" s="379" t="s">
        <v>4109</v>
      </c>
      <c r="B206" s="379" t="s">
        <v>1748</v>
      </c>
      <c r="C206" s="380">
        <v>207959</v>
      </c>
      <c r="D206" s="379" t="s">
        <v>1749</v>
      </c>
      <c r="E206" s="379" t="s">
        <v>1750</v>
      </c>
    </row>
    <row r="207" spans="1:5">
      <c r="A207" s="379" t="s">
        <v>4110</v>
      </c>
      <c r="B207" s="379" t="s">
        <v>1019</v>
      </c>
      <c r="C207" s="380">
        <v>100085</v>
      </c>
      <c r="D207" s="379" t="s">
        <v>1020</v>
      </c>
      <c r="E207" s="379" t="s">
        <v>1021</v>
      </c>
    </row>
    <row r="208" spans="1:5">
      <c r="A208" s="379" t="s">
        <v>4111</v>
      </c>
      <c r="B208" s="379" t="s">
        <v>2878</v>
      </c>
      <c r="C208" s="380">
        <v>295757</v>
      </c>
      <c r="D208" s="379" t="s">
        <v>2879</v>
      </c>
      <c r="E208" s="379" t="s">
        <v>2880</v>
      </c>
    </row>
    <row r="209" spans="1:5">
      <c r="A209" s="379" t="s">
        <v>4112</v>
      </c>
      <c r="B209" s="379" t="s">
        <v>1307</v>
      </c>
      <c r="C209" s="380">
        <v>106355</v>
      </c>
      <c r="D209" s="379" t="s">
        <v>1308</v>
      </c>
      <c r="E209" s="379" t="s">
        <v>1309</v>
      </c>
    </row>
    <row r="210" spans="1:5">
      <c r="A210" s="379" t="s">
        <v>4113</v>
      </c>
      <c r="B210" s="379" t="s">
        <v>2718</v>
      </c>
      <c r="C210" s="380">
        <v>100110</v>
      </c>
      <c r="D210" s="379" t="s">
        <v>2719</v>
      </c>
      <c r="E210" s="379" t="s">
        <v>2720</v>
      </c>
    </row>
    <row r="211" spans="1:5">
      <c r="A211" s="379" t="s">
        <v>4114</v>
      </c>
      <c r="B211" s="379"/>
      <c r="C211" s="380">
        <v>126817</v>
      </c>
      <c r="D211" s="379" t="s">
        <v>3321</v>
      </c>
      <c r="E211" s="379" t="s">
        <v>3322</v>
      </c>
    </row>
    <row r="212" spans="1:5">
      <c r="A212" s="379" t="s">
        <v>4115</v>
      </c>
      <c r="B212" s="379"/>
      <c r="C212" s="380">
        <v>131358</v>
      </c>
      <c r="D212" s="379" t="s">
        <v>3698</v>
      </c>
      <c r="E212" s="379" t="s">
        <v>3699</v>
      </c>
    </row>
    <row r="213" spans="1:5">
      <c r="A213" s="379" t="s">
        <v>4116</v>
      </c>
      <c r="B213" s="379" t="s">
        <v>1132</v>
      </c>
      <c r="C213" s="380">
        <v>104973</v>
      </c>
      <c r="D213" s="379" t="s">
        <v>1133</v>
      </c>
      <c r="E213" s="379" t="s">
        <v>1134</v>
      </c>
    </row>
    <row r="214" spans="1:5">
      <c r="A214" s="379" t="s">
        <v>4117</v>
      </c>
      <c r="B214" s="379" t="s">
        <v>578</v>
      </c>
      <c r="C214" s="380">
        <v>111243</v>
      </c>
      <c r="D214" s="379" t="s">
        <v>579</v>
      </c>
      <c r="E214" s="379" t="s">
        <v>580</v>
      </c>
    </row>
    <row r="215" spans="1:5">
      <c r="A215" s="379" t="s">
        <v>4118</v>
      </c>
      <c r="B215" s="379" t="s">
        <v>2706</v>
      </c>
      <c r="C215" s="380">
        <v>205759</v>
      </c>
      <c r="D215" s="379" t="s">
        <v>2707</v>
      </c>
      <c r="E215" s="379" t="s">
        <v>2708</v>
      </c>
    </row>
    <row r="216" spans="1:5">
      <c r="A216" s="379" t="s">
        <v>4119</v>
      </c>
      <c r="B216" s="379" t="s">
        <v>446</v>
      </c>
      <c r="C216" s="380">
        <v>100087</v>
      </c>
      <c r="D216" s="379" t="s">
        <v>447</v>
      </c>
      <c r="E216" s="379" t="s">
        <v>448</v>
      </c>
    </row>
    <row r="217" spans="1:5">
      <c r="A217" s="379" t="s">
        <v>4120</v>
      </c>
      <c r="B217" s="379" t="s">
        <v>1238</v>
      </c>
      <c r="C217" s="380">
        <v>132210</v>
      </c>
      <c r="D217" s="379" t="s">
        <v>1239</v>
      </c>
      <c r="E217" s="379" t="s">
        <v>1240</v>
      </c>
    </row>
    <row r="218" spans="1:5">
      <c r="A218" s="379" t="s">
        <v>4121</v>
      </c>
      <c r="B218" s="379" t="s">
        <v>3052</v>
      </c>
      <c r="C218" s="380">
        <v>106390</v>
      </c>
      <c r="D218" s="379" t="s">
        <v>3053</v>
      </c>
      <c r="E218" s="379" t="s">
        <v>3054</v>
      </c>
    </row>
    <row r="219" spans="1:5">
      <c r="A219" s="379" t="s">
        <v>4122</v>
      </c>
      <c r="B219" s="379" t="s">
        <v>795</v>
      </c>
      <c r="C219" s="380">
        <v>301912</v>
      </c>
      <c r="D219" s="379" t="s">
        <v>796</v>
      </c>
      <c r="E219" s="379" t="s">
        <v>797</v>
      </c>
    </row>
    <row r="220" spans="1:5">
      <c r="A220" s="379" t="s">
        <v>4123</v>
      </c>
      <c r="B220" s="379" t="s">
        <v>410</v>
      </c>
      <c r="C220" s="380">
        <v>219300</v>
      </c>
      <c r="D220" s="379" t="s">
        <v>411</v>
      </c>
      <c r="E220" s="379" t="s">
        <v>412</v>
      </c>
    </row>
    <row r="221" spans="1:5">
      <c r="A221" s="379" t="s">
        <v>4124</v>
      </c>
      <c r="B221" s="379" t="s">
        <v>1760</v>
      </c>
      <c r="C221" s="380">
        <v>219691</v>
      </c>
      <c r="D221" s="379" t="s">
        <v>1761</v>
      </c>
      <c r="E221" s="379" t="s">
        <v>1762</v>
      </c>
    </row>
    <row r="222" spans="1:5">
      <c r="A222" s="379" t="s">
        <v>4125</v>
      </c>
      <c r="B222" s="379" t="s">
        <v>3260</v>
      </c>
      <c r="C222" s="380">
        <v>232575</v>
      </c>
      <c r="D222" s="379" t="s">
        <v>3261</v>
      </c>
      <c r="E222" s="379" t="s">
        <v>3262</v>
      </c>
    </row>
    <row r="223" spans="1:5">
      <c r="A223" s="379" t="s">
        <v>4126</v>
      </c>
      <c r="B223" s="379" t="s">
        <v>686</v>
      </c>
      <c r="C223" s="380">
        <v>132541</v>
      </c>
      <c r="D223" s="379" t="s">
        <v>687</v>
      </c>
      <c r="E223" s="379" t="s">
        <v>688</v>
      </c>
    </row>
    <row r="224" spans="1:5">
      <c r="A224" s="379" t="s">
        <v>4127</v>
      </c>
      <c r="B224" s="379" t="s">
        <v>628</v>
      </c>
      <c r="C224" s="380">
        <v>100830</v>
      </c>
      <c r="D224" s="379" t="s">
        <v>629</v>
      </c>
      <c r="E224" s="379" t="s">
        <v>630</v>
      </c>
    </row>
    <row r="225" spans="1:5">
      <c r="A225" s="379" t="s">
        <v>4128</v>
      </c>
      <c r="B225" s="379" t="s">
        <v>1108</v>
      </c>
      <c r="C225" s="380">
        <v>210036</v>
      </c>
      <c r="D225" s="379" t="s">
        <v>1109</v>
      </c>
      <c r="E225" s="379" t="s">
        <v>1110</v>
      </c>
    </row>
    <row r="226" spans="1:5">
      <c r="A226" s="379" t="s">
        <v>4129</v>
      </c>
      <c r="B226" s="379" t="s">
        <v>2385</v>
      </c>
      <c r="C226" s="380">
        <v>126829</v>
      </c>
      <c r="D226" s="379" t="s">
        <v>2386</v>
      </c>
      <c r="E226" s="379" t="s">
        <v>2387</v>
      </c>
    </row>
    <row r="227" spans="1:5">
      <c r="A227" s="379" t="s">
        <v>4130</v>
      </c>
      <c r="B227" s="379" t="s">
        <v>3894</v>
      </c>
      <c r="C227" s="380">
        <v>100226</v>
      </c>
      <c r="D227" s="379" t="s">
        <v>3895</v>
      </c>
      <c r="E227" s="379" t="s">
        <v>3896</v>
      </c>
    </row>
    <row r="228" spans="1:5">
      <c r="A228" s="379" t="s">
        <v>4131</v>
      </c>
      <c r="B228" s="379" t="s">
        <v>653</v>
      </c>
      <c r="C228" s="380">
        <v>131344</v>
      </c>
      <c r="D228" s="379" t="s">
        <v>654</v>
      </c>
      <c r="E228" s="379" t="s">
        <v>655</v>
      </c>
    </row>
    <row r="229" spans="1:5">
      <c r="A229" s="379" t="s">
        <v>4132</v>
      </c>
      <c r="B229" s="379" t="s">
        <v>3775</v>
      </c>
      <c r="C229" s="380">
        <v>122295</v>
      </c>
      <c r="D229" s="379" t="s">
        <v>3776</v>
      </c>
      <c r="E229" s="379" t="s">
        <v>3777</v>
      </c>
    </row>
    <row r="230" spans="1:5">
      <c r="A230" s="379" t="s">
        <v>4133</v>
      </c>
      <c r="B230" s="379" t="s">
        <v>880</v>
      </c>
      <c r="C230" s="380">
        <v>106395</v>
      </c>
      <c r="D230" s="379" t="s">
        <v>881</v>
      </c>
      <c r="E230" s="379" t="s">
        <v>882</v>
      </c>
    </row>
    <row r="231" spans="1:5">
      <c r="A231" s="379" t="s">
        <v>4134</v>
      </c>
      <c r="B231" s="379" t="s">
        <v>2228</v>
      </c>
      <c r="C231" s="380">
        <v>108814</v>
      </c>
      <c r="D231" s="379" t="s">
        <v>2229</v>
      </c>
      <c r="E231" s="379" t="s">
        <v>2230</v>
      </c>
    </row>
    <row r="232" spans="1:5">
      <c r="A232" s="379" t="s">
        <v>4135</v>
      </c>
      <c r="B232" s="379" t="s">
        <v>1715</v>
      </c>
      <c r="C232" s="380">
        <v>215216</v>
      </c>
      <c r="D232" s="379" t="s">
        <v>1716</v>
      </c>
      <c r="E232" s="379" t="s">
        <v>1717</v>
      </c>
    </row>
    <row r="233" spans="1:5">
      <c r="A233" s="379" t="s">
        <v>4136</v>
      </c>
      <c r="B233" s="379" t="s">
        <v>3891</v>
      </c>
      <c r="C233" s="380">
        <v>285246</v>
      </c>
      <c r="D233" s="379" t="s">
        <v>3892</v>
      </c>
      <c r="E233" s="379" t="s">
        <v>3893</v>
      </c>
    </row>
    <row r="234" spans="1:5">
      <c r="A234" s="379" t="s">
        <v>4137</v>
      </c>
      <c r="B234" s="379" t="s">
        <v>1262</v>
      </c>
      <c r="C234" s="380">
        <v>221842</v>
      </c>
      <c r="D234" s="379" t="s">
        <v>1263</v>
      </c>
      <c r="E234" s="379" t="s">
        <v>1264</v>
      </c>
    </row>
    <row r="235" spans="1:5">
      <c r="A235" s="379" t="s">
        <v>4138</v>
      </c>
      <c r="B235" s="379" t="s">
        <v>889</v>
      </c>
      <c r="C235" s="380">
        <v>100092</v>
      </c>
      <c r="D235" s="379" t="s">
        <v>890</v>
      </c>
      <c r="E235" s="379" t="s">
        <v>891</v>
      </c>
    </row>
    <row r="236" spans="1:5">
      <c r="A236" s="379" t="s">
        <v>4139</v>
      </c>
      <c r="B236" s="379" t="s">
        <v>783</v>
      </c>
      <c r="C236" s="380">
        <v>280713</v>
      </c>
      <c r="D236" s="379" t="s">
        <v>784</v>
      </c>
      <c r="E236" s="379" t="s">
        <v>785</v>
      </c>
    </row>
    <row r="237" spans="1:5">
      <c r="A237" s="379" t="s">
        <v>4140</v>
      </c>
      <c r="B237" s="379" t="s">
        <v>1835</v>
      </c>
      <c r="C237" s="380">
        <v>295768</v>
      </c>
      <c r="D237" s="379" t="s">
        <v>1836</v>
      </c>
      <c r="E237" s="379" t="s">
        <v>1837</v>
      </c>
    </row>
    <row r="238" spans="1:5">
      <c r="A238" s="379" t="s">
        <v>4141</v>
      </c>
      <c r="B238" s="379" t="s">
        <v>813</v>
      </c>
      <c r="C238" s="380">
        <v>100480</v>
      </c>
      <c r="D238" s="379" t="s">
        <v>814</v>
      </c>
      <c r="E238" s="379" t="s">
        <v>815</v>
      </c>
    </row>
    <row r="239" spans="1:5">
      <c r="A239" s="379" t="s">
        <v>4142</v>
      </c>
      <c r="B239" s="379" t="s">
        <v>1198</v>
      </c>
      <c r="C239" s="380">
        <v>132175</v>
      </c>
      <c r="D239" s="379" t="s">
        <v>1199</v>
      </c>
      <c r="E239" s="379" t="s">
        <v>1200</v>
      </c>
    </row>
    <row r="240" spans="1:5">
      <c r="A240" s="379" t="s">
        <v>4143</v>
      </c>
      <c r="B240" s="379" t="s">
        <v>2652</v>
      </c>
      <c r="C240" s="380">
        <v>200067</v>
      </c>
      <c r="D240" s="379" t="s">
        <v>2653</v>
      </c>
      <c r="E240" s="379" t="s">
        <v>2654</v>
      </c>
    </row>
    <row r="241" spans="1:5">
      <c r="A241" s="379" t="s">
        <v>4144</v>
      </c>
      <c r="B241" s="379" t="s">
        <v>3245</v>
      </c>
      <c r="C241" s="380">
        <v>287446</v>
      </c>
      <c r="D241" s="379" t="s">
        <v>3246</v>
      </c>
      <c r="E241" s="379" t="s">
        <v>3247</v>
      </c>
    </row>
    <row r="242" spans="1:5">
      <c r="A242" s="379" t="s">
        <v>4145</v>
      </c>
      <c r="B242" s="379" t="s">
        <v>395</v>
      </c>
      <c r="C242" s="380">
        <v>100096</v>
      </c>
      <c r="D242" s="379" t="s">
        <v>396</v>
      </c>
      <c r="E242" s="379" t="s">
        <v>397</v>
      </c>
    </row>
    <row r="243" spans="1:5">
      <c r="A243" s="379" t="s">
        <v>4146</v>
      </c>
      <c r="B243" s="379" t="s">
        <v>680</v>
      </c>
      <c r="C243" s="380">
        <v>293380</v>
      </c>
      <c r="D243" s="379" t="s">
        <v>681</v>
      </c>
      <c r="E243" s="379" t="s">
        <v>682</v>
      </c>
    </row>
    <row r="244" spans="1:5">
      <c r="A244" s="379" t="s">
        <v>4147</v>
      </c>
      <c r="B244" s="379" t="s">
        <v>2096</v>
      </c>
      <c r="C244" s="380">
        <v>100097</v>
      </c>
      <c r="D244" s="379" t="s">
        <v>2097</v>
      </c>
      <c r="E244" s="379" t="s">
        <v>2098</v>
      </c>
    </row>
    <row r="245" spans="1:5">
      <c r="A245" s="379" t="s">
        <v>4148</v>
      </c>
      <c r="B245" s="379" t="s">
        <v>1883</v>
      </c>
      <c r="C245" s="380">
        <v>222554</v>
      </c>
      <c r="D245" s="379" t="s">
        <v>1884</v>
      </c>
      <c r="E245" s="379" t="s">
        <v>1885</v>
      </c>
    </row>
    <row r="246" spans="1:5">
      <c r="A246" s="379" t="s">
        <v>4149</v>
      </c>
      <c r="B246" s="379" t="s">
        <v>2586</v>
      </c>
      <c r="C246" s="380">
        <v>132528</v>
      </c>
      <c r="D246" s="379" t="s">
        <v>2587</v>
      </c>
      <c r="E246" s="379" t="s">
        <v>2588</v>
      </c>
    </row>
    <row r="247" spans="1:5">
      <c r="A247" s="379" t="s">
        <v>4150</v>
      </c>
      <c r="B247" s="379" t="s">
        <v>3067</v>
      </c>
      <c r="C247" s="380">
        <v>219492</v>
      </c>
      <c r="D247" s="379" t="s">
        <v>3068</v>
      </c>
      <c r="E247" s="379" t="s">
        <v>3069</v>
      </c>
    </row>
    <row r="248" spans="1:5">
      <c r="A248" s="379" t="s">
        <v>4151</v>
      </c>
      <c r="B248" s="379" t="s">
        <v>2273</v>
      </c>
      <c r="C248" s="380">
        <v>132772</v>
      </c>
      <c r="D248" s="379" t="s">
        <v>2274</v>
      </c>
      <c r="E248" s="379" t="s">
        <v>2275</v>
      </c>
    </row>
    <row r="249" spans="1:5">
      <c r="A249" s="379" t="s">
        <v>4152</v>
      </c>
      <c r="B249" s="379" t="s">
        <v>3858</v>
      </c>
      <c r="C249" s="380">
        <v>295658</v>
      </c>
      <c r="D249" s="379" t="s">
        <v>3859</v>
      </c>
      <c r="E249" s="379" t="s">
        <v>3860</v>
      </c>
    </row>
    <row r="250" spans="1:5">
      <c r="A250" s="379" t="s">
        <v>4153</v>
      </c>
      <c r="B250" s="379" t="s">
        <v>3444</v>
      </c>
      <c r="C250" s="380">
        <v>123369</v>
      </c>
      <c r="D250" s="379" t="s">
        <v>3445</v>
      </c>
      <c r="E250" s="379" t="s">
        <v>3446</v>
      </c>
    </row>
    <row r="251" spans="1:5">
      <c r="A251" s="379" t="s">
        <v>4154</v>
      </c>
      <c r="B251" s="379" t="s">
        <v>1062</v>
      </c>
      <c r="C251" s="380">
        <v>123367</v>
      </c>
      <c r="D251" s="379" t="s">
        <v>1063</v>
      </c>
      <c r="E251" s="379" t="s">
        <v>1064</v>
      </c>
    </row>
    <row r="252" spans="1:5">
      <c r="A252" s="379" t="s">
        <v>4155</v>
      </c>
      <c r="B252" s="379" t="s">
        <v>3108</v>
      </c>
      <c r="C252" s="380">
        <v>100117</v>
      </c>
      <c r="D252" s="379" t="s">
        <v>3109</v>
      </c>
      <c r="E252" s="379" t="s">
        <v>3110</v>
      </c>
    </row>
    <row r="253" spans="1:5">
      <c r="A253" s="379" t="s">
        <v>4156</v>
      </c>
      <c r="B253" s="379" t="s">
        <v>3430</v>
      </c>
      <c r="C253" s="380">
        <v>102137</v>
      </c>
      <c r="D253" s="379" t="s">
        <v>3431</v>
      </c>
      <c r="E253" s="379" t="s">
        <v>3432</v>
      </c>
    </row>
    <row r="254" spans="1:5">
      <c r="A254" s="379" t="s">
        <v>4157</v>
      </c>
      <c r="B254" s="379"/>
      <c r="C254" s="380">
        <v>289984</v>
      </c>
      <c r="D254" s="379" t="s">
        <v>3483</v>
      </c>
      <c r="E254" s="379" t="s">
        <v>3484</v>
      </c>
    </row>
    <row r="255" spans="1:5">
      <c r="A255" s="379" t="s">
        <v>4158</v>
      </c>
      <c r="B255" s="379" t="s">
        <v>1742</v>
      </c>
      <c r="C255" s="380">
        <v>100645</v>
      </c>
      <c r="D255" s="379" t="s">
        <v>1743</v>
      </c>
      <c r="E255" s="379" t="s">
        <v>1744</v>
      </c>
    </row>
    <row r="256" spans="1:5">
      <c r="A256" s="379" t="s">
        <v>4159</v>
      </c>
      <c r="B256" s="379" t="s">
        <v>704</v>
      </c>
      <c r="C256" s="380">
        <v>106401</v>
      </c>
      <c r="D256" s="379" t="s">
        <v>705</v>
      </c>
      <c r="E256" s="379" t="s">
        <v>706</v>
      </c>
    </row>
    <row r="257" spans="1:5">
      <c r="A257" s="379" t="s">
        <v>4160</v>
      </c>
      <c r="B257" s="379" t="s">
        <v>3642</v>
      </c>
      <c r="C257" s="380">
        <v>223077</v>
      </c>
      <c r="D257" s="379" t="s">
        <v>3643</v>
      </c>
      <c r="E257" s="379" t="s">
        <v>3644</v>
      </c>
    </row>
    <row r="258" spans="1:5">
      <c r="A258" s="379" t="s">
        <v>4161</v>
      </c>
      <c r="B258" s="379" t="s">
        <v>1460</v>
      </c>
      <c r="C258" s="380">
        <v>132848</v>
      </c>
      <c r="D258" s="379" t="s">
        <v>1461</v>
      </c>
      <c r="E258" s="379" t="s">
        <v>1462</v>
      </c>
    </row>
    <row r="259" spans="1:5">
      <c r="A259" s="379" t="s">
        <v>4162</v>
      </c>
      <c r="B259" s="379" t="s">
        <v>2472</v>
      </c>
      <c r="C259" s="380">
        <v>219237</v>
      </c>
      <c r="D259" s="379" t="s">
        <v>2473</v>
      </c>
      <c r="E259" s="379" t="s">
        <v>2474</v>
      </c>
    </row>
    <row r="260" spans="1:5">
      <c r="A260" s="379" t="s">
        <v>4163</v>
      </c>
      <c r="B260" s="379" t="s">
        <v>912</v>
      </c>
      <c r="C260" s="380">
        <v>208045</v>
      </c>
      <c r="D260" s="379" t="s">
        <v>913</v>
      </c>
      <c r="E260" s="379" t="s">
        <v>914</v>
      </c>
    </row>
    <row r="261" spans="1:5">
      <c r="A261" s="379" t="s">
        <v>4164</v>
      </c>
      <c r="B261" s="379" t="s">
        <v>2807</v>
      </c>
      <c r="C261" s="380">
        <v>119588</v>
      </c>
      <c r="D261" s="379" t="s">
        <v>2808</v>
      </c>
      <c r="E261" s="379" t="s">
        <v>2809</v>
      </c>
    </row>
    <row r="262" spans="1:5">
      <c r="A262" s="379" t="s">
        <v>4165</v>
      </c>
      <c r="B262" s="379" t="s">
        <v>2466</v>
      </c>
      <c r="C262" s="380">
        <v>100119</v>
      </c>
      <c r="D262" s="379" t="s">
        <v>2467</v>
      </c>
      <c r="E262" s="379" t="s">
        <v>2468</v>
      </c>
    </row>
    <row r="263" spans="1:5">
      <c r="A263" s="379" t="s">
        <v>4166</v>
      </c>
      <c r="B263" s="379" t="s">
        <v>1280</v>
      </c>
      <c r="C263" s="380">
        <v>200101</v>
      </c>
      <c r="D263" s="379" t="s">
        <v>1281</v>
      </c>
      <c r="E263" s="379" t="s">
        <v>1282</v>
      </c>
    </row>
    <row r="264" spans="1:5">
      <c r="A264" s="379" t="s">
        <v>4167</v>
      </c>
      <c r="B264" s="379" t="s">
        <v>1992</v>
      </c>
      <c r="C264" s="380">
        <v>107717</v>
      </c>
      <c r="D264" s="379" t="s">
        <v>1993</v>
      </c>
      <c r="E264" s="379" t="s">
        <v>1994</v>
      </c>
    </row>
    <row r="265" spans="1:5">
      <c r="A265" s="379" t="s">
        <v>4168</v>
      </c>
      <c r="B265" s="379"/>
      <c r="C265" s="380">
        <v>284447</v>
      </c>
      <c r="D265" s="379" t="s">
        <v>3213</v>
      </c>
      <c r="E265" s="379" t="s">
        <v>3214</v>
      </c>
    </row>
    <row r="266" spans="1:5">
      <c r="A266" s="379" t="s">
        <v>4169</v>
      </c>
      <c r="B266" s="379" t="s">
        <v>3471</v>
      </c>
      <c r="C266" s="380">
        <v>106405</v>
      </c>
      <c r="D266" s="379" t="s">
        <v>3472</v>
      </c>
      <c r="E266" s="379" t="s">
        <v>3473</v>
      </c>
    </row>
    <row r="267" spans="1:5">
      <c r="A267" s="379" t="s">
        <v>4170</v>
      </c>
      <c r="B267" s="379" t="s">
        <v>3419</v>
      </c>
      <c r="C267" s="380">
        <v>123736</v>
      </c>
      <c r="D267" s="379" t="s">
        <v>3420</v>
      </c>
      <c r="E267" s="379" t="s">
        <v>3421</v>
      </c>
    </row>
    <row r="268" spans="1:5">
      <c r="A268" s="379" t="s">
        <v>4171</v>
      </c>
      <c r="B268" s="379" t="s">
        <v>3037</v>
      </c>
      <c r="C268" s="380">
        <v>117214</v>
      </c>
      <c r="D268" s="379" t="s">
        <v>3038</v>
      </c>
      <c r="E268" s="379" t="s">
        <v>3039</v>
      </c>
    </row>
    <row r="269" spans="1:5">
      <c r="A269" s="379" t="s">
        <v>4172</v>
      </c>
      <c r="B269" s="379" t="s">
        <v>1493</v>
      </c>
      <c r="C269" s="380">
        <v>226480</v>
      </c>
      <c r="D269" s="379" t="s">
        <v>1494</v>
      </c>
      <c r="E269" s="379" t="s">
        <v>1495</v>
      </c>
    </row>
    <row r="270" spans="1:5">
      <c r="A270" s="379" t="s">
        <v>4173</v>
      </c>
      <c r="B270" s="379" t="s">
        <v>3408</v>
      </c>
      <c r="C270" s="380">
        <v>100068</v>
      </c>
      <c r="D270" s="379" t="s">
        <v>3409</v>
      </c>
      <c r="E270" s="379" t="s">
        <v>3410</v>
      </c>
    </row>
    <row r="271" spans="1:5">
      <c r="A271" s="379" t="s">
        <v>4174</v>
      </c>
      <c r="B271" s="379" t="s">
        <v>1934</v>
      </c>
      <c r="C271" s="380">
        <v>132839</v>
      </c>
      <c r="D271" s="379" t="s">
        <v>1935</v>
      </c>
      <c r="E271" s="379" t="s">
        <v>1936</v>
      </c>
    </row>
    <row r="272" spans="1:5">
      <c r="A272" s="379" t="s">
        <v>4175</v>
      </c>
      <c r="B272" s="379" t="s">
        <v>2086</v>
      </c>
      <c r="C272" s="380">
        <v>228555</v>
      </c>
      <c r="D272" s="379" t="s">
        <v>2087</v>
      </c>
      <c r="E272" s="379" t="s">
        <v>2088</v>
      </c>
    </row>
    <row r="273" spans="1:5">
      <c r="A273" s="379" t="s">
        <v>4176</v>
      </c>
      <c r="B273" s="379" t="s">
        <v>371</v>
      </c>
      <c r="C273" s="380">
        <v>132488</v>
      </c>
      <c r="D273" s="379" t="s">
        <v>372</v>
      </c>
      <c r="E273" s="379" t="s">
        <v>373</v>
      </c>
    </row>
    <row r="274" spans="1:5">
      <c r="A274" s="379" t="s">
        <v>4177</v>
      </c>
      <c r="B274" s="379" t="s">
        <v>707</v>
      </c>
      <c r="C274" s="380">
        <v>210072</v>
      </c>
      <c r="D274" s="379" t="s">
        <v>708</v>
      </c>
      <c r="E274" s="379" t="s">
        <v>709</v>
      </c>
    </row>
    <row r="275" spans="1:5">
      <c r="A275" s="379" t="s">
        <v>4178</v>
      </c>
      <c r="B275" s="379" t="s">
        <v>404</v>
      </c>
      <c r="C275" s="380">
        <v>132868</v>
      </c>
      <c r="D275" s="379" t="s">
        <v>405</v>
      </c>
      <c r="E275" s="379" t="s">
        <v>406</v>
      </c>
    </row>
    <row r="276" spans="1:5">
      <c r="A276" s="379" t="s">
        <v>4179</v>
      </c>
      <c r="B276" s="379" t="s">
        <v>3700</v>
      </c>
      <c r="C276" s="380">
        <v>219321</v>
      </c>
      <c r="D276" s="379" t="s">
        <v>3701</v>
      </c>
      <c r="E276" s="379" t="s">
        <v>3702</v>
      </c>
    </row>
    <row r="277" spans="1:5">
      <c r="A277" s="379" t="s">
        <v>2039</v>
      </c>
      <c r="B277" s="379" t="s">
        <v>2040</v>
      </c>
      <c r="C277" s="380">
        <v>222414</v>
      </c>
      <c r="D277" s="379" t="s">
        <v>2041</v>
      </c>
      <c r="E277" s="379" t="s">
        <v>2042</v>
      </c>
    </row>
    <row r="278" spans="1:5">
      <c r="A278" s="379" t="s">
        <v>4180</v>
      </c>
      <c r="B278" s="379" t="s">
        <v>2760</v>
      </c>
      <c r="C278" s="380">
        <v>105526</v>
      </c>
      <c r="D278" s="379" t="s">
        <v>2761</v>
      </c>
      <c r="E278" s="379" t="s">
        <v>2762</v>
      </c>
    </row>
    <row r="279" spans="1:5">
      <c r="A279" s="379" t="s">
        <v>4181</v>
      </c>
      <c r="B279" s="379" t="s">
        <v>2302</v>
      </c>
      <c r="C279" s="380">
        <v>207877</v>
      </c>
      <c r="D279" s="379" t="s">
        <v>2303</v>
      </c>
      <c r="E279" s="379" t="s">
        <v>2304</v>
      </c>
    </row>
    <row r="280" spans="1:5">
      <c r="A280" s="379" t="s">
        <v>4182</v>
      </c>
      <c r="B280" s="379" t="s">
        <v>750</v>
      </c>
      <c r="C280" s="380">
        <v>218763</v>
      </c>
      <c r="D280" s="379" t="s">
        <v>751</v>
      </c>
      <c r="E280" s="379" t="s">
        <v>752</v>
      </c>
    </row>
    <row r="281" spans="1:5">
      <c r="A281" s="379" t="s">
        <v>4183</v>
      </c>
      <c r="B281" s="379" t="s">
        <v>434</v>
      </c>
      <c r="C281" s="380">
        <v>100124</v>
      </c>
      <c r="D281" s="379" t="s">
        <v>435</v>
      </c>
      <c r="E281" s="379" t="s">
        <v>436</v>
      </c>
    </row>
    <row r="282" spans="1:5">
      <c r="A282" s="379" t="s">
        <v>4184</v>
      </c>
      <c r="B282" s="379" t="s">
        <v>3291</v>
      </c>
      <c r="C282" s="380">
        <v>123618</v>
      </c>
      <c r="D282" s="379" t="s">
        <v>3292</v>
      </c>
      <c r="E282" s="379" t="s">
        <v>3293</v>
      </c>
    </row>
    <row r="283" spans="1:5">
      <c r="A283" s="379" t="s">
        <v>4185</v>
      </c>
      <c r="B283" s="379" t="s">
        <v>2863</v>
      </c>
      <c r="C283" s="380">
        <v>132610</v>
      </c>
      <c r="D283" s="379" t="s">
        <v>2864</v>
      </c>
      <c r="E283" s="379" t="s">
        <v>2865</v>
      </c>
    </row>
    <row r="284" spans="1:5">
      <c r="A284" s="379" t="s">
        <v>4186</v>
      </c>
      <c r="B284" s="379" t="s">
        <v>2866</v>
      </c>
      <c r="C284" s="380">
        <v>105242</v>
      </c>
      <c r="D284" s="379" t="s">
        <v>2867</v>
      </c>
      <c r="E284" s="379" t="s">
        <v>2868</v>
      </c>
    </row>
    <row r="285" spans="1:5">
      <c r="A285" s="379" t="s">
        <v>4187</v>
      </c>
      <c r="B285" s="379" t="s">
        <v>3496</v>
      </c>
      <c r="C285" s="380">
        <v>132707</v>
      </c>
      <c r="D285" s="379" t="s">
        <v>3497</v>
      </c>
      <c r="E285" s="379" t="s">
        <v>3498</v>
      </c>
    </row>
    <row r="286" spans="1:5">
      <c r="A286" s="379" t="s">
        <v>4188</v>
      </c>
      <c r="B286" s="379" t="s">
        <v>1385</v>
      </c>
      <c r="C286" s="380">
        <v>100125</v>
      </c>
      <c r="D286" s="379" t="s">
        <v>1386</v>
      </c>
      <c r="E286" s="379" t="s">
        <v>1387</v>
      </c>
    </row>
    <row r="287" spans="1:5">
      <c r="A287" s="379" t="s">
        <v>4189</v>
      </c>
      <c r="B287" s="379" t="s">
        <v>1620</v>
      </c>
      <c r="C287" s="380">
        <v>296479</v>
      </c>
      <c r="D287" s="379" t="s">
        <v>1621</v>
      </c>
      <c r="E287" s="379" t="s">
        <v>1622</v>
      </c>
    </row>
    <row r="288" spans="1:5">
      <c r="A288" s="379" t="s">
        <v>4190</v>
      </c>
      <c r="B288" s="379" t="s">
        <v>1343</v>
      </c>
      <c r="C288" s="380">
        <v>200017</v>
      </c>
      <c r="D288" s="379" t="s">
        <v>1344</v>
      </c>
      <c r="E288" s="379" t="s">
        <v>1345</v>
      </c>
    </row>
    <row r="289" spans="1:5">
      <c r="A289" s="379" t="s">
        <v>4191</v>
      </c>
      <c r="B289" s="379" t="s">
        <v>1517</v>
      </c>
      <c r="C289" s="380">
        <v>132922</v>
      </c>
      <c r="D289" s="379" t="s">
        <v>1518</v>
      </c>
      <c r="E289" s="379" t="s">
        <v>1519</v>
      </c>
    </row>
    <row r="290" spans="1:5">
      <c r="A290" s="379" t="s">
        <v>4192</v>
      </c>
      <c r="B290" s="379" t="s">
        <v>473</v>
      </c>
      <c r="C290" s="380">
        <v>105200</v>
      </c>
      <c r="D290" s="379" t="s">
        <v>474</v>
      </c>
      <c r="E290" s="379" t="s">
        <v>475</v>
      </c>
    </row>
    <row r="291" spans="1:5">
      <c r="A291" s="379" t="s">
        <v>4193</v>
      </c>
      <c r="B291" s="379" t="s">
        <v>3090</v>
      </c>
      <c r="C291" s="380">
        <v>123127</v>
      </c>
      <c r="D291" s="379" t="s">
        <v>3091</v>
      </c>
      <c r="E291" s="379" t="s">
        <v>3092</v>
      </c>
    </row>
    <row r="292" spans="1:5">
      <c r="A292" s="379" t="s">
        <v>4194</v>
      </c>
      <c r="B292" s="379" t="s">
        <v>1415</v>
      </c>
      <c r="C292" s="380">
        <v>100840</v>
      </c>
      <c r="D292" s="379" t="s">
        <v>1416</v>
      </c>
      <c r="E292" s="379" t="s">
        <v>1417</v>
      </c>
    </row>
    <row r="293" spans="1:5">
      <c r="A293" s="379" t="s">
        <v>4195</v>
      </c>
      <c r="B293" s="379"/>
      <c r="C293" s="380">
        <v>300924</v>
      </c>
      <c r="D293" s="379" t="s">
        <v>1603</v>
      </c>
      <c r="E293" s="379" t="s">
        <v>1604</v>
      </c>
    </row>
    <row r="294" spans="1:5">
      <c r="A294" s="379" t="s">
        <v>4196</v>
      </c>
      <c r="B294" s="379" t="s">
        <v>2136</v>
      </c>
      <c r="C294" s="380">
        <v>100123</v>
      </c>
      <c r="D294" s="379" t="s">
        <v>2137</v>
      </c>
      <c r="E294" s="379" t="s">
        <v>2138</v>
      </c>
    </row>
    <row r="295" spans="1:5">
      <c r="A295" s="379" t="s">
        <v>4197</v>
      </c>
      <c r="B295" s="379"/>
      <c r="C295" s="380">
        <v>123329</v>
      </c>
      <c r="D295" s="379" t="s">
        <v>3381</v>
      </c>
      <c r="E295" s="379" t="s">
        <v>3382</v>
      </c>
    </row>
    <row r="296" spans="1:5">
      <c r="A296" s="379" t="s">
        <v>4198</v>
      </c>
      <c r="B296" s="379" t="s">
        <v>2406</v>
      </c>
      <c r="C296" s="380">
        <v>105700</v>
      </c>
      <c r="D296" s="379" t="s">
        <v>2407</v>
      </c>
      <c r="E296" s="379" t="s">
        <v>2408</v>
      </c>
    </row>
    <row r="297" spans="1:5">
      <c r="A297" s="379" t="s">
        <v>4199</v>
      </c>
      <c r="B297" s="379" t="s">
        <v>2748</v>
      </c>
      <c r="C297" s="380">
        <v>100128</v>
      </c>
      <c r="D297" s="379" t="s">
        <v>2749</v>
      </c>
      <c r="E297" s="379" t="s">
        <v>2750</v>
      </c>
    </row>
    <row r="298" spans="1:5">
      <c r="A298" s="379" t="s">
        <v>4200</v>
      </c>
      <c r="B298" s="379" t="s">
        <v>1298</v>
      </c>
      <c r="C298" s="380">
        <v>122074</v>
      </c>
      <c r="D298" s="379" t="s">
        <v>1299</v>
      </c>
      <c r="E298" s="379" t="s">
        <v>1300</v>
      </c>
    </row>
    <row r="299" spans="1:5">
      <c r="A299" s="379" t="s">
        <v>4201</v>
      </c>
      <c r="B299" s="379" t="s">
        <v>3116</v>
      </c>
      <c r="C299" s="380">
        <v>104000</v>
      </c>
      <c r="D299" s="379" t="s">
        <v>3117</v>
      </c>
      <c r="E299" s="379" t="s">
        <v>3118</v>
      </c>
    </row>
    <row r="300" spans="1:5">
      <c r="A300" s="379" t="s">
        <v>4202</v>
      </c>
      <c r="B300" s="379" t="s">
        <v>853</v>
      </c>
      <c r="C300" s="380">
        <v>131162</v>
      </c>
      <c r="D300" s="379" t="s">
        <v>854</v>
      </c>
      <c r="E300" s="379" t="s">
        <v>855</v>
      </c>
    </row>
    <row r="301" spans="1:5">
      <c r="A301" s="379" t="s">
        <v>4203</v>
      </c>
      <c r="B301" s="379" t="s">
        <v>3363</v>
      </c>
      <c r="C301" s="380">
        <v>219649</v>
      </c>
      <c r="D301" s="379" t="s">
        <v>3364</v>
      </c>
      <c r="E301" s="379" t="s">
        <v>3365</v>
      </c>
    </row>
    <row r="302" spans="1:5">
      <c r="A302" s="379" t="s">
        <v>4204</v>
      </c>
      <c r="B302" s="379" t="s">
        <v>871</v>
      </c>
      <c r="C302" s="380">
        <v>215477</v>
      </c>
      <c r="D302" s="379" t="s">
        <v>872</v>
      </c>
      <c r="E302" s="379" t="s">
        <v>873</v>
      </c>
    </row>
    <row r="303" spans="1:5">
      <c r="A303" s="379" t="s">
        <v>4205</v>
      </c>
      <c r="B303" s="379" t="s">
        <v>1847</v>
      </c>
      <c r="C303" s="380">
        <v>132178</v>
      </c>
      <c r="D303" s="379" t="s">
        <v>1848</v>
      </c>
      <c r="E303" s="379" t="s">
        <v>1849</v>
      </c>
    </row>
    <row r="304" spans="1:5">
      <c r="A304" s="379" t="s">
        <v>4206</v>
      </c>
      <c r="B304" s="379"/>
      <c r="C304" s="380">
        <v>220964</v>
      </c>
      <c r="D304" s="379" t="s">
        <v>3660</v>
      </c>
      <c r="E304" s="379" t="s">
        <v>3661</v>
      </c>
    </row>
    <row r="305" spans="1:5">
      <c r="A305" s="379" t="s">
        <v>4207</v>
      </c>
      <c r="B305" s="379" t="s">
        <v>3425</v>
      </c>
      <c r="C305" s="380">
        <v>132700</v>
      </c>
      <c r="D305" s="379" t="s">
        <v>3426</v>
      </c>
      <c r="E305" s="379" t="s">
        <v>3427</v>
      </c>
    </row>
    <row r="306" spans="1:5">
      <c r="A306" s="379" t="s">
        <v>4208</v>
      </c>
      <c r="B306" s="379" t="s">
        <v>1570</v>
      </c>
      <c r="C306" s="380">
        <v>100135</v>
      </c>
      <c r="D306" s="379" t="s">
        <v>1571</v>
      </c>
      <c r="E306" s="379" t="s">
        <v>1572</v>
      </c>
    </row>
    <row r="307" spans="1:5">
      <c r="A307" s="379" t="s">
        <v>4209</v>
      </c>
      <c r="B307" s="379" t="s">
        <v>2999</v>
      </c>
      <c r="C307" s="380">
        <v>190057</v>
      </c>
      <c r="D307" s="379" t="s">
        <v>3000</v>
      </c>
      <c r="E307" s="379" t="s">
        <v>3001</v>
      </c>
    </row>
    <row r="308" spans="1:5">
      <c r="A308" s="379" t="s">
        <v>4210</v>
      </c>
      <c r="B308" s="379" t="s">
        <v>1880</v>
      </c>
      <c r="C308" s="380">
        <v>243712</v>
      </c>
      <c r="D308" s="379" t="s">
        <v>1881</v>
      </c>
      <c r="E308" s="379" t="s">
        <v>1882</v>
      </c>
    </row>
    <row r="309" spans="1:5">
      <c r="A309" s="379" t="s">
        <v>4211</v>
      </c>
      <c r="B309" s="379" t="s">
        <v>1531</v>
      </c>
      <c r="C309" s="380">
        <v>273033</v>
      </c>
      <c r="D309" s="379" t="s">
        <v>1532</v>
      </c>
      <c r="E309" s="379" t="s">
        <v>1533</v>
      </c>
    </row>
    <row r="310" spans="1:5">
      <c r="A310" s="379" t="s">
        <v>4212</v>
      </c>
      <c r="B310" s="379" t="s">
        <v>1241</v>
      </c>
      <c r="C310" s="380">
        <v>222255</v>
      </c>
      <c r="D310" s="379" t="s">
        <v>1242</v>
      </c>
      <c r="E310" s="379" t="s">
        <v>1243</v>
      </c>
    </row>
    <row r="311" spans="1:5">
      <c r="A311" s="379" t="s">
        <v>4213</v>
      </c>
      <c r="B311" s="379" t="s">
        <v>1667</v>
      </c>
      <c r="C311" s="380">
        <v>100133</v>
      </c>
      <c r="D311" s="379" t="s">
        <v>1668</v>
      </c>
      <c r="E311" s="379" t="s">
        <v>1669</v>
      </c>
    </row>
    <row r="312" spans="1:5">
      <c r="A312" s="379" t="s">
        <v>4214</v>
      </c>
      <c r="B312" s="379" t="s">
        <v>786</v>
      </c>
      <c r="C312" s="380">
        <v>100495</v>
      </c>
      <c r="D312" s="379" t="s">
        <v>787</v>
      </c>
      <c r="E312" s="379" t="s">
        <v>788</v>
      </c>
    </row>
    <row r="313" spans="1:5">
      <c r="A313" s="379" t="s">
        <v>4215</v>
      </c>
      <c r="B313" s="379" t="s">
        <v>3096</v>
      </c>
      <c r="C313" s="380">
        <v>100136</v>
      </c>
      <c r="D313" s="379" t="s">
        <v>3097</v>
      </c>
      <c r="E313" s="379" t="s">
        <v>3098</v>
      </c>
    </row>
    <row r="314" spans="1:5">
      <c r="A314" s="379" t="s">
        <v>4216</v>
      </c>
      <c r="B314" s="379" t="s">
        <v>2400</v>
      </c>
      <c r="C314" s="380">
        <v>131508</v>
      </c>
      <c r="D314" s="379" t="s">
        <v>2401</v>
      </c>
      <c r="E314" s="379" t="s">
        <v>2402</v>
      </c>
    </row>
    <row r="315" spans="1:5">
      <c r="A315" s="379" t="s">
        <v>4217</v>
      </c>
      <c r="B315" s="379" t="s">
        <v>3333</v>
      </c>
      <c r="C315" s="380">
        <v>108906</v>
      </c>
      <c r="D315" s="379" t="s">
        <v>3334</v>
      </c>
      <c r="E315" s="379" t="s">
        <v>3335</v>
      </c>
    </row>
    <row r="316" spans="1:5">
      <c r="A316" s="379" t="s">
        <v>4218</v>
      </c>
      <c r="B316" s="379" t="s">
        <v>2335</v>
      </c>
      <c r="C316" s="380">
        <v>132684</v>
      </c>
      <c r="D316" s="379" t="s">
        <v>2336</v>
      </c>
      <c r="E316" s="379" t="s">
        <v>2337</v>
      </c>
    </row>
    <row r="317" spans="1:5">
      <c r="A317" s="379" t="s">
        <v>4219</v>
      </c>
      <c r="B317" s="379" t="s">
        <v>3028</v>
      </c>
      <c r="C317" s="380">
        <v>100650</v>
      </c>
      <c r="D317" s="379" t="s">
        <v>3029</v>
      </c>
      <c r="E317" s="379" t="s">
        <v>3030</v>
      </c>
    </row>
    <row r="318" spans="1:5">
      <c r="A318" s="379" t="s">
        <v>4220</v>
      </c>
      <c r="B318" s="379" t="s">
        <v>1077</v>
      </c>
      <c r="C318" s="380">
        <v>100086</v>
      </c>
      <c r="D318" s="379" t="s">
        <v>1078</v>
      </c>
      <c r="E318" s="379" t="s">
        <v>1079</v>
      </c>
    </row>
    <row r="319" spans="1:5">
      <c r="A319" s="379" t="s">
        <v>4221</v>
      </c>
      <c r="B319" s="379" t="s">
        <v>2565</v>
      </c>
      <c r="C319" s="380">
        <v>218926</v>
      </c>
      <c r="D319" s="379" t="s">
        <v>2566</v>
      </c>
      <c r="E319" s="379" t="s">
        <v>2567</v>
      </c>
    </row>
    <row r="320" spans="1:5">
      <c r="A320" s="379" t="s">
        <v>4222</v>
      </c>
      <c r="B320" s="379" t="s">
        <v>3624</v>
      </c>
      <c r="C320" s="380">
        <v>287703</v>
      </c>
      <c r="D320" s="379" t="s">
        <v>3625</v>
      </c>
      <c r="E320" s="379" t="s">
        <v>3626</v>
      </c>
    </row>
    <row r="321" spans="1:5">
      <c r="A321" s="379" t="s">
        <v>4223</v>
      </c>
      <c r="B321" s="379" t="s">
        <v>2409</v>
      </c>
      <c r="C321" s="380">
        <v>299773</v>
      </c>
      <c r="D321" s="379" t="s">
        <v>2410</v>
      </c>
      <c r="E321" s="379" t="s">
        <v>2411</v>
      </c>
    </row>
    <row r="322" spans="1:5">
      <c r="A322" s="379" t="s">
        <v>4224</v>
      </c>
      <c r="B322" s="379" t="s">
        <v>3540</v>
      </c>
      <c r="C322" s="380">
        <v>130079</v>
      </c>
      <c r="D322" s="379" t="s">
        <v>3541</v>
      </c>
      <c r="E322" s="379" t="s">
        <v>3542</v>
      </c>
    </row>
    <row r="323" spans="1:5">
      <c r="A323" s="379" t="s">
        <v>4225</v>
      </c>
      <c r="B323" s="379" t="s">
        <v>3375</v>
      </c>
      <c r="C323" s="380">
        <v>132666</v>
      </c>
      <c r="D323" s="379" t="s">
        <v>3376</v>
      </c>
      <c r="E323" s="379" t="s">
        <v>3377</v>
      </c>
    </row>
    <row r="324" spans="1:5">
      <c r="A324" s="379" t="s">
        <v>4226</v>
      </c>
      <c r="B324" s="379" t="s">
        <v>1682</v>
      </c>
      <c r="C324" s="380">
        <v>131599</v>
      </c>
      <c r="D324" s="379" t="s">
        <v>1683</v>
      </c>
      <c r="E324" s="379" t="s">
        <v>1684</v>
      </c>
    </row>
    <row r="325" spans="1:5">
      <c r="A325" s="379" t="s">
        <v>4227</v>
      </c>
      <c r="B325" s="379" t="s">
        <v>2985</v>
      </c>
      <c r="C325" s="380">
        <v>105744</v>
      </c>
      <c r="D325" s="379" t="s">
        <v>2986</v>
      </c>
      <c r="E325" s="379" t="s">
        <v>2987</v>
      </c>
    </row>
    <row r="326" spans="1:5">
      <c r="A326" s="379" t="s">
        <v>4228</v>
      </c>
      <c r="B326" s="379"/>
      <c r="C326" s="380">
        <v>106414</v>
      </c>
      <c r="D326" s="379" t="s">
        <v>3395</v>
      </c>
      <c r="E326" s="379" t="s">
        <v>3396</v>
      </c>
    </row>
    <row r="327" spans="1:5">
      <c r="A327" s="379" t="s">
        <v>4229</v>
      </c>
      <c r="B327" s="379" t="s">
        <v>2730</v>
      </c>
      <c r="C327" s="380">
        <v>132768</v>
      </c>
      <c r="D327" s="379" t="s">
        <v>2731</v>
      </c>
      <c r="E327" s="379" t="s">
        <v>2732</v>
      </c>
    </row>
    <row r="328" spans="1:5">
      <c r="A328" s="379" t="s">
        <v>4230</v>
      </c>
      <c r="B328" s="379" t="s">
        <v>2397</v>
      </c>
      <c r="C328" s="380">
        <v>126227</v>
      </c>
      <c r="D328" s="379" t="s">
        <v>2398</v>
      </c>
      <c r="E328" s="379" t="s">
        <v>2399</v>
      </c>
    </row>
    <row r="329" spans="1:5">
      <c r="A329" s="379" t="s">
        <v>4231</v>
      </c>
      <c r="B329" s="379" t="s">
        <v>1159</v>
      </c>
      <c r="C329" s="380">
        <v>288451</v>
      </c>
      <c r="D329" s="379" t="s">
        <v>1160</v>
      </c>
      <c r="E329" s="379" t="s">
        <v>1161</v>
      </c>
    </row>
    <row r="330" spans="1:5">
      <c r="A330" s="379" t="s">
        <v>4232</v>
      </c>
      <c r="B330" s="379" t="s">
        <v>2709</v>
      </c>
      <c r="C330" s="380">
        <v>213133</v>
      </c>
      <c r="D330" s="379" t="s">
        <v>2710</v>
      </c>
      <c r="E330" s="379" t="s">
        <v>2711</v>
      </c>
    </row>
    <row r="331" spans="1:5">
      <c r="A331" s="379" t="s">
        <v>4233</v>
      </c>
      <c r="B331" s="379"/>
      <c r="C331" s="380">
        <v>108954</v>
      </c>
      <c r="D331" s="379" t="s">
        <v>3900</v>
      </c>
      <c r="E331" s="379" t="s">
        <v>3901</v>
      </c>
    </row>
    <row r="332" spans="1:5">
      <c r="A332" s="379" t="s">
        <v>4234</v>
      </c>
      <c r="B332" s="379" t="s">
        <v>2046</v>
      </c>
      <c r="C332" s="380">
        <v>302986</v>
      </c>
      <c r="D332" s="379" t="s">
        <v>2047</v>
      </c>
      <c r="E332" s="379" t="s">
        <v>2048</v>
      </c>
    </row>
    <row r="333" spans="1:5">
      <c r="A333" s="379" t="s">
        <v>4235</v>
      </c>
      <c r="B333" s="379" t="s">
        <v>1376</v>
      </c>
      <c r="C333" s="380">
        <v>100144</v>
      </c>
      <c r="D333" s="379" t="s">
        <v>1377</v>
      </c>
      <c r="E333" s="379" t="s">
        <v>1378</v>
      </c>
    </row>
    <row r="334" spans="1:5">
      <c r="A334" s="379" t="s">
        <v>4236</v>
      </c>
      <c r="B334" s="379" t="s">
        <v>1114</v>
      </c>
      <c r="C334" s="380">
        <v>100940</v>
      </c>
      <c r="D334" s="379" t="s">
        <v>1115</v>
      </c>
      <c r="E334" s="379" t="s">
        <v>1116</v>
      </c>
    </row>
    <row r="335" spans="1:5">
      <c r="A335" s="379" t="s">
        <v>4237</v>
      </c>
      <c r="B335" s="379" t="s">
        <v>1120</v>
      </c>
      <c r="C335" s="380">
        <v>132809</v>
      </c>
      <c r="D335" s="379" t="s">
        <v>1121</v>
      </c>
      <c r="E335" s="379" t="s">
        <v>1122</v>
      </c>
    </row>
    <row r="336" spans="1:5">
      <c r="A336" s="379" t="s">
        <v>4238</v>
      </c>
      <c r="B336" s="379" t="s">
        <v>1391</v>
      </c>
      <c r="C336" s="380">
        <v>102865</v>
      </c>
      <c r="D336" s="379" t="s">
        <v>1392</v>
      </c>
      <c r="E336" s="379" t="s">
        <v>1393</v>
      </c>
    </row>
    <row r="337" spans="1:5">
      <c r="A337" s="379" t="s">
        <v>4239</v>
      </c>
      <c r="B337" s="379" t="s">
        <v>2621</v>
      </c>
      <c r="C337" s="380">
        <v>100033</v>
      </c>
      <c r="D337" s="379" t="s">
        <v>2622</v>
      </c>
      <c r="E337" s="379" t="s">
        <v>2623</v>
      </c>
    </row>
    <row r="338" spans="1:5">
      <c r="A338" s="379" t="s">
        <v>4240</v>
      </c>
      <c r="B338" s="379" t="s">
        <v>898</v>
      </c>
      <c r="C338" s="380">
        <v>132843</v>
      </c>
      <c r="D338" s="379" t="s">
        <v>899</v>
      </c>
      <c r="E338" s="379" t="s">
        <v>900</v>
      </c>
    </row>
    <row r="339" spans="1:5">
      <c r="A339" s="379" t="s">
        <v>4241</v>
      </c>
      <c r="B339" s="379" t="s">
        <v>3269</v>
      </c>
      <c r="C339" s="380">
        <v>100150</v>
      </c>
      <c r="D339" s="379" t="s">
        <v>3270</v>
      </c>
      <c r="E339" s="379" t="s">
        <v>3271</v>
      </c>
    </row>
    <row r="340" spans="1:5">
      <c r="A340" s="379" t="s">
        <v>4242</v>
      </c>
      <c r="B340" s="379" t="s">
        <v>392</v>
      </c>
      <c r="C340" s="380">
        <v>302988</v>
      </c>
      <c r="D340" s="379" t="s">
        <v>393</v>
      </c>
      <c r="E340" s="379" t="s">
        <v>394</v>
      </c>
    </row>
    <row r="341" spans="1:5">
      <c r="A341" s="379" t="s">
        <v>4243</v>
      </c>
      <c r="B341" s="379" t="s">
        <v>2804</v>
      </c>
      <c r="C341" s="380">
        <v>218963</v>
      </c>
      <c r="D341" s="379" t="s">
        <v>2805</v>
      </c>
      <c r="E341" s="379" t="s">
        <v>2806</v>
      </c>
    </row>
    <row r="342" spans="1:5">
      <c r="A342" s="379" t="s">
        <v>4244</v>
      </c>
      <c r="B342" s="379" t="s">
        <v>3130</v>
      </c>
      <c r="C342" s="380">
        <v>245775</v>
      </c>
      <c r="D342" s="379" t="s">
        <v>3131</v>
      </c>
      <c r="E342" s="379" t="s">
        <v>3132</v>
      </c>
    </row>
    <row r="343" spans="1:5">
      <c r="A343" s="379" t="s">
        <v>4245</v>
      </c>
      <c r="B343" s="379" t="s">
        <v>2195</v>
      </c>
      <c r="C343" s="380">
        <v>209968</v>
      </c>
      <c r="D343" s="379" t="s">
        <v>2196</v>
      </c>
      <c r="E343" s="379" t="s">
        <v>2197</v>
      </c>
    </row>
    <row r="344" spans="1:5">
      <c r="A344" s="379" t="s">
        <v>4246</v>
      </c>
      <c r="B344" s="379" t="s">
        <v>2448</v>
      </c>
      <c r="C344" s="380">
        <v>105714</v>
      </c>
      <c r="D344" s="379" t="s">
        <v>2449</v>
      </c>
      <c r="E344" s="379" t="s">
        <v>2450</v>
      </c>
    </row>
    <row r="345" spans="1:5">
      <c r="A345" s="379" t="s">
        <v>4247</v>
      </c>
      <c r="B345" s="379" t="s">
        <v>503</v>
      </c>
      <c r="C345" s="380">
        <v>132155</v>
      </c>
      <c r="D345" s="379" t="s">
        <v>504</v>
      </c>
      <c r="E345" s="379" t="s">
        <v>505</v>
      </c>
    </row>
    <row r="346" spans="1:5">
      <c r="A346" s="379" t="s">
        <v>4248</v>
      </c>
      <c r="B346" s="379" t="s">
        <v>1201</v>
      </c>
      <c r="C346" s="380">
        <v>208190</v>
      </c>
      <c r="D346" s="379" t="s">
        <v>1202</v>
      </c>
      <c r="E346" s="379" t="s">
        <v>1203</v>
      </c>
    </row>
    <row r="347" spans="1:5">
      <c r="A347" s="379" t="s">
        <v>4249</v>
      </c>
      <c r="B347" s="379" t="s">
        <v>2771</v>
      </c>
      <c r="C347" s="380">
        <v>219910</v>
      </c>
      <c r="D347" s="379" t="s">
        <v>2772</v>
      </c>
      <c r="E347" s="379" t="s">
        <v>2773</v>
      </c>
    </row>
    <row r="348" spans="1:5">
      <c r="A348" s="379" t="s">
        <v>4250</v>
      </c>
      <c r="B348" s="379" t="s">
        <v>3645</v>
      </c>
      <c r="C348" s="380">
        <v>132726</v>
      </c>
      <c r="D348" s="379" t="s">
        <v>3646</v>
      </c>
      <c r="E348" s="379" t="s">
        <v>3647</v>
      </c>
    </row>
    <row r="349" spans="1:5">
      <c r="A349" s="379" t="s">
        <v>4251</v>
      </c>
      <c r="B349" s="379" t="s">
        <v>3603</v>
      </c>
      <c r="C349" s="380">
        <v>100153</v>
      </c>
      <c r="D349" s="379" t="s">
        <v>3604</v>
      </c>
      <c r="E349" s="379" t="s">
        <v>3605</v>
      </c>
    </row>
    <row r="350" spans="1:5">
      <c r="A350" s="379" t="s">
        <v>4252</v>
      </c>
      <c r="B350" s="379" t="s">
        <v>3111</v>
      </c>
      <c r="C350" s="380">
        <v>126367</v>
      </c>
      <c r="D350" s="379" t="s">
        <v>3112</v>
      </c>
      <c r="E350" s="379" t="s">
        <v>3113</v>
      </c>
    </row>
    <row r="351" spans="1:5">
      <c r="A351" s="379" t="s">
        <v>4253</v>
      </c>
      <c r="B351" s="379" t="s">
        <v>3046</v>
      </c>
      <c r="C351" s="380">
        <v>114167</v>
      </c>
      <c r="D351" s="379" t="s">
        <v>3047</v>
      </c>
      <c r="E351" s="379" t="s">
        <v>3048</v>
      </c>
    </row>
    <row r="352" spans="1:5">
      <c r="A352" s="379" t="s">
        <v>4254</v>
      </c>
      <c r="B352" s="379" t="s">
        <v>2282</v>
      </c>
      <c r="C352" s="380">
        <v>208196</v>
      </c>
      <c r="D352" s="379" t="s">
        <v>2283</v>
      </c>
      <c r="E352" s="379" t="s">
        <v>2284</v>
      </c>
    </row>
    <row r="353" spans="1:5">
      <c r="A353" s="379" t="s">
        <v>4255</v>
      </c>
      <c r="B353" s="379" t="s">
        <v>2521</v>
      </c>
      <c r="C353" s="380">
        <v>100655</v>
      </c>
      <c r="D353" s="379" t="s">
        <v>2522</v>
      </c>
      <c r="E353" s="379" t="s">
        <v>2523</v>
      </c>
    </row>
    <row r="354" spans="1:5">
      <c r="A354" s="379" t="s">
        <v>4256</v>
      </c>
      <c r="B354" s="379" t="s">
        <v>1546</v>
      </c>
      <c r="C354" s="380">
        <v>109557</v>
      </c>
      <c r="D354" s="379" t="s">
        <v>1547</v>
      </c>
      <c r="E354" s="379" t="s">
        <v>1548</v>
      </c>
    </row>
    <row r="355" spans="1:5">
      <c r="A355" s="379" t="s">
        <v>4257</v>
      </c>
      <c r="B355" s="379" t="s">
        <v>1916</v>
      </c>
      <c r="C355" s="380">
        <v>132622</v>
      </c>
      <c r="D355" s="379" t="s">
        <v>1917</v>
      </c>
      <c r="E355" s="379" t="s">
        <v>1918</v>
      </c>
    </row>
    <row r="356" spans="1:5">
      <c r="A356" s="379" t="s">
        <v>4258</v>
      </c>
      <c r="B356" s="379" t="s">
        <v>2305</v>
      </c>
      <c r="C356" s="380">
        <v>132345</v>
      </c>
      <c r="D356" s="379" t="s">
        <v>2306</v>
      </c>
      <c r="E356" s="379" t="s">
        <v>2307</v>
      </c>
    </row>
    <row r="357" spans="1:5">
      <c r="A357" s="379" t="s">
        <v>4259</v>
      </c>
      <c r="B357" s="379" t="s">
        <v>3780</v>
      </c>
      <c r="C357" s="380">
        <v>132767</v>
      </c>
      <c r="D357" s="379" t="s">
        <v>3781</v>
      </c>
      <c r="E357" s="379" t="s">
        <v>3782</v>
      </c>
    </row>
    <row r="358" spans="1:5">
      <c r="A358" s="379" t="s">
        <v>4260</v>
      </c>
      <c r="B358" s="379" t="s">
        <v>2629</v>
      </c>
      <c r="C358" s="380">
        <v>132309</v>
      </c>
      <c r="D358" s="379" t="s">
        <v>2630</v>
      </c>
      <c r="E358" s="379" t="s">
        <v>2631</v>
      </c>
    </row>
    <row r="359" spans="1:5">
      <c r="A359" s="379" t="s">
        <v>4261</v>
      </c>
      <c r="B359" s="379" t="s">
        <v>2024</v>
      </c>
      <c r="C359" s="380">
        <v>122275</v>
      </c>
      <c r="D359" s="379" t="s">
        <v>2025</v>
      </c>
      <c r="E359" s="379" t="s">
        <v>2026</v>
      </c>
    </row>
    <row r="360" spans="1:5">
      <c r="A360" s="379" t="s">
        <v>843</v>
      </c>
      <c r="B360" s="379" t="s">
        <v>844</v>
      </c>
      <c r="C360" s="380">
        <v>210174</v>
      </c>
      <c r="D360" s="379" t="s">
        <v>845</v>
      </c>
      <c r="E360" s="379" t="s">
        <v>846</v>
      </c>
    </row>
    <row r="361" spans="1:5">
      <c r="A361" s="379" t="s">
        <v>4262</v>
      </c>
      <c r="B361" s="379" t="s">
        <v>3234</v>
      </c>
      <c r="C361" s="380">
        <v>106109</v>
      </c>
      <c r="D361" s="379" t="s">
        <v>3235</v>
      </c>
      <c r="E361" s="379" t="s">
        <v>3236</v>
      </c>
    </row>
    <row r="362" spans="1:5">
      <c r="A362" s="379" t="s">
        <v>4263</v>
      </c>
      <c r="B362" s="379" t="s">
        <v>2592</v>
      </c>
      <c r="C362" s="380">
        <v>130343</v>
      </c>
      <c r="D362" s="379" t="s">
        <v>2593</v>
      </c>
      <c r="E362" s="379" t="s">
        <v>2594</v>
      </c>
    </row>
    <row r="363" spans="1:5">
      <c r="A363" s="379" t="s">
        <v>4264</v>
      </c>
      <c r="B363" s="379" t="s">
        <v>2598</v>
      </c>
      <c r="C363" s="380">
        <v>132285</v>
      </c>
      <c r="D363" s="379" t="s">
        <v>2599</v>
      </c>
      <c r="E363" s="379" t="s">
        <v>2600</v>
      </c>
    </row>
    <row r="364" spans="1:5">
      <c r="A364" s="379" t="s">
        <v>4265</v>
      </c>
      <c r="B364" s="379" t="s">
        <v>3439</v>
      </c>
      <c r="C364" s="380">
        <v>100173</v>
      </c>
      <c r="D364" s="379" t="s">
        <v>3440</v>
      </c>
      <c r="E364" s="379" t="s">
        <v>3441</v>
      </c>
    </row>
    <row r="365" spans="1:5">
      <c r="A365" s="379" t="s">
        <v>4266</v>
      </c>
      <c r="B365" s="379" t="s">
        <v>1958</v>
      </c>
      <c r="C365" s="380">
        <v>100171</v>
      </c>
      <c r="D365" s="379" t="s">
        <v>1959</v>
      </c>
      <c r="E365" s="379" t="s">
        <v>1960</v>
      </c>
    </row>
    <row r="366" spans="1:5">
      <c r="A366" s="379" t="s">
        <v>4267</v>
      </c>
      <c r="B366" s="379" t="s">
        <v>3447</v>
      </c>
      <c r="C366" s="380">
        <v>111676</v>
      </c>
      <c r="D366" s="379" t="s">
        <v>3448</v>
      </c>
      <c r="E366" s="379" t="s">
        <v>3449</v>
      </c>
    </row>
    <row r="367" spans="1:5">
      <c r="A367" s="379" t="s">
        <v>4268</v>
      </c>
      <c r="B367" s="379" t="s">
        <v>998</v>
      </c>
      <c r="C367" s="380">
        <v>107815</v>
      </c>
      <c r="D367" s="379" t="s">
        <v>999</v>
      </c>
      <c r="E367" s="379" t="s">
        <v>1000</v>
      </c>
    </row>
    <row r="368" spans="1:5">
      <c r="A368" s="379" t="s">
        <v>4269</v>
      </c>
      <c r="B368" s="379" t="s">
        <v>491</v>
      </c>
      <c r="C368" s="380">
        <v>235355</v>
      </c>
      <c r="D368" s="379" t="s">
        <v>492</v>
      </c>
      <c r="E368" s="379" t="s">
        <v>493</v>
      </c>
    </row>
    <row r="369" spans="1:5">
      <c r="A369" s="361" t="s">
        <v>4270</v>
      </c>
      <c r="B369" s="379" t="s">
        <v>753</v>
      </c>
      <c r="C369" s="380">
        <v>100660</v>
      </c>
      <c r="D369" s="379" t="s">
        <v>754</v>
      </c>
      <c r="E369" s="379" t="s">
        <v>755</v>
      </c>
    </row>
    <row r="370" spans="1:5">
      <c r="A370" s="379" t="s">
        <v>4271</v>
      </c>
      <c r="B370" s="379" t="s">
        <v>1451</v>
      </c>
      <c r="C370" s="380">
        <v>301987</v>
      </c>
      <c r="D370" s="379" t="s">
        <v>1452</v>
      </c>
      <c r="E370" s="379" t="s">
        <v>1453</v>
      </c>
    </row>
    <row r="371" spans="1:5">
      <c r="A371" s="379" t="s">
        <v>4272</v>
      </c>
      <c r="B371" s="379" t="s">
        <v>1071</v>
      </c>
      <c r="C371" s="380">
        <v>132296</v>
      </c>
      <c r="D371" s="379" t="s">
        <v>1072</v>
      </c>
      <c r="E371" s="379" t="s">
        <v>1073</v>
      </c>
    </row>
    <row r="372" spans="1:5">
      <c r="A372" s="379" t="s">
        <v>4273</v>
      </c>
      <c r="B372" s="379"/>
      <c r="C372" s="380">
        <v>126025</v>
      </c>
      <c r="D372" s="379" t="s">
        <v>3403</v>
      </c>
      <c r="E372" s="379" t="s">
        <v>3404</v>
      </c>
    </row>
    <row r="373" spans="1:5">
      <c r="A373" s="379" t="s">
        <v>4274</v>
      </c>
      <c r="B373" s="379" t="s">
        <v>1967</v>
      </c>
      <c r="C373" s="380">
        <v>200047</v>
      </c>
      <c r="D373" s="379" t="s">
        <v>1968</v>
      </c>
      <c r="E373" s="379" t="s">
        <v>1969</v>
      </c>
    </row>
    <row r="374" spans="1:5">
      <c r="A374" s="379" t="s">
        <v>4275</v>
      </c>
      <c r="B374" s="379"/>
      <c r="C374" s="380">
        <v>244215</v>
      </c>
      <c r="D374" s="379" t="s">
        <v>3747</v>
      </c>
      <c r="E374" s="379" t="s">
        <v>3748</v>
      </c>
    </row>
    <row r="375" spans="1:5">
      <c r="A375" s="379" t="s">
        <v>4276</v>
      </c>
      <c r="B375" s="379" t="s">
        <v>2815</v>
      </c>
      <c r="C375" s="380">
        <v>107488</v>
      </c>
      <c r="D375" s="379" t="s">
        <v>2816</v>
      </c>
      <c r="E375" s="379" t="s">
        <v>2817</v>
      </c>
    </row>
    <row r="376" spans="1:5">
      <c r="A376" s="379" t="s">
        <v>4277</v>
      </c>
      <c r="B376" s="379" t="s">
        <v>1472</v>
      </c>
      <c r="C376" s="380">
        <v>105255</v>
      </c>
      <c r="D376" s="379" t="s">
        <v>1473</v>
      </c>
      <c r="E376" s="379" t="s">
        <v>1474</v>
      </c>
    </row>
    <row r="377" spans="1:5">
      <c r="A377" s="379" t="s">
        <v>4278</v>
      </c>
      <c r="B377" s="379" t="s">
        <v>774</v>
      </c>
      <c r="C377" s="380">
        <v>132754</v>
      </c>
      <c r="D377" s="379" t="s">
        <v>775</v>
      </c>
      <c r="E377" s="379" t="s">
        <v>776</v>
      </c>
    </row>
    <row r="378" spans="1:5">
      <c r="A378" s="379" t="s">
        <v>4279</v>
      </c>
      <c r="B378" s="379" t="s">
        <v>2774</v>
      </c>
      <c r="C378" s="380">
        <v>211130</v>
      </c>
      <c r="D378" s="379" t="s">
        <v>2775</v>
      </c>
      <c r="E378" s="379" t="s">
        <v>2776</v>
      </c>
    </row>
    <row r="379" spans="1:5">
      <c r="A379" s="379" t="s">
        <v>4280</v>
      </c>
      <c r="B379" s="379" t="s">
        <v>1614</v>
      </c>
      <c r="C379" s="380">
        <v>303146</v>
      </c>
      <c r="D379" s="379" t="s">
        <v>1615</v>
      </c>
      <c r="E379" s="379" t="s">
        <v>1616</v>
      </c>
    </row>
    <row r="380" spans="1:5">
      <c r="A380" s="379" t="s">
        <v>4281</v>
      </c>
      <c r="B380" s="379" t="s">
        <v>2712</v>
      </c>
      <c r="C380" s="380">
        <v>106480</v>
      </c>
      <c r="D380" s="379" t="s">
        <v>2713</v>
      </c>
      <c r="E380" s="379" t="s">
        <v>2714</v>
      </c>
    </row>
    <row r="381" spans="1:5">
      <c r="A381" s="379" t="s">
        <v>4282</v>
      </c>
      <c r="B381" s="379" t="s">
        <v>1975</v>
      </c>
      <c r="C381" s="380">
        <v>132734</v>
      </c>
      <c r="D381" s="379" t="s">
        <v>1976</v>
      </c>
      <c r="E381" s="379" t="s">
        <v>1977</v>
      </c>
    </row>
    <row r="382" spans="1:5">
      <c r="A382" s="379" t="s">
        <v>4283</v>
      </c>
      <c r="B382" s="379" t="s">
        <v>1605</v>
      </c>
      <c r="C382" s="380">
        <v>100163</v>
      </c>
      <c r="D382" s="379" t="s">
        <v>1606</v>
      </c>
      <c r="E382" s="379" t="s">
        <v>1607</v>
      </c>
    </row>
    <row r="383" spans="1:5">
      <c r="A383" s="379" t="s">
        <v>4284</v>
      </c>
      <c r="B383" s="379" t="s">
        <v>1235</v>
      </c>
      <c r="C383" s="380">
        <v>217842</v>
      </c>
      <c r="D383" s="379" t="s">
        <v>1236</v>
      </c>
      <c r="E383" s="379" t="s">
        <v>1237</v>
      </c>
    </row>
    <row r="384" spans="1:5">
      <c r="A384" s="379" t="s">
        <v>4285</v>
      </c>
      <c r="B384" s="379" t="s">
        <v>398</v>
      </c>
      <c r="C384" s="380">
        <v>132424</v>
      </c>
      <c r="D384" s="379" t="s">
        <v>399</v>
      </c>
      <c r="E384" s="379" t="s">
        <v>400</v>
      </c>
    </row>
    <row r="385" spans="1:5">
      <c r="A385" s="379" t="s">
        <v>4286</v>
      </c>
      <c r="B385" s="379" t="s">
        <v>886</v>
      </c>
      <c r="C385" s="380">
        <v>100164</v>
      </c>
      <c r="D385" s="379" t="s">
        <v>887</v>
      </c>
      <c r="E385" s="379" t="s">
        <v>888</v>
      </c>
    </row>
    <row r="386" spans="1:5">
      <c r="A386" s="379" t="s">
        <v>4287</v>
      </c>
      <c r="B386" s="379" t="s">
        <v>521</v>
      </c>
      <c r="C386" s="380">
        <v>208238</v>
      </c>
      <c r="D386" s="379" t="s">
        <v>522</v>
      </c>
      <c r="E386" s="379" t="s">
        <v>523</v>
      </c>
    </row>
    <row r="387" spans="1:5">
      <c r="A387" s="379" t="s">
        <v>4288</v>
      </c>
      <c r="B387" s="379" t="s">
        <v>2454</v>
      </c>
      <c r="C387" s="380">
        <v>132630</v>
      </c>
      <c r="D387" s="379" t="s">
        <v>2455</v>
      </c>
      <c r="E387" s="379" t="s">
        <v>2456</v>
      </c>
    </row>
    <row r="388" spans="1:5">
      <c r="A388" s="379" t="s">
        <v>4289</v>
      </c>
      <c r="B388" s="379" t="s">
        <v>3285</v>
      </c>
      <c r="C388" s="380">
        <v>280212</v>
      </c>
      <c r="D388" s="379" t="s">
        <v>3286</v>
      </c>
      <c r="E388" s="379" t="s">
        <v>3287</v>
      </c>
    </row>
    <row r="389" spans="1:5">
      <c r="A389" s="379" t="s">
        <v>4290</v>
      </c>
      <c r="B389" s="379" t="s">
        <v>2577</v>
      </c>
      <c r="C389" s="380">
        <v>126729</v>
      </c>
      <c r="D389" s="379" t="s">
        <v>2578</v>
      </c>
      <c r="E389" s="379" t="s">
        <v>2579</v>
      </c>
    </row>
    <row r="390" spans="1:5">
      <c r="A390" s="379" t="s">
        <v>4291</v>
      </c>
      <c r="B390" s="379" t="s">
        <v>3257</v>
      </c>
      <c r="C390" s="380">
        <v>130655</v>
      </c>
      <c r="D390" s="379" t="s">
        <v>3258</v>
      </c>
      <c r="E390" s="379" t="s">
        <v>3259</v>
      </c>
    </row>
    <row r="391" spans="1:5">
      <c r="A391" s="379" t="s">
        <v>4292</v>
      </c>
      <c r="B391" s="379" t="s">
        <v>2367</v>
      </c>
      <c r="C391" s="380">
        <v>100168</v>
      </c>
      <c r="D391" s="379" t="s">
        <v>2368</v>
      </c>
      <c r="E391" s="379" t="s">
        <v>2369</v>
      </c>
    </row>
    <row r="392" spans="1:5">
      <c r="A392" s="379" t="s">
        <v>4293</v>
      </c>
      <c r="B392" s="379" t="s">
        <v>1022</v>
      </c>
      <c r="C392" s="380">
        <v>251940</v>
      </c>
      <c r="D392" s="379" t="s">
        <v>1023</v>
      </c>
      <c r="E392" s="379" t="s">
        <v>1024</v>
      </c>
    </row>
    <row r="393" spans="1:5">
      <c r="A393" s="379" t="s">
        <v>4294</v>
      </c>
      <c r="B393" s="379" t="s">
        <v>1352</v>
      </c>
      <c r="C393" s="380">
        <v>132482</v>
      </c>
      <c r="D393" s="379" t="s">
        <v>1353</v>
      </c>
      <c r="E393" s="379" t="s">
        <v>1354</v>
      </c>
    </row>
    <row r="394" spans="1:5">
      <c r="A394" s="379" t="s">
        <v>4295</v>
      </c>
      <c r="B394" s="379" t="s">
        <v>1379</v>
      </c>
      <c r="C394" s="380">
        <v>109488</v>
      </c>
      <c r="D394" s="379" t="s">
        <v>1380</v>
      </c>
      <c r="E394" s="379" t="s">
        <v>1381</v>
      </c>
    </row>
    <row r="395" spans="1:5">
      <c r="A395" s="379" t="s">
        <v>4296</v>
      </c>
      <c r="B395" s="379" t="s">
        <v>377</v>
      </c>
      <c r="C395" s="380">
        <v>100300</v>
      </c>
      <c r="D395" s="379" t="s">
        <v>378</v>
      </c>
      <c r="E395" s="379" t="s">
        <v>379</v>
      </c>
    </row>
    <row r="396" spans="1:5">
      <c r="A396" s="379" t="s">
        <v>4297</v>
      </c>
      <c r="B396" s="379" t="s">
        <v>2902</v>
      </c>
      <c r="C396" s="380">
        <v>105710</v>
      </c>
      <c r="D396" s="379" t="s">
        <v>2903</v>
      </c>
      <c r="E396" s="379" t="s">
        <v>2904</v>
      </c>
    </row>
    <row r="397" spans="1:5">
      <c r="A397" s="379" t="s">
        <v>4298</v>
      </c>
      <c r="B397" s="379" t="s">
        <v>2484</v>
      </c>
      <c r="C397" s="380">
        <v>215690</v>
      </c>
      <c r="D397" s="379" t="s">
        <v>2485</v>
      </c>
      <c r="E397" s="379" t="s">
        <v>2486</v>
      </c>
    </row>
    <row r="398" spans="1:5">
      <c r="A398" s="379" t="s">
        <v>4299</v>
      </c>
      <c r="B398" s="379" t="s">
        <v>2049</v>
      </c>
      <c r="C398" s="380">
        <v>101455</v>
      </c>
      <c r="D398" s="379" t="s">
        <v>2050</v>
      </c>
      <c r="E398" s="379" t="s">
        <v>2051</v>
      </c>
    </row>
    <row r="399" spans="1:5">
      <c r="A399" s="379" t="s">
        <v>4300</v>
      </c>
      <c r="B399" s="379" t="s">
        <v>1793</v>
      </c>
      <c r="C399" s="380">
        <v>272156</v>
      </c>
      <c r="D399" s="379" t="s">
        <v>1794</v>
      </c>
      <c r="E399" s="379" t="s">
        <v>1795</v>
      </c>
    </row>
    <row r="400" spans="1:5">
      <c r="A400" s="379" t="s">
        <v>4301</v>
      </c>
      <c r="B400" s="379" t="s">
        <v>1658</v>
      </c>
      <c r="C400" s="380">
        <v>295732</v>
      </c>
      <c r="D400" s="379" t="s">
        <v>1659</v>
      </c>
      <c r="E400" s="379" t="s">
        <v>1660</v>
      </c>
    </row>
    <row r="401" spans="1:5">
      <c r="A401" s="379" t="s">
        <v>4302</v>
      </c>
      <c r="B401" s="379" t="s">
        <v>2264</v>
      </c>
      <c r="C401" s="380">
        <v>126797</v>
      </c>
      <c r="D401" s="379" t="s">
        <v>2265</v>
      </c>
      <c r="E401" s="379" t="s">
        <v>2266</v>
      </c>
    </row>
    <row r="402" spans="1:5">
      <c r="A402" s="379" t="s">
        <v>4303</v>
      </c>
      <c r="B402" s="379" t="s">
        <v>915</v>
      </c>
      <c r="C402" s="380">
        <v>106076</v>
      </c>
      <c r="D402" s="379" t="s">
        <v>916</v>
      </c>
      <c r="E402" s="379" t="s">
        <v>917</v>
      </c>
    </row>
    <row r="403" spans="1:5">
      <c r="A403" s="379" t="s">
        <v>4304</v>
      </c>
      <c r="B403" s="379"/>
      <c r="C403" s="380">
        <v>131449</v>
      </c>
      <c r="D403" s="379" t="s">
        <v>1973</v>
      </c>
      <c r="E403" s="379" t="s">
        <v>1974</v>
      </c>
    </row>
    <row r="404" spans="1:5">
      <c r="A404" s="379" t="s">
        <v>4305</v>
      </c>
      <c r="B404" s="379" t="s">
        <v>2270</v>
      </c>
      <c r="C404" s="380">
        <v>132775</v>
      </c>
      <c r="D404" s="379" t="s">
        <v>2271</v>
      </c>
      <c r="E404" s="379" t="s">
        <v>2272</v>
      </c>
    </row>
    <row r="405" spans="1:5">
      <c r="A405" s="379" t="s">
        <v>4306</v>
      </c>
      <c r="B405" s="379" t="s">
        <v>2120</v>
      </c>
      <c r="C405" s="380">
        <v>284223</v>
      </c>
      <c r="D405" s="379" t="s">
        <v>2121</v>
      </c>
      <c r="E405" s="379" t="s">
        <v>2122</v>
      </c>
    </row>
    <row r="406" spans="1:5">
      <c r="A406" s="379" t="s">
        <v>4307</v>
      </c>
      <c r="B406" s="379" t="s">
        <v>2332</v>
      </c>
      <c r="C406" s="380">
        <v>109079</v>
      </c>
      <c r="D406" s="379" t="s">
        <v>2333</v>
      </c>
      <c r="E406" s="379" t="s">
        <v>2334</v>
      </c>
    </row>
    <row r="407" spans="1:5">
      <c r="A407" s="379" t="s">
        <v>4308</v>
      </c>
      <c r="B407" s="379" t="s">
        <v>1727</v>
      </c>
      <c r="C407" s="380">
        <v>130001</v>
      </c>
      <c r="D407" s="379" t="s">
        <v>1728</v>
      </c>
      <c r="E407" s="379" t="s">
        <v>1729</v>
      </c>
    </row>
    <row r="408" spans="1:5">
      <c r="A408" s="379" t="s">
        <v>4309</v>
      </c>
      <c r="B408" s="379" t="s">
        <v>1892</v>
      </c>
      <c r="C408" s="380">
        <v>124226</v>
      </c>
      <c r="D408" s="379" t="s">
        <v>1893</v>
      </c>
      <c r="E408" s="379" t="s">
        <v>1894</v>
      </c>
    </row>
    <row r="409" spans="1:5">
      <c r="A409" s="379" t="s">
        <v>4310</v>
      </c>
      <c r="B409" s="379" t="s">
        <v>810</v>
      </c>
      <c r="C409" s="380">
        <v>295872</v>
      </c>
      <c r="D409" s="379" t="s">
        <v>811</v>
      </c>
      <c r="E409" s="379" t="s">
        <v>812</v>
      </c>
    </row>
    <row r="410" spans="1:5">
      <c r="A410" s="379" t="s">
        <v>4311</v>
      </c>
      <c r="B410" s="379" t="s">
        <v>569</v>
      </c>
      <c r="C410" s="380">
        <v>249927</v>
      </c>
      <c r="D410" s="379" t="s">
        <v>570</v>
      </c>
      <c r="E410" s="379" t="s">
        <v>571</v>
      </c>
    </row>
    <row r="411" spans="1:5">
      <c r="A411" s="379" t="s">
        <v>4312</v>
      </c>
      <c r="B411" s="379" t="s">
        <v>2952</v>
      </c>
      <c r="C411" s="380">
        <v>117300</v>
      </c>
      <c r="D411" s="379" t="s">
        <v>2953</v>
      </c>
      <c r="E411" s="379" t="s">
        <v>2954</v>
      </c>
    </row>
    <row r="412" spans="1:5">
      <c r="A412" s="379" t="s">
        <v>4313</v>
      </c>
      <c r="B412" s="379" t="s">
        <v>2352</v>
      </c>
      <c r="C412" s="380">
        <v>132181</v>
      </c>
      <c r="D412" s="379" t="s">
        <v>2353</v>
      </c>
      <c r="E412" s="379" t="s">
        <v>2354</v>
      </c>
    </row>
    <row r="413" spans="1:5">
      <c r="A413" s="379" t="s">
        <v>4314</v>
      </c>
      <c r="B413" s="379" t="s">
        <v>1534</v>
      </c>
      <c r="C413" s="380">
        <v>100670</v>
      </c>
      <c r="D413" s="379" t="s">
        <v>1535</v>
      </c>
      <c r="E413" s="379" t="s">
        <v>1536</v>
      </c>
    </row>
    <row r="414" spans="1:5">
      <c r="A414" s="379" t="s">
        <v>4315</v>
      </c>
      <c r="B414" s="379" t="s">
        <v>1709</v>
      </c>
      <c r="C414" s="380">
        <v>208264</v>
      </c>
      <c r="D414" s="379" t="s">
        <v>1710</v>
      </c>
      <c r="E414" s="379" t="s">
        <v>1711</v>
      </c>
    </row>
    <row r="415" spans="1:5">
      <c r="A415" s="379" t="s">
        <v>4316</v>
      </c>
      <c r="B415" s="379" t="s">
        <v>1691</v>
      </c>
      <c r="C415" s="380">
        <v>100690</v>
      </c>
      <c r="D415" s="379" t="s">
        <v>1692</v>
      </c>
      <c r="E415" s="379" t="s">
        <v>1693</v>
      </c>
    </row>
    <row r="416" spans="1:5">
      <c r="A416" s="379" t="s">
        <v>4317</v>
      </c>
      <c r="B416" s="379" t="s">
        <v>1007</v>
      </c>
      <c r="C416" s="380">
        <v>132702</v>
      </c>
      <c r="D416" s="379" t="s">
        <v>1008</v>
      </c>
      <c r="E416" s="379" t="s">
        <v>1009</v>
      </c>
    </row>
    <row r="417" spans="1:5">
      <c r="A417" s="379" t="s">
        <v>4318</v>
      </c>
      <c r="B417" s="379" t="s">
        <v>3508</v>
      </c>
      <c r="C417" s="380">
        <v>106879</v>
      </c>
      <c r="D417" s="379" t="s">
        <v>3509</v>
      </c>
      <c r="E417" s="379" t="s">
        <v>3510</v>
      </c>
    </row>
    <row r="418" spans="1:5">
      <c r="A418" s="379" t="s">
        <v>4319</v>
      </c>
      <c r="B418" s="379" t="s">
        <v>2394</v>
      </c>
      <c r="C418" s="380">
        <v>267543</v>
      </c>
      <c r="D418" s="379" t="s">
        <v>2395</v>
      </c>
      <c r="E418" s="379" t="s">
        <v>2396</v>
      </c>
    </row>
    <row r="419" spans="1:5">
      <c r="A419" s="379" t="s">
        <v>4320</v>
      </c>
      <c r="B419" s="379" t="s">
        <v>2923</v>
      </c>
      <c r="C419" s="380">
        <v>132457</v>
      </c>
      <c r="D419" s="379" t="s">
        <v>2924</v>
      </c>
      <c r="E419" s="379" t="s">
        <v>2925</v>
      </c>
    </row>
    <row r="420" spans="1:5">
      <c r="A420" s="379" t="s">
        <v>4321</v>
      </c>
      <c r="B420" s="379" t="s">
        <v>1871</v>
      </c>
      <c r="C420" s="380">
        <v>282626</v>
      </c>
      <c r="D420" s="379" t="s">
        <v>1872</v>
      </c>
      <c r="E420" s="379" t="s">
        <v>1873</v>
      </c>
    </row>
    <row r="421" spans="1:5">
      <c r="A421" s="379" t="s">
        <v>4322</v>
      </c>
      <c r="B421" s="379" t="s">
        <v>954</v>
      </c>
      <c r="C421" s="380">
        <v>284232</v>
      </c>
      <c r="D421" s="379" t="s">
        <v>955</v>
      </c>
      <c r="E421" s="379" t="s">
        <v>956</v>
      </c>
    </row>
    <row r="422" spans="1:5">
      <c r="A422" s="379" t="s">
        <v>4323</v>
      </c>
      <c r="B422" s="379" t="s">
        <v>1874</v>
      </c>
      <c r="C422" s="380">
        <v>215739</v>
      </c>
      <c r="D422" s="379" t="s">
        <v>1875</v>
      </c>
      <c r="E422" s="379" t="s">
        <v>1876</v>
      </c>
    </row>
    <row r="423" spans="1:5">
      <c r="A423" s="379" t="s">
        <v>4324</v>
      </c>
      <c r="B423" s="379" t="s">
        <v>777</v>
      </c>
      <c r="C423" s="380">
        <v>131531</v>
      </c>
      <c r="D423" s="379" t="s">
        <v>778</v>
      </c>
      <c r="E423" s="379" t="s">
        <v>779</v>
      </c>
    </row>
    <row r="424" spans="1:5">
      <c r="A424" s="379" t="s">
        <v>4325</v>
      </c>
      <c r="B424" s="379" t="s">
        <v>413</v>
      </c>
      <c r="C424" s="380">
        <v>117354</v>
      </c>
      <c r="D424" s="379" t="s">
        <v>414</v>
      </c>
      <c r="E424" s="379" t="s">
        <v>415</v>
      </c>
    </row>
    <row r="425" spans="1:5">
      <c r="A425" s="379" t="s">
        <v>4326</v>
      </c>
      <c r="B425" s="379" t="s">
        <v>2083</v>
      </c>
      <c r="C425" s="380">
        <v>108486</v>
      </c>
      <c r="D425" s="379" t="s">
        <v>2084</v>
      </c>
      <c r="E425" s="379" t="s">
        <v>2085</v>
      </c>
    </row>
    <row r="426" spans="1:5">
      <c r="A426" s="379" t="s">
        <v>4327</v>
      </c>
      <c r="B426" s="379" t="s">
        <v>2583</v>
      </c>
      <c r="C426" s="380">
        <v>117271</v>
      </c>
      <c r="D426" s="379" t="s">
        <v>2584</v>
      </c>
      <c r="E426" s="379" t="s">
        <v>2585</v>
      </c>
    </row>
    <row r="427" spans="1:5">
      <c r="A427" s="379" t="s">
        <v>4328</v>
      </c>
      <c r="B427" s="379" t="s">
        <v>3609</v>
      </c>
      <c r="C427" s="380">
        <v>100179</v>
      </c>
      <c r="D427" s="379" t="s">
        <v>3610</v>
      </c>
      <c r="E427" s="379" t="s">
        <v>3611</v>
      </c>
    </row>
    <row r="428" spans="1:5">
      <c r="A428" s="379" t="s">
        <v>4329</v>
      </c>
      <c r="B428" s="379" t="s">
        <v>284</v>
      </c>
      <c r="C428" s="380">
        <v>132281</v>
      </c>
      <c r="D428" s="379" t="s">
        <v>285</v>
      </c>
      <c r="E428" s="379" t="s">
        <v>286</v>
      </c>
    </row>
    <row r="429" spans="1:5">
      <c r="A429" s="379" t="s">
        <v>4330</v>
      </c>
      <c r="B429" s="379"/>
      <c r="C429" s="380">
        <v>126717</v>
      </c>
      <c r="D429" s="379" t="s">
        <v>3778</v>
      </c>
      <c r="E429" s="379" t="s">
        <v>3779</v>
      </c>
    </row>
    <row r="430" spans="1:5">
      <c r="A430" s="379" t="s">
        <v>4331</v>
      </c>
      <c r="B430" s="379" t="s">
        <v>524</v>
      </c>
      <c r="C430" s="380">
        <v>208280</v>
      </c>
      <c r="D430" s="379" t="s">
        <v>525</v>
      </c>
      <c r="E430" s="379" t="s">
        <v>526</v>
      </c>
    </row>
    <row r="431" spans="1:5">
      <c r="A431" s="379" t="s">
        <v>4332</v>
      </c>
      <c r="B431" s="379" t="s">
        <v>253</v>
      </c>
      <c r="C431" s="380">
        <v>100180</v>
      </c>
      <c r="D431" s="379" t="s">
        <v>254</v>
      </c>
      <c r="E431" s="379" t="s">
        <v>255</v>
      </c>
    </row>
    <row r="432" spans="1:5">
      <c r="A432" s="379" t="s">
        <v>4333</v>
      </c>
      <c r="B432" s="379" t="s">
        <v>356</v>
      </c>
      <c r="C432" s="380">
        <v>217389</v>
      </c>
      <c r="D432" s="379" t="s">
        <v>357</v>
      </c>
      <c r="E432" s="379" t="s">
        <v>358</v>
      </c>
    </row>
    <row r="433" spans="1:5">
      <c r="A433" s="379" t="s">
        <v>4334</v>
      </c>
      <c r="B433" s="379" t="s">
        <v>2061</v>
      </c>
      <c r="C433" s="380">
        <v>210217</v>
      </c>
      <c r="D433" s="379" t="s">
        <v>2062</v>
      </c>
      <c r="E433" s="379" t="s">
        <v>2063</v>
      </c>
    </row>
    <row r="434" spans="1:5">
      <c r="A434" s="379" t="s">
        <v>4335</v>
      </c>
      <c r="B434" s="379" t="s">
        <v>1585</v>
      </c>
      <c r="C434" s="380">
        <v>109631</v>
      </c>
      <c r="D434" s="379" t="s">
        <v>1586</v>
      </c>
      <c r="E434" s="379" t="s">
        <v>1587</v>
      </c>
    </row>
    <row r="435" spans="1:5">
      <c r="A435" s="379" t="s">
        <v>4336</v>
      </c>
      <c r="B435" s="379" t="s">
        <v>1679</v>
      </c>
      <c r="C435" s="380">
        <v>100292</v>
      </c>
      <c r="D435" s="379" t="s">
        <v>1680</v>
      </c>
      <c r="E435" s="379" t="s">
        <v>1681</v>
      </c>
    </row>
    <row r="436" spans="1:5">
      <c r="A436" s="379" t="s">
        <v>4337</v>
      </c>
      <c r="B436" s="379" t="s">
        <v>1937</v>
      </c>
      <c r="C436" s="380">
        <v>296057</v>
      </c>
      <c r="D436" s="379" t="s">
        <v>1938</v>
      </c>
      <c r="E436" s="379" t="s">
        <v>1939</v>
      </c>
    </row>
    <row r="437" spans="1:5">
      <c r="A437" s="379" t="s">
        <v>4338</v>
      </c>
      <c r="B437" s="379" t="s">
        <v>2216</v>
      </c>
      <c r="C437" s="380">
        <v>223487</v>
      </c>
      <c r="D437" s="379" t="s">
        <v>2217</v>
      </c>
      <c r="E437" s="379" t="s">
        <v>2218</v>
      </c>
    </row>
    <row r="438" spans="1:5">
      <c r="A438" s="379" t="s">
        <v>4339</v>
      </c>
      <c r="B438" s="379" t="s">
        <v>2541</v>
      </c>
      <c r="C438" s="380">
        <v>119552</v>
      </c>
      <c r="D438" s="379" t="s">
        <v>2542</v>
      </c>
      <c r="E438" s="379" t="s">
        <v>2543</v>
      </c>
    </row>
    <row r="439" spans="1:5">
      <c r="A439" s="379" t="s">
        <v>4340</v>
      </c>
      <c r="B439" s="379" t="s">
        <v>542</v>
      </c>
      <c r="C439" s="380">
        <v>100182</v>
      </c>
      <c r="D439" s="379" t="s">
        <v>543</v>
      </c>
      <c r="E439" s="379" t="s">
        <v>544</v>
      </c>
    </row>
    <row r="440" spans="1:5">
      <c r="A440" s="379" t="s">
        <v>4341</v>
      </c>
      <c r="B440" s="379" t="s">
        <v>2403</v>
      </c>
      <c r="C440" s="380">
        <v>124669</v>
      </c>
      <c r="D440" s="379" t="s">
        <v>2404</v>
      </c>
      <c r="E440" s="379" t="s">
        <v>2405</v>
      </c>
    </row>
    <row r="441" spans="1:5">
      <c r="A441" s="379" t="s">
        <v>4342</v>
      </c>
      <c r="B441" s="379" t="s">
        <v>3465</v>
      </c>
      <c r="C441" s="380">
        <v>228275</v>
      </c>
      <c r="D441" s="379" t="s">
        <v>3466</v>
      </c>
      <c r="E441" s="379" t="s">
        <v>3467</v>
      </c>
    </row>
    <row r="442" spans="1:5">
      <c r="A442" s="379" t="s">
        <v>4343</v>
      </c>
      <c r="B442" s="379" t="s">
        <v>1192</v>
      </c>
      <c r="C442" s="380">
        <v>100183</v>
      </c>
      <c r="D442" s="379" t="s">
        <v>1193</v>
      </c>
      <c r="E442" s="379" t="s">
        <v>1194</v>
      </c>
    </row>
    <row r="443" spans="1:5">
      <c r="A443" s="379" t="s">
        <v>4344</v>
      </c>
      <c r="B443" s="379" t="s">
        <v>1561</v>
      </c>
      <c r="C443" s="380">
        <v>124735</v>
      </c>
      <c r="D443" s="379" t="s">
        <v>1562</v>
      </c>
      <c r="E443" s="379" t="s">
        <v>1563</v>
      </c>
    </row>
    <row r="444" spans="1:5">
      <c r="A444" s="379" t="s">
        <v>4345</v>
      </c>
      <c r="B444" s="379" t="s">
        <v>1997</v>
      </c>
      <c r="C444" s="380">
        <v>109675</v>
      </c>
      <c r="D444" s="379" t="s">
        <v>1998</v>
      </c>
      <c r="E444" s="379" t="s">
        <v>1999</v>
      </c>
    </row>
    <row r="445" spans="1:5">
      <c r="A445" s="379" t="s">
        <v>4346</v>
      </c>
      <c r="B445" s="379" t="s">
        <v>2556</v>
      </c>
      <c r="C445" s="380">
        <v>100184</v>
      </c>
      <c r="D445" s="379" t="s">
        <v>2557</v>
      </c>
      <c r="E445" s="379" t="s">
        <v>2558</v>
      </c>
    </row>
    <row r="446" spans="1:5">
      <c r="A446" s="379" t="s">
        <v>4347</v>
      </c>
      <c r="B446" s="379" t="s">
        <v>2373</v>
      </c>
      <c r="C446" s="380">
        <v>114043</v>
      </c>
      <c r="D446" s="379" t="s">
        <v>2374</v>
      </c>
      <c r="E446" s="379" t="s">
        <v>2375</v>
      </c>
    </row>
    <row r="447" spans="1:5">
      <c r="A447" s="379" t="s">
        <v>4348</v>
      </c>
      <c r="B447" s="379" t="s">
        <v>389</v>
      </c>
      <c r="C447" s="380">
        <v>100440</v>
      </c>
      <c r="D447" s="379" t="s">
        <v>390</v>
      </c>
      <c r="E447" s="379" t="s">
        <v>391</v>
      </c>
    </row>
    <row r="448" spans="1:5">
      <c r="A448" s="379" t="s">
        <v>4349</v>
      </c>
      <c r="B448" s="379" t="s">
        <v>1508</v>
      </c>
      <c r="C448" s="380">
        <v>132859</v>
      </c>
      <c r="D448" s="379" t="s">
        <v>1509</v>
      </c>
      <c r="E448" s="379" t="s">
        <v>1510</v>
      </c>
    </row>
    <row r="449" spans="1:5">
      <c r="A449" s="379" t="s">
        <v>4350</v>
      </c>
      <c r="B449" s="379" t="s">
        <v>603</v>
      </c>
      <c r="C449" s="380">
        <v>219494</v>
      </c>
      <c r="D449" s="379" t="s">
        <v>604</v>
      </c>
      <c r="E449" s="379" t="s">
        <v>605</v>
      </c>
    </row>
    <row r="450" spans="1:5">
      <c r="A450" s="379" t="s">
        <v>4351</v>
      </c>
      <c r="B450" s="379" t="s">
        <v>2246</v>
      </c>
      <c r="C450" s="380">
        <v>100185</v>
      </c>
      <c r="D450" s="379" t="s">
        <v>2247</v>
      </c>
      <c r="E450" s="379" t="s">
        <v>2248</v>
      </c>
    </row>
    <row r="451" spans="1:5">
      <c r="A451" s="379" t="s">
        <v>4352</v>
      </c>
      <c r="B451" s="379" t="s">
        <v>1141</v>
      </c>
      <c r="C451" s="380">
        <v>113599</v>
      </c>
      <c r="D451" s="379" t="s">
        <v>1142</v>
      </c>
      <c r="E451" s="379" t="s">
        <v>1143</v>
      </c>
    </row>
    <row r="452" spans="1:5">
      <c r="A452" s="379" t="s">
        <v>4353</v>
      </c>
      <c r="B452" s="379" t="s">
        <v>1826</v>
      </c>
      <c r="C452" s="380">
        <v>119126</v>
      </c>
      <c r="D452" s="379" t="s">
        <v>1827</v>
      </c>
      <c r="E452" s="379" t="s">
        <v>1828</v>
      </c>
    </row>
    <row r="453" spans="1:5">
      <c r="A453" s="379" t="s">
        <v>4354</v>
      </c>
      <c r="B453" s="379" t="s">
        <v>3897</v>
      </c>
      <c r="C453" s="380">
        <v>220559</v>
      </c>
      <c r="D453" s="379" t="s">
        <v>3898</v>
      </c>
      <c r="E453" s="379" t="s">
        <v>3899</v>
      </c>
    </row>
    <row r="454" spans="1:5">
      <c r="A454" s="379" t="s">
        <v>4355</v>
      </c>
      <c r="B454" s="379" t="s">
        <v>2285</v>
      </c>
      <c r="C454" s="380">
        <v>100186</v>
      </c>
      <c r="D454" s="379" t="s">
        <v>2286</v>
      </c>
      <c r="E454" s="379" t="s">
        <v>2287</v>
      </c>
    </row>
    <row r="455" spans="1:5">
      <c r="A455" s="379" t="s">
        <v>4356</v>
      </c>
      <c r="B455" s="379" t="s">
        <v>594</v>
      </c>
      <c r="C455" s="380">
        <v>100104</v>
      </c>
      <c r="D455" s="379" t="s">
        <v>595</v>
      </c>
      <c r="E455" s="379" t="s">
        <v>596</v>
      </c>
    </row>
    <row r="456" spans="1:5">
      <c r="A456" s="379" t="s">
        <v>4357</v>
      </c>
      <c r="B456" s="379" t="s">
        <v>259</v>
      </c>
      <c r="C456" s="380">
        <v>100696</v>
      </c>
      <c r="D456" s="379" t="s">
        <v>260</v>
      </c>
      <c r="E456" s="379" t="s">
        <v>261</v>
      </c>
    </row>
    <row r="457" spans="1:5">
      <c r="A457" s="379" t="s">
        <v>4358</v>
      </c>
      <c r="B457" s="379" t="s">
        <v>353</v>
      </c>
      <c r="C457" s="380">
        <v>100188</v>
      </c>
      <c r="D457" s="379" t="s">
        <v>354</v>
      </c>
      <c r="E457" s="379" t="s">
        <v>355</v>
      </c>
    </row>
    <row r="458" spans="1:5">
      <c r="A458" s="379" t="s">
        <v>4359</v>
      </c>
      <c r="B458" s="379"/>
      <c r="C458" s="380">
        <v>208341</v>
      </c>
      <c r="D458" s="379" t="s">
        <v>3718</v>
      </c>
      <c r="E458" s="379" t="s">
        <v>3719</v>
      </c>
    </row>
    <row r="459" spans="1:5">
      <c r="A459" s="379" t="s">
        <v>4360</v>
      </c>
      <c r="B459" s="379" t="s">
        <v>1211</v>
      </c>
      <c r="C459" s="380">
        <v>296765</v>
      </c>
      <c r="D459" s="379" t="s">
        <v>1212</v>
      </c>
      <c r="E459" s="379" t="s">
        <v>1213</v>
      </c>
    </row>
    <row r="460" spans="1:5">
      <c r="A460" s="379" t="s">
        <v>4361</v>
      </c>
      <c r="B460" s="379" t="s">
        <v>3817</v>
      </c>
      <c r="C460" s="380">
        <v>126217</v>
      </c>
      <c r="D460" s="379" t="s">
        <v>3818</v>
      </c>
      <c r="E460" s="379" t="s">
        <v>3819</v>
      </c>
    </row>
    <row r="461" spans="1:5">
      <c r="A461" s="379" t="s">
        <v>4362</v>
      </c>
      <c r="B461" s="379" t="s">
        <v>3630</v>
      </c>
      <c r="C461" s="380">
        <v>208345</v>
      </c>
      <c r="D461" s="379" t="s">
        <v>3631</v>
      </c>
      <c r="E461" s="379" t="s">
        <v>3632</v>
      </c>
    </row>
    <row r="462" spans="1:5">
      <c r="A462" s="379" t="s">
        <v>4363</v>
      </c>
      <c r="B462" s="379" t="s">
        <v>1400</v>
      </c>
      <c r="C462" s="380">
        <v>122215</v>
      </c>
      <c r="D462" s="379" t="s">
        <v>1401</v>
      </c>
      <c r="E462" s="379" t="s">
        <v>1402</v>
      </c>
    </row>
    <row r="463" spans="1:5">
      <c r="A463" s="379" t="s">
        <v>4364</v>
      </c>
      <c r="B463" s="379" t="s">
        <v>3581</v>
      </c>
      <c r="C463" s="380">
        <v>100193</v>
      </c>
      <c r="D463" s="379" t="s">
        <v>3582</v>
      </c>
      <c r="E463" s="379" t="s">
        <v>3583</v>
      </c>
    </row>
    <row r="464" spans="1:5">
      <c r="A464" s="379" t="s">
        <v>4365</v>
      </c>
      <c r="B464" s="379" t="s">
        <v>1986</v>
      </c>
      <c r="C464" s="380">
        <v>100191</v>
      </c>
      <c r="D464" s="379" t="s">
        <v>1987</v>
      </c>
      <c r="E464" s="379" t="s">
        <v>1988</v>
      </c>
    </row>
    <row r="465" spans="1:5">
      <c r="A465" s="379" t="s">
        <v>4366</v>
      </c>
      <c r="B465" s="379" t="s">
        <v>1481</v>
      </c>
      <c r="C465" s="380">
        <v>235955</v>
      </c>
      <c r="D465" s="379" t="s">
        <v>1482</v>
      </c>
      <c r="E465" s="379" t="s">
        <v>1483</v>
      </c>
    </row>
    <row r="466" spans="1:5">
      <c r="A466" s="379" t="s">
        <v>4367</v>
      </c>
      <c r="B466" s="379" t="s">
        <v>2875</v>
      </c>
      <c r="C466" s="380">
        <v>122064</v>
      </c>
      <c r="D466" s="379" t="s">
        <v>2876</v>
      </c>
      <c r="E466" s="379" t="s">
        <v>2877</v>
      </c>
    </row>
    <row r="467" spans="1:5">
      <c r="A467" s="379" t="s">
        <v>4368</v>
      </c>
      <c r="B467" s="379" t="s">
        <v>662</v>
      </c>
      <c r="C467" s="380">
        <v>117174</v>
      </c>
      <c r="D467" s="379" t="s">
        <v>663</v>
      </c>
      <c r="E467" s="379" t="s">
        <v>664</v>
      </c>
    </row>
    <row r="468" spans="1:5">
      <c r="A468" s="379" t="s">
        <v>4369</v>
      </c>
      <c r="B468" s="379" t="s">
        <v>1388</v>
      </c>
      <c r="C468" s="380">
        <v>213327</v>
      </c>
      <c r="D468" s="379" t="s">
        <v>1389</v>
      </c>
      <c r="E468" s="379" t="s">
        <v>1390</v>
      </c>
    </row>
    <row r="469" spans="1:5">
      <c r="A469" s="379" t="s">
        <v>4370</v>
      </c>
      <c r="B469" s="379" t="s">
        <v>265</v>
      </c>
      <c r="C469" s="380">
        <v>100010</v>
      </c>
      <c r="D469" s="379" t="s">
        <v>266</v>
      </c>
      <c r="E469" s="379" t="s">
        <v>267</v>
      </c>
    </row>
    <row r="470" spans="1:5">
      <c r="A470" s="379" t="s">
        <v>4371</v>
      </c>
      <c r="B470" s="379" t="s">
        <v>3612</v>
      </c>
      <c r="C470" s="380">
        <v>302830</v>
      </c>
      <c r="D470" s="379" t="s">
        <v>3613</v>
      </c>
      <c r="E470" s="379" t="s">
        <v>3614</v>
      </c>
    </row>
    <row r="471" spans="1:5">
      <c r="A471" s="379" t="s">
        <v>4372</v>
      </c>
      <c r="B471" s="379" t="s">
        <v>2842</v>
      </c>
      <c r="C471" s="380">
        <v>100187</v>
      </c>
      <c r="D471" s="379" t="s">
        <v>2843</v>
      </c>
      <c r="E471" s="379" t="s">
        <v>2844</v>
      </c>
    </row>
    <row r="472" spans="1:5">
      <c r="A472" s="379" t="s">
        <v>4373</v>
      </c>
      <c r="B472" s="379" t="s">
        <v>3680</v>
      </c>
      <c r="C472" s="380">
        <v>132662</v>
      </c>
      <c r="D472" s="379" t="s">
        <v>3681</v>
      </c>
      <c r="E472" s="379" t="s">
        <v>3682</v>
      </c>
    </row>
    <row r="473" spans="1:5">
      <c r="A473" s="379" t="s">
        <v>4374</v>
      </c>
      <c r="B473" s="379" t="s">
        <v>2641</v>
      </c>
      <c r="C473" s="380">
        <v>109820</v>
      </c>
      <c r="D473" s="379" t="s">
        <v>2642</v>
      </c>
      <c r="E473" s="379" t="s">
        <v>2643</v>
      </c>
    </row>
    <row r="474" spans="1:5">
      <c r="A474" s="379" t="s">
        <v>4375</v>
      </c>
      <c r="B474" s="379" t="s">
        <v>262</v>
      </c>
      <c r="C474" s="380">
        <v>132174</v>
      </c>
      <c r="D474" s="379" t="s">
        <v>263</v>
      </c>
      <c r="E474" s="379" t="s">
        <v>264</v>
      </c>
    </row>
    <row r="475" spans="1:5">
      <c r="A475" s="379" t="s">
        <v>4376</v>
      </c>
      <c r="B475" s="379" t="s">
        <v>470</v>
      </c>
      <c r="C475" s="380">
        <v>217379</v>
      </c>
      <c r="D475" s="379" t="s">
        <v>471</v>
      </c>
      <c r="E475" s="379" t="s">
        <v>472</v>
      </c>
    </row>
    <row r="476" spans="1:5">
      <c r="A476" s="379" t="s">
        <v>4377</v>
      </c>
      <c r="B476" s="379" t="s">
        <v>431</v>
      </c>
      <c r="C476" s="380">
        <v>210258</v>
      </c>
      <c r="D476" s="379" t="s">
        <v>432</v>
      </c>
      <c r="E476" s="379" t="s">
        <v>433</v>
      </c>
    </row>
    <row r="477" spans="1:5">
      <c r="A477" s="379" t="s">
        <v>4378</v>
      </c>
      <c r="B477" s="379" t="s">
        <v>819</v>
      </c>
      <c r="C477" s="380">
        <v>208365</v>
      </c>
      <c r="D477" s="379" t="s">
        <v>820</v>
      </c>
      <c r="E477" s="379" t="s">
        <v>821</v>
      </c>
    </row>
    <row r="478" spans="1:5">
      <c r="A478" s="379" t="s">
        <v>4379</v>
      </c>
      <c r="B478" s="379" t="s">
        <v>2021</v>
      </c>
      <c r="C478" s="380">
        <v>132835</v>
      </c>
      <c r="D478" s="379" t="s">
        <v>2022</v>
      </c>
      <c r="E478" s="379" t="s">
        <v>2023</v>
      </c>
    </row>
    <row r="479" spans="1:5">
      <c r="A479" s="379" t="s">
        <v>4380</v>
      </c>
      <c r="B479" s="379" t="s">
        <v>527</v>
      </c>
      <c r="C479" s="380">
        <v>100116</v>
      </c>
      <c r="D479" s="379" t="s">
        <v>528</v>
      </c>
      <c r="E479" s="379" t="s">
        <v>529</v>
      </c>
    </row>
    <row r="480" spans="1:5">
      <c r="A480" s="379" t="s">
        <v>4381</v>
      </c>
      <c r="B480" s="379" t="s">
        <v>756</v>
      </c>
      <c r="C480" s="380">
        <v>278580</v>
      </c>
      <c r="D480" s="379" t="s">
        <v>757</v>
      </c>
      <c r="E480" s="379" t="s">
        <v>758</v>
      </c>
    </row>
    <row r="481" spans="1:5">
      <c r="A481" s="379" t="s">
        <v>4382</v>
      </c>
      <c r="B481" s="379" t="s">
        <v>1292</v>
      </c>
      <c r="C481" s="380">
        <v>132659</v>
      </c>
      <c r="D481" s="379" t="s">
        <v>1293</v>
      </c>
      <c r="E481" s="379" t="s">
        <v>1294</v>
      </c>
    </row>
    <row r="482" spans="1:5">
      <c r="A482" s="379" t="s">
        <v>4383</v>
      </c>
      <c r="B482" s="379" t="s">
        <v>3732</v>
      </c>
      <c r="C482" s="380">
        <v>107438</v>
      </c>
      <c r="D482" s="379" t="s">
        <v>3733</v>
      </c>
      <c r="E482" s="379" t="s">
        <v>3734</v>
      </c>
    </row>
    <row r="483" spans="1:5">
      <c r="A483" s="379" t="s">
        <v>4384</v>
      </c>
      <c r="B483" s="379" t="s">
        <v>1730</v>
      </c>
      <c r="C483" s="380">
        <v>105726</v>
      </c>
      <c r="D483" s="379" t="s">
        <v>1731</v>
      </c>
      <c r="E483" s="379" t="s">
        <v>1732</v>
      </c>
    </row>
    <row r="484" spans="1:5">
      <c r="A484" s="379" t="s">
        <v>4385</v>
      </c>
      <c r="B484" s="379" t="s">
        <v>1955</v>
      </c>
      <c r="C484" s="380">
        <v>100106</v>
      </c>
      <c r="D484" s="379" t="s">
        <v>1956</v>
      </c>
      <c r="E484" s="379" t="s">
        <v>1957</v>
      </c>
    </row>
    <row r="485" spans="1:5">
      <c r="A485" s="379" t="s">
        <v>4386</v>
      </c>
      <c r="B485" s="379" t="s">
        <v>3075</v>
      </c>
      <c r="C485" s="380">
        <v>243998</v>
      </c>
      <c r="D485" s="379" t="s">
        <v>3076</v>
      </c>
      <c r="E485" s="379" t="s">
        <v>3077</v>
      </c>
    </row>
    <row r="486" spans="1:5">
      <c r="A486" s="379" t="s">
        <v>4387</v>
      </c>
      <c r="B486" s="379" t="s">
        <v>2417</v>
      </c>
      <c r="C486" s="380">
        <v>100199</v>
      </c>
      <c r="D486" s="379" t="s">
        <v>2418</v>
      </c>
      <c r="E486" s="379" t="s">
        <v>2419</v>
      </c>
    </row>
    <row r="487" spans="1:5">
      <c r="A487" s="379" t="s">
        <v>4388</v>
      </c>
      <c r="B487" s="379" t="s">
        <v>2724</v>
      </c>
      <c r="C487" s="380">
        <v>117380</v>
      </c>
      <c r="D487" s="379" t="s">
        <v>2725</v>
      </c>
      <c r="E487" s="379" t="s">
        <v>2726</v>
      </c>
    </row>
    <row r="488" spans="1:5">
      <c r="A488" s="379" t="s">
        <v>4389</v>
      </c>
      <c r="B488" s="379" t="s">
        <v>1223</v>
      </c>
      <c r="C488" s="380">
        <v>132636</v>
      </c>
      <c r="D488" s="379" t="s">
        <v>1224</v>
      </c>
      <c r="E488" s="379" t="s">
        <v>1225</v>
      </c>
    </row>
    <row r="489" spans="1:5">
      <c r="A489" s="379" t="s">
        <v>4390</v>
      </c>
      <c r="B489" s="379" t="s">
        <v>2201</v>
      </c>
      <c r="C489" s="380">
        <v>244005</v>
      </c>
      <c r="D489" s="379" t="s">
        <v>2202</v>
      </c>
      <c r="E489" s="379" t="s">
        <v>2203</v>
      </c>
    </row>
    <row r="490" spans="1:5">
      <c r="A490" s="379" t="s">
        <v>4391</v>
      </c>
      <c r="B490" s="379" t="s">
        <v>1117</v>
      </c>
      <c r="C490" s="380">
        <v>228974</v>
      </c>
      <c r="D490" s="379" t="s">
        <v>1118</v>
      </c>
      <c r="E490" s="379" t="s">
        <v>1119</v>
      </c>
    </row>
    <row r="491" spans="1:5">
      <c r="A491" s="379" t="s">
        <v>4392</v>
      </c>
      <c r="B491" s="379" t="s">
        <v>2293</v>
      </c>
      <c r="C491" s="380">
        <v>100201</v>
      </c>
      <c r="D491" s="379" t="s">
        <v>2294</v>
      </c>
      <c r="E491" s="379" t="s">
        <v>2295</v>
      </c>
    </row>
    <row r="492" spans="1:5">
      <c r="A492" s="379" t="s">
        <v>4393</v>
      </c>
      <c r="B492" s="379" t="s">
        <v>3190</v>
      </c>
      <c r="C492" s="380">
        <v>190065</v>
      </c>
      <c r="D492" s="379" t="s">
        <v>3191</v>
      </c>
      <c r="E492" s="379" t="s">
        <v>3192</v>
      </c>
    </row>
    <row r="493" spans="1:5">
      <c r="A493" s="379" t="s">
        <v>4394</v>
      </c>
      <c r="B493" s="379" t="s">
        <v>3400</v>
      </c>
      <c r="C493" s="380">
        <v>132240</v>
      </c>
      <c r="D493" s="379" t="s">
        <v>3401</v>
      </c>
      <c r="E493" s="379" t="s">
        <v>3402</v>
      </c>
    </row>
    <row r="494" spans="1:5">
      <c r="A494" s="379" t="s">
        <v>4395</v>
      </c>
      <c r="B494" s="379" t="s">
        <v>1919</v>
      </c>
      <c r="C494" s="380">
        <v>301327</v>
      </c>
      <c r="D494" s="379" t="s">
        <v>1920</v>
      </c>
      <c r="E494" s="379" t="s">
        <v>1921</v>
      </c>
    </row>
    <row r="495" spans="1:5">
      <c r="A495" s="379" t="s">
        <v>4396</v>
      </c>
      <c r="B495" s="379" t="s">
        <v>2580</v>
      </c>
      <c r="C495" s="380">
        <v>200503</v>
      </c>
      <c r="D495" s="379" t="s">
        <v>2581</v>
      </c>
      <c r="E495" s="379" t="s">
        <v>2582</v>
      </c>
    </row>
    <row r="496" spans="1:5">
      <c r="A496" s="379" t="s">
        <v>4397</v>
      </c>
      <c r="B496" s="379" t="s">
        <v>2099</v>
      </c>
      <c r="C496" s="380">
        <v>132189</v>
      </c>
      <c r="D496" s="379" t="s">
        <v>2100</v>
      </c>
      <c r="E496" s="379" t="s">
        <v>2101</v>
      </c>
    </row>
    <row r="497" spans="1:5">
      <c r="A497" s="379" t="s">
        <v>4398</v>
      </c>
      <c r="B497" s="379" t="s">
        <v>1226</v>
      </c>
      <c r="C497" s="380">
        <v>220741</v>
      </c>
      <c r="D497" s="379" t="s">
        <v>1227</v>
      </c>
      <c r="E497" s="379" t="s">
        <v>1228</v>
      </c>
    </row>
    <row r="498" spans="1:5">
      <c r="A498" s="379" t="s">
        <v>4399</v>
      </c>
      <c r="B498" s="379" t="s">
        <v>1454</v>
      </c>
      <c r="C498" s="380">
        <v>132832</v>
      </c>
      <c r="D498" s="379" t="s">
        <v>1455</v>
      </c>
      <c r="E498" s="379" t="s">
        <v>1456</v>
      </c>
    </row>
    <row r="499" spans="1:5">
      <c r="A499" s="379" t="s">
        <v>4400</v>
      </c>
      <c r="B499" s="379" t="s">
        <v>936</v>
      </c>
      <c r="C499" s="380">
        <v>290269</v>
      </c>
      <c r="D499" s="379" t="s">
        <v>937</v>
      </c>
      <c r="E499" s="379" t="s">
        <v>938</v>
      </c>
    </row>
    <row r="500" spans="1:5">
      <c r="A500" s="379" t="s">
        <v>985</v>
      </c>
      <c r="B500" s="379" t="s">
        <v>986</v>
      </c>
      <c r="C500" s="380">
        <v>132814</v>
      </c>
      <c r="D500" s="379" t="s">
        <v>987</v>
      </c>
      <c r="E500" s="379" t="s">
        <v>988</v>
      </c>
    </row>
    <row r="501" spans="1:5">
      <c r="A501" s="379" t="s">
        <v>4401</v>
      </c>
      <c r="B501" s="379" t="s">
        <v>865</v>
      </c>
      <c r="C501" s="380">
        <v>224623</v>
      </c>
      <c r="D501" s="379" t="s">
        <v>866</v>
      </c>
      <c r="E501" s="379" t="s">
        <v>867</v>
      </c>
    </row>
    <row r="502" spans="1:5">
      <c r="A502" s="379" t="s">
        <v>4402</v>
      </c>
      <c r="B502" s="379" t="s">
        <v>3274</v>
      </c>
      <c r="C502" s="380">
        <v>104741</v>
      </c>
      <c r="D502" s="379" t="s">
        <v>3275</v>
      </c>
      <c r="E502" s="379" t="s">
        <v>3276</v>
      </c>
    </row>
    <row r="503" spans="1:5">
      <c r="A503" s="379" t="s">
        <v>4403</v>
      </c>
      <c r="B503" s="379"/>
      <c r="C503" s="380">
        <v>109051</v>
      </c>
      <c r="D503" s="379" t="s">
        <v>3488</v>
      </c>
      <c r="E503" s="379" t="s">
        <v>3489</v>
      </c>
    </row>
    <row r="504" spans="1:5">
      <c r="A504" s="379" t="s">
        <v>4404</v>
      </c>
      <c r="B504" s="379" t="s">
        <v>2237</v>
      </c>
      <c r="C504" s="380">
        <v>217582</v>
      </c>
      <c r="D504" s="379" t="s">
        <v>2238</v>
      </c>
      <c r="E504" s="379" t="s">
        <v>2239</v>
      </c>
    </row>
    <row r="505" spans="1:5">
      <c r="A505" s="379" t="s">
        <v>4405</v>
      </c>
      <c r="B505" s="379" t="s">
        <v>380</v>
      </c>
      <c r="C505" s="380">
        <v>130965</v>
      </c>
      <c r="D505" s="379" t="s">
        <v>381</v>
      </c>
      <c r="E505" s="379" t="s">
        <v>382</v>
      </c>
    </row>
    <row r="506" spans="1:5">
      <c r="A506" s="379" t="s">
        <v>643</v>
      </c>
      <c r="B506" s="379" t="s">
        <v>644</v>
      </c>
      <c r="C506" s="380">
        <v>132388</v>
      </c>
      <c r="D506" s="379" t="s">
        <v>645</v>
      </c>
      <c r="E506" s="379" t="s">
        <v>646</v>
      </c>
    </row>
    <row r="507" spans="1:5">
      <c r="A507" s="379" t="s">
        <v>4406</v>
      </c>
      <c r="B507" s="379" t="s">
        <v>464</v>
      </c>
      <c r="C507" s="380">
        <v>208412</v>
      </c>
      <c r="D507" s="379" t="s">
        <v>465</v>
      </c>
      <c r="E507" s="379" t="s">
        <v>466</v>
      </c>
    </row>
    <row r="508" spans="1:5">
      <c r="A508" s="379" t="s">
        <v>4407</v>
      </c>
      <c r="B508" s="379" t="s">
        <v>747</v>
      </c>
      <c r="C508" s="380">
        <v>217280</v>
      </c>
      <c r="D508" s="379" t="s">
        <v>748</v>
      </c>
      <c r="E508" s="379" t="s">
        <v>749</v>
      </c>
    </row>
    <row r="509" spans="1:5">
      <c r="A509" s="379" t="s">
        <v>4408</v>
      </c>
      <c r="B509" s="379" t="s">
        <v>1265</v>
      </c>
      <c r="C509" s="380">
        <v>296050</v>
      </c>
      <c r="D509" s="379" t="s">
        <v>1266</v>
      </c>
      <c r="E509" s="379" t="s">
        <v>1267</v>
      </c>
    </row>
    <row r="510" spans="1:5">
      <c r="A510" s="379" t="s">
        <v>4409</v>
      </c>
      <c r="B510" s="379"/>
      <c r="C510" s="380">
        <v>124648</v>
      </c>
      <c r="D510" s="379" t="s">
        <v>3442</v>
      </c>
      <c r="E510" s="379" t="s">
        <v>3443</v>
      </c>
    </row>
    <row r="511" spans="1:5">
      <c r="A511" s="379" t="s">
        <v>4410</v>
      </c>
      <c r="B511" s="379" t="s">
        <v>1700</v>
      </c>
      <c r="C511" s="380">
        <v>121016</v>
      </c>
      <c r="D511" s="379" t="s">
        <v>1701</v>
      </c>
      <c r="E511" s="379" t="s">
        <v>1702</v>
      </c>
    </row>
    <row r="512" spans="1:5">
      <c r="A512" s="379" t="s">
        <v>4411</v>
      </c>
      <c r="B512" s="379" t="s">
        <v>2736</v>
      </c>
      <c r="C512" s="380">
        <v>100207</v>
      </c>
      <c r="D512" s="379" t="s">
        <v>2737</v>
      </c>
      <c r="E512" s="379" t="s">
        <v>2738</v>
      </c>
    </row>
    <row r="513" spans="1:5">
      <c r="A513" s="379" t="s">
        <v>4412</v>
      </c>
      <c r="B513" s="379" t="s">
        <v>1823</v>
      </c>
      <c r="C513" s="380">
        <v>132612</v>
      </c>
      <c r="D513" s="379" t="s">
        <v>1824</v>
      </c>
      <c r="E513" s="379" t="s">
        <v>1825</v>
      </c>
    </row>
    <row r="514" spans="1:5">
      <c r="A514" s="379" t="s">
        <v>4413</v>
      </c>
      <c r="B514" s="379" t="s">
        <v>2052</v>
      </c>
      <c r="C514" s="380">
        <v>233932</v>
      </c>
      <c r="D514" s="379" t="s">
        <v>2053</v>
      </c>
      <c r="E514" s="379" t="s">
        <v>2054</v>
      </c>
    </row>
    <row r="515" spans="1:5">
      <c r="A515" s="379" t="s">
        <v>4414</v>
      </c>
      <c r="B515" s="379" t="s">
        <v>698</v>
      </c>
      <c r="C515" s="380">
        <v>132514</v>
      </c>
      <c r="D515" s="379" t="s">
        <v>699</v>
      </c>
      <c r="E515" s="379" t="s">
        <v>700</v>
      </c>
    </row>
    <row r="516" spans="1:5">
      <c r="A516" s="379" t="s">
        <v>4415</v>
      </c>
      <c r="B516" s="379" t="s">
        <v>3543</v>
      </c>
      <c r="C516" s="380">
        <v>132150</v>
      </c>
      <c r="D516" s="379" t="s">
        <v>3544</v>
      </c>
      <c r="E516" s="379" t="s">
        <v>3545</v>
      </c>
    </row>
    <row r="517" spans="1:5">
      <c r="A517" s="379" t="s">
        <v>4416</v>
      </c>
      <c r="B517" s="379" t="s">
        <v>479</v>
      </c>
      <c r="C517" s="380">
        <v>209967</v>
      </c>
      <c r="D517" s="379" t="s">
        <v>480</v>
      </c>
      <c r="E517" s="379" t="s">
        <v>481</v>
      </c>
    </row>
    <row r="518" spans="1:5">
      <c r="A518" s="379" t="s">
        <v>4417</v>
      </c>
      <c r="B518" s="379" t="s">
        <v>482</v>
      </c>
      <c r="C518" s="380">
        <v>132187</v>
      </c>
      <c r="D518" s="379" t="s">
        <v>483</v>
      </c>
      <c r="E518" s="379" t="s">
        <v>484</v>
      </c>
    </row>
    <row r="519" spans="1:5">
      <c r="A519" s="379" t="s">
        <v>4418</v>
      </c>
      <c r="B519" s="379" t="s">
        <v>2296</v>
      </c>
      <c r="C519" s="380">
        <v>106222</v>
      </c>
      <c r="D519" s="379" t="s">
        <v>2297</v>
      </c>
      <c r="E519" s="379" t="s">
        <v>2298</v>
      </c>
    </row>
    <row r="520" spans="1:5">
      <c r="A520" s="379" t="s">
        <v>4419</v>
      </c>
      <c r="B520" s="379" t="s">
        <v>1655</v>
      </c>
      <c r="C520" s="380">
        <v>275070</v>
      </c>
      <c r="D520" s="379" t="s">
        <v>1656</v>
      </c>
      <c r="E520" s="379" t="s">
        <v>1657</v>
      </c>
    </row>
    <row r="521" spans="1:5">
      <c r="A521" s="379" t="s">
        <v>4420</v>
      </c>
      <c r="B521" s="379" t="s">
        <v>458</v>
      </c>
      <c r="C521" s="380">
        <v>132777</v>
      </c>
      <c r="D521" s="379" t="s">
        <v>459</v>
      </c>
      <c r="E521" s="379" t="s">
        <v>460</v>
      </c>
    </row>
    <row r="522" spans="1:5">
      <c r="A522" s="379" t="s">
        <v>4421</v>
      </c>
      <c r="B522" s="379" t="s">
        <v>3172</v>
      </c>
      <c r="C522" s="380">
        <v>275220</v>
      </c>
      <c r="D522" s="379" t="s">
        <v>3173</v>
      </c>
      <c r="E522" s="379" t="s">
        <v>3174</v>
      </c>
    </row>
    <row r="523" spans="1:5">
      <c r="A523" s="379" t="s">
        <v>4422</v>
      </c>
      <c r="B523" s="379" t="s">
        <v>256</v>
      </c>
      <c r="C523" s="380">
        <v>100209</v>
      </c>
      <c r="D523" s="379" t="s">
        <v>257</v>
      </c>
      <c r="E523" s="379" t="s">
        <v>258</v>
      </c>
    </row>
    <row r="524" spans="1:5">
      <c r="A524" s="379" t="s">
        <v>4423</v>
      </c>
      <c r="B524" s="379" t="s">
        <v>1922</v>
      </c>
      <c r="C524" s="380">
        <v>100210</v>
      </c>
      <c r="D524" s="379" t="s">
        <v>1923</v>
      </c>
      <c r="E524" s="379" t="s">
        <v>1924</v>
      </c>
    </row>
    <row r="525" spans="1:5">
      <c r="A525" s="379" t="s">
        <v>4424</v>
      </c>
      <c r="B525" s="379" t="s">
        <v>1784</v>
      </c>
      <c r="C525" s="380">
        <v>132706</v>
      </c>
      <c r="D525" s="379" t="s">
        <v>1785</v>
      </c>
      <c r="E525" s="379" t="s">
        <v>1786</v>
      </c>
    </row>
    <row r="526" spans="1:5">
      <c r="A526" s="379" t="s">
        <v>4425</v>
      </c>
      <c r="B526" s="379" t="s">
        <v>3357</v>
      </c>
      <c r="C526" s="380">
        <v>301915</v>
      </c>
      <c r="D526" s="379" t="s">
        <v>3358</v>
      </c>
      <c r="E526" s="379" t="s">
        <v>3359</v>
      </c>
    </row>
    <row r="527" spans="1:5">
      <c r="A527" s="379" t="s">
        <v>4426</v>
      </c>
      <c r="B527" s="379" t="s">
        <v>2189</v>
      </c>
      <c r="C527" s="380">
        <v>221809</v>
      </c>
      <c r="D527" s="379" t="s">
        <v>2190</v>
      </c>
      <c r="E527" s="379" t="s">
        <v>2191</v>
      </c>
    </row>
    <row r="528" spans="1:5">
      <c r="A528" s="379" t="s">
        <v>4427</v>
      </c>
      <c r="B528" s="379" t="s">
        <v>2881</v>
      </c>
      <c r="C528" s="380">
        <v>132851</v>
      </c>
      <c r="D528" s="379" t="s">
        <v>2882</v>
      </c>
      <c r="E528" s="379" t="s">
        <v>2883</v>
      </c>
    </row>
    <row r="529" spans="1:5">
      <c r="A529" s="379" t="s">
        <v>4428</v>
      </c>
      <c r="B529" s="379" t="s">
        <v>1271</v>
      </c>
      <c r="C529" s="380">
        <v>271581</v>
      </c>
      <c r="D529" s="379" t="s">
        <v>1272</v>
      </c>
      <c r="E529" s="379" t="s">
        <v>1273</v>
      </c>
    </row>
    <row r="530" spans="1:5">
      <c r="A530" s="379" t="s">
        <v>4429</v>
      </c>
      <c r="B530" s="379" t="s">
        <v>437</v>
      </c>
      <c r="C530" s="380">
        <v>222055</v>
      </c>
      <c r="D530" s="379" t="s">
        <v>438</v>
      </c>
      <c r="E530" s="379" t="s">
        <v>439</v>
      </c>
    </row>
    <row r="531" spans="1:5">
      <c r="A531" s="379" t="s">
        <v>4430</v>
      </c>
      <c r="B531" s="379" t="s">
        <v>2177</v>
      </c>
      <c r="C531" s="380">
        <v>124164</v>
      </c>
      <c r="D531" s="379" t="s">
        <v>2178</v>
      </c>
      <c r="E531" s="379" t="s">
        <v>2179</v>
      </c>
    </row>
    <row r="532" spans="1:5">
      <c r="A532" s="379" t="s">
        <v>4431</v>
      </c>
      <c r="B532" s="379" t="s">
        <v>2093</v>
      </c>
      <c r="C532" s="380">
        <v>100214</v>
      </c>
      <c r="D532" s="379" t="s">
        <v>2094</v>
      </c>
      <c r="E532" s="379" t="s">
        <v>2095</v>
      </c>
    </row>
    <row r="533" spans="1:5">
      <c r="A533" s="379" t="s">
        <v>4432</v>
      </c>
      <c r="B533" s="379" t="s">
        <v>792</v>
      </c>
      <c r="C533" s="380">
        <v>124494</v>
      </c>
      <c r="D533" s="379" t="s">
        <v>793</v>
      </c>
      <c r="E533" s="379" t="s">
        <v>794</v>
      </c>
    </row>
    <row r="534" spans="1:5">
      <c r="A534" s="379" t="s">
        <v>4433</v>
      </c>
      <c r="B534" s="379" t="s">
        <v>1448</v>
      </c>
      <c r="C534" s="380">
        <v>200048</v>
      </c>
      <c r="D534" s="379" t="s">
        <v>1449</v>
      </c>
      <c r="E534" s="379" t="s">
        <v>1450</v>
      </c>
    </row>
    <row r="535" spans="1:5">
      <c r="A535" s="379" t="s">
        <v>4434</v>
      </c>
      <c r="B535" s="379" t="s">
        <v>1796</v>
      </c>
      <c r="C535" s="380">
        <v>123596</v>
      </c>
      <c r="D535" s="379" t="s">
        <v>1797</v>
      </c>
      <c r="E535" s="379" t="s">
        <v>1798</v>
      </c>
    </row>
    <row r="536" spans="1:5">
      <c r="A536" s="379" t="s">
        <v>4435</v>
      </c>
      <c r="B536" s="379" t="s">
        <v>1751</v>
      </c>
      <c r="C536" s="380">
        <v>200025</v>
      </c>
      <c r="D536" s="379" t="s">
        <v>1752</v>
      </c>
      <c r="E536" s="379" t="s">
        <v>1753</v>
      </c>
    </row>
    <row r="537" spans="1:5">
      <c r="A537" s="379" t="s">
        <v>4436</v>
      </c>
      <c r="B537" s="379" t="s">
        <v>3187</v>
      </c>
      <c r="C537" s="380">
        <v>132479</v>
      </c>
      <c r="D537" s="379" t="s">
        <v>3188</v>
      </c>
      <c r="E537" s="379" t="s">
        <v>3189</v>
      </c>
    </row>
    <row r="538" spans="1:5">
      <c r="A538" s="379" t="s">
        <v>4437</v>
      </c>
      <c r="B538" s="379"/>
      <c r="C538" s="380">
        <v>108807</v>
      </c>
      <c r="D538" s="379" t="s">
        <v>3735</v>
      </c>
      <c r="E538" s="379" t="s">
        <v>3736</v>
      </c>
    </row>
    <row r="539" spans="1:5">
      <c r="A539" s="379" t="s">
        <v>4438</v>
      </c>
      <c r="B539" s="379" t="s">
        <v>293</v>
      </c>
      <c r="C539" s="380">
        <v>100875</v>
      </c>
      <c r="D539" s="379" t="s">
        <v>294</v>
      </c>
      <c r="E539" s="379" t="s">
        <v>295</v>
      </c>
    </row>
    <row r="540" spans="1:5">
      <c r="A540" s="379" t="s">
        <v>4439</v>
      </c>
      <c r="B540" s="379" t="s">
        <v>2860</v>
      </c>
      <c r="C540" s="380">
        <v>109496</v>
      </c>
      <c r="D540" s="379" t="s">
        <v>2861</v>
      </c>
      <c r="E540" s="379" t="s">
        <v>2862</v>
      </c>
    </row>
    <row r="541" spans="1:5">
      <c r="A541" s="379" t="s">
        <v>4440</v>
      </c>
      <c r="B541" s="379" t="s">
        <v>1168</v>
      </c>
      <c r="C541" s="380">
        <v>123610</v>
      </c>
      <c r="D541" s="379" t="s">
        <v>1169</v>
      </c>
      <c r="E541" s="379" t="s">
        <v>1170</v>
      </c>
    </row>
    <row r="542" spans="1:5">
      <c r="A542" s="379" t="s">
        <v>4441</v>
      </c>
      <c r="B542" s="379" t="s">
        <v>2938</v>
      </c>
      <c r="C542" s="380">
        <v>200043</v>
      </c>
      <c r="D542" s="379" t="s">
        <v>2939</v>
      </c>
      <c r="E542" s="379" t="s">
        <v>2940</v>
      </c>
    </row>
    <row r="543" spans="1:5">
      <c r="A543" s="379" t="s">
        <v>4442</v>
      </c>
      <c r="B543" s="379" t="s">
        <v>2667</v>
      </c>
      <c r="C543" s="380">
        <v>132705</v>
      </c>
      <c r="D543" s="379" t="s">
        <v>2668</v>
      </c>
      <c r="E543" s="379" t="s">
        <v>2669</v>
      </c>
    </row>
    <row r="544" spans="1:5">
      <c r="A544" s="379" t="s">
        <v>4443</v>
      </c>
      <c r="B544" s="379" t="s">
        <v>3671</v>
      </c>
      <c r="C544" s="380">
        <v>190064</v>
      </c>
      <c r="D544" s="379" t="s">
        <v>3672</v>
      </c>
      <c r="E544" s="379" t="s">
        <v>3673</v>
      </c>
    </row>
    <row r="545" spans="1:5">
      <c r="A545" s="379" t="s">
        <v>4444</v>
      </c>
      <c r="B545" s="379" t="s">
        <v>2364</v>
      </c>
      <c r="C545" s="380">
        <v>112237</v>
      </c>
      <c r="D545" s="379" t="s">
        <v>2365</v>
      </c>
      <c r="E545" s="379" t="s">
        <v>2366</v>
      </c>
    </row>
    <row r="546" spans="1:5">
      <c r="A546" s="379" t="s">
        <v>4445</v>
      </c>
      <c r="B546" s="379" t="s">
        <v>2426</v>
      </c>
      <c r="C546" s="380">
        <v>100219</v>
      </c>
      <c r="D546" s="379" t="s">
        <v>2427</v>
      </c>
      <c r="E546" s="379" t="s">
        <v>2428</v>
      </c>
    </row>
    <row r="547" spans="1:5">
      <c r="A547" s="379" t="s">
        <v>4446</v>
      </c>
      <c r="B547" s="379" t="s">
        <v>2249</v>
      </c>
      <c r="C547" s="380">
        <v>132532</v>
      </c>
      <c r="D547" s="379" t="s">
        <v>2250</v>
      </c>
      <c r="E547" s="379" t="s">
        <v>2251</v>
      </c>
    </row>
    <row r="548" spans="1:5">
      <c r="A548" s="379" t="s">
        <v>4447</v>
      </c>
      <c r="B548" s="379" t="s">
        <v>1766</v>
      </c>
      <c r="C548" s="380">
        <v>132627</v>
      </c>
      <c r="D548" s="379" t="s">
        <v>1767</v>
      </c>
      <c r="E548" s="379" t="s">
        <v>1768</v>
      </c>
    </row>
    <row r="549" spans="1:5">
      <c r="A549" s="379" t="s">
        <v>4448</v>
      </c>
      <c r="B549" s="379" t="s">
        <v>1802</v>
      </c>
      <c r="C549" s="380">
        <v>120051</v>
      </c>
      <c r="D549" s="379" t="s">
        <v>1803</v>
      </c>
      <c r="E549" s="379" t="s">
        <v>1804</v>
      </c>
    </row>
    <row r="550" spans="1:5">
      <c r="A550" s="379" t="s">
        <v>4449</v>
      </c>
      <c r="B550" s="379" t="s">
        <v>3861</v>
      </c>
      <c r="C550" s="380">
        <v>229403</v>
      </c>
      <c r="D550" s="379" t="s">
        <v>3862</v>
      </c>
      <c r="E550" s="379" t="s">
        <v>3863</v>
      </c>
    </row>
    <row r="551" spans="1:5">
      <c r="A551" s="379" t="s">
        <v>4450</v>
      </c>
      <c r="B551" s="379" t="s">
        <v>3454</v>
      </c>
      <c r="C551" s="380">
        <v>120066</v>
      </c>
      <c r="D551" s="379" t="s">
        <v>3455</v>
      </c>
      <c r="E551" s="379" t="s">
        <v>3456</v>
      </c>
    </row>
    <row r="552" spans="1:5">
      <c r="A552" s="379" t="s">
        <v>4451</v>
      </c>
      <c r="B552" s="379" t="s">
        <v>3639</v>
      </c>
      <c r="C552" s="380">
        <v>124330</v>
      </c>
      <c r="D552" s="379" t="s">
        <v>3640</v>
      </c>
      <c r="E552" s="379" t="s">
        <v>3641</v>
      </c>
    </row>
    <row r="553" spans="1:5">
      <c r="A553" s="379" t="s">
        <v>4452</v>
      </c>
      <c r="B553" s="379" t="s">
        <v>2314</v>
      </c>
      <c r="C553" s="380">
        <v>122285</v>
      </c>
      <c r="D553" s="379" t="s">
        <v>2315</v>
      </c>
      <c r="E553" s="379" t="s">
        <v>2316</v>
      </c>
    </row>
    <row r="554" spans="1:5">
      <c r="A554" s="379" t="s">
        <v>4453</v>
      </c>
      <c r="B554" s="379" t="s">
        <v>1111</v>
      </c>
      <c r="C554" s="380">
        <v>106943</v>
      </c>
      <c r="D554" s="379" t="s">
        <v>1112</v>
      </c>
      <c r="E554" s="379" t="s">
        <v>1113</v>
      </c>
    </row>
    <row r="555" spans="1:5">
      <c r="A555" s="379" t="s">
        <v>4454</v>
      </c>
      <c r="B555" s="379" t="s">
        <v>1670</v>
      </c>
      <c r="C555" s="380">
        <v>132605</v>
      </c>
      <c r="D555" s="379" t="s">
        <v>1671</v>
      </c>
      <c r="E555" s="379" t="s">
        <v>1672</v>
      </c>
    </row>
    <row r="556" spans="1:5">
      <c r="A556" s="379" t="s">
        <v>4455</v>
      </c>
      <c r="B556" s="379" t="s">
        <v>3752</v>
      </c>
      <c r="C556" s="380">
        <v>100223</v>
      </c>
      <c r="D556" s="379" t="s">
        <v>3753</v>
      </c>
      <c r="E556" s="379" t="s">
        <v>3754</v>
      </c>
    </row>
    <row r="557" spans="1:5">
      <c r="A557" s="379" t="s">
        <v>4456</v>
      </c>
      <c r="B557" s="379" t="s">
        <v>3145</v>
      </c>
      <c r="C557" s="380">
        <v>132617</v>
      </c>
      <c r="D557" s="379" t="s">
        <v>3146</v>
      </c>
      <c r="E557" s="379" t="s">
        <v>3147</v>
      </c>
    </row>
    <row r="558" spans="1:5">
      <c r="A558" s="379" t="s">
        <v>4457</v>
      </c>
      <c r="B558" s="379" t="s">
        <v>1733</v>
      </c>
      <c r="C558" s="380">
        <v>100227</v>
      </c>
      <c r="D558" s="379" t="s">
        <v>1734</v>
      </c>
      <c r="E558" s="379" t="s">
        <v>1735</v>
      </c>
    </row>
    <row r="559" spans="1:5">
      <c r="A559" s="379" t="s">
        <v>4458</v>
      </c>
      <c r="B559" s="379" t="s">
        <v>2055</v>
      </c>
      <c r="C559" s="380">
        <v>100378</v>
      </c>
      <c r="D559" s="379" t="s">
        <v>2056</v>
      </c>
      <c r="E559" s="379" t="s">
        <v>2057</v>
      </c>
    </row>
    <row r="560" spans="1:5">
      <c r="A560" s="379" t="s">
        <v>4459</v>
      </c>
      <c r="B560" s="379" t="s">
        <v>1367</v>
      </c>
      <c r="C560" s="380">
        <v>279682</v>
      </c>
      <c r="D560" s="379" t="s">
        <v>1368</v>
      </c>
      <c r="E560" s="379" t="s">
        <v>1369</v>
      </c>
    </row>
    <row r="561" spans="1:5">
      <c r="A561" s="379" t="s">
        <v>4460</v>
      </c>
      <c r="B561" s="379" t="s">
        <v>1244</v>
      </c>
      <c r="C561" s="380">
        <v>132508</v>
      </c>
      <c r="D561" s="379" t="s">
        <v>1245</v>
      </c>
      <c r="E561" s="379" t="s">
        <v>1246</v>
      </c>
    </row>
    <row r="562" spans="1:5">
      <c r="A562" s="379" t="s">
        <v>4461</v>
      </c>
      <c r="B562" s="379" t="s">
        <v>637</v>
      </c>
      <c r="C562" s="380">
        <v>132286</v>
      </c>
      <c r="D562" s="379" t="s">
        <v>638</v>
      </c>
      <c r="E562" s="379" t="s">
        <v>639</v>
      </c>
    </row>
    <row r="563" spans="1:5">
      <c r="A563" s="379" t="s">
        <v>4462</v>
      </c>
      <c r="B563" s="379" t="s">
        <v>1763</v>
      </c>
      <c r="C563" s="380">
        <v>131543</v>
      </c>
      <c r="D563" s="379" t="s">
        <v>1764</v>
      </c>
      <c r="E563" s="379" t="s">
        <v>1765</v>
      </c>
    </row>
    <row r="564" spans="1:5">
      <c r="A564" s="379" t="s">
        <v>4463</v>
      </c>
      <c r="B564" s="379" t="s">
        <v>801</v>
      </c>
      <c r="C564" s="380">
        <v>132644</v>
      </c>
      <c r="D564" s="379" t="s">
        <v>802</v>
      </c>
      <c r="E564" s="379" t="s">
        <v>803</v>
      </c>
    </row>
    <row r="565" spans="1:5">
      <c r="A565" s="379" t="s">
        <v>4464</v>
      </c>
      <c r="B565" s="379" t="s">
        <v>1537</v>
      </c>
      <c r="C565" s="380">
        <v>100380</v>
      </c>
      <c r="D565" s="379" t="s">
        <v>1538</v>
      </c>
      <c r="E565" s="379" t="s">
        <v>1539</v>
      </c>
    </row>
    <row r="566" spans="1:5">
      <c r="A566" s="379" t="s">
        <v>4465</v>
      </c>
      <c r="B566" s="379" t="s">
        <v>1978</v>
      </c>
      <c r="C566" s="380">
        <v>132162</v>
      </c>
      <c r="D566" s="379" t="s">
        <v>1979</v>
      </c>
      <c r="E566" s="379" t="s">
        <v>1980</v>
      </c>
    </row>
    <row r="567" spans="1:5">
      <c r="A567" s="379" t="s">
        <v>4466</v>
      </c>
      <c r="B567" s="379" t="s">
        <v>1964</v>
      </c>
      <c r="C567" s="380">
        <v>130007</v>
      </c>
      <c r="D567" s="379" t="s">
        <v>1965</v>
      </c>
      <c r="E567" s="379" t="s">
        <v>1966</v>
      </c>
    </row>
    <row r="568" spans="1:5">
      <c r="A568" s="379" t="s">
        <v>4467</v>
      </c>
      <c r="B568" s="379" t="s">
        <v>1499</v>
      </c>
      <c r="C568" s="380">
        <v>123405</v>
      </c>
      <c r="D568" s="379" t="s">
        <v>1500</v>
      </c>
      <c r="E568" s="379" t="s">
        <v>1501</v>
      </c>
    </row>
    <row r="569" spans="1:5">
      <c r="A569" s="379" t="s">
        <v>4468</v>
      </c>
      <c r="B569" s="379" t="s">
        <v>2691</v>
      </c>
      <c r="C569" s="380">
        <v>122263</v>
      </c>
      <c r="D569" s="379" t="s">
        <v>2692</v>
      </c>
      <c r="E569" s="379" t="s">
        <v>2693</v>
      </c>
    </row>
    <row r="570" spans="1:5">
      <c r="A570" s="379" t="s">
        <v>4469</v>
      </c>
      <c r="B570" s="379" t="s">
        <v>3755</v>
      </c>
      <c r="C570" s="380">
        <v>100147</v>
      </c>
      <c r="D570" s="379" t="s">
        <v>3756</v>
      </c>
      <c r="E570" s="379" t="s">
        <v>3757</v>
      </c>
    </row>
    <row r="571" spans="1:5">
      <c r="A571" s="379" t="s">
        <v>4470</v>
      </c>
      <c r="B571" s="379" t="s">
        <v>1640</v>
      </c>
      <c r="C571" s="380">
        <v>123398</v>
      </c>
      <c r="D571" s="379" t="s">
        <v>1641</v>
      </c>
      <c r="E571" s="379" t="s">
        <v>1642</v>
      </c>
    </row>
    <row r="572" spans="1:5">
      <c r="A572" s="379" t="s">
        <v>4471</v>
      </c>
      <c r="B572" s="379" t="s">
        <v>530</v>
      </c>
      <c r="C572" s="380">
        <v>208461</v>
      </c>
      <c r="D572" s="379" t="s">
        <v>531</v>
      </c>
      <c r="E572" s="379" t="s">
        <v>532</v>
      </c>
    </row>
    <row r="573" spans="1:5">
      <c r="A573" s="379" t="s">
        <v>4472</v>
      </c>
      <c r="B573" s="379" t="s">
        <v>1745</v>
      </c>
      <c r="C573" s="380">
        <v>132642</v>
      </c>
      <c r="D573" s="379" t="s">
        <v>1746</v>
      </c>
      <c r="E573" s="379" t="s">
        <v>1747</v>
      </c>
    </row>
    <row r="574" spans="1:5">
      <c r="A574" s="379" t="s">
        <v>4473</v>
      </c>
      <c r="B574" s="379" t="s">
        <v>2685</v>
      </c>
      <c r="C574" s="380">
        <v>113446</v>
      </c>
      <c r="D574" s="379" t="s">
        <v>2686</v>
      </c>
      <c r="E574" s="379" t="s">
        <v>2687</v>
      </c>
    </row>
    <row r="575" spans="1:5">
      <c r="A575" s="379" t="s">
        <v>4474</v>
      </c>
      <c r="B575" s="379" t="s">
        <v>341</v>
      </c>
      <c r="C575" s="380">
        <v>100228</v>
      </c>
      <c r="D575" s="379" t="s">
        <v>342</v>
      </c>
      <c r="E575" s="379" t="s">
        <v>343</v>
      </c>
    </row>
    <row r="576" spans="1:5">
      <c r="A576" s="379" t="s">
        <v>4475</v>
      </c>
      <c r="B576" s="379" t="s">
        <v>2376</v>
      </c>
      <c r="C576" s="380">
        <v>120057</v>
      </c>
      <c r="D576" s="379" t="s">
        <v>2377</v>
      </c>
      <c r="E576" s="379" t="s">
        <v>2378</v>
      </c>
    </row>
    <row r="577" spans="1:5">
      <c r="A577" s="379" t="s">
        <v>4476</v>
      </c>
      <c r="B577" s="379" t="s">
        <v>2899</v>
      </c>
      <c r="C577" s="380">
        <v>237594</v>
      </c>
      <c r="D577" s="379" t="s">
        <v>2900</v>
      </c>
      <c r="E577" s="379" t="s">
        <v>2901</v>
      </c>
    </row>
    <row r="578" spans="1:5">
      <c r="A578" s="379" t="s">
        <v>4477</v>
      </c>
      <c r="B578" s="379" t="s">
        <v>551</v>
      </c>
      <c r="C578" s="380">
        <v>215367</v>
      </c>
      <c r="D578" s="379" t="s">
        <v>552</v>
      </c>
      <c r="E578" s="379" t="s">
        <v>553</v>
      </c>
    </row>
    <row r="579" spans="1:5">
      <c r="A579" s="379" t="s">
        <v>4478</v>
      </c>
      <c r="B579" s="379" t="s">
        <v>3196</v>
      </c>
      <c r="C579" s="380">
        <v>222821</v>
      </c>
      <c r="D579" s="379" t="s">
        <v>3197</v>
      </c>
      <c r="E579" s="379" t="s">
        <v>3198</v>
      </c>
    </row>
    <row r="580" spans="1:5">
      <c r="A580" s="379" t="s">
        <v>4479</v>
      </c>
      <c r="B580" s="379" t="s">
        <v>1319</v>
      </c>
      <c r="C580" s="380">
        <v>301578</v>
      </c>
      <c r="D580" s="379" t="s">
        <v>1320</v>
      </c>
      <c r="E580" s="379" t="s">
        <v>1321</v>
      </c>
    </row>
    <row r="581" spans="1:5">
      <c r="A581" s="379" t="s">
        <v>4480</v>
      </c>
      <c r="B581" s="379" t="s">
        <v>1283</v>
      </c>
      <c r="C581" s="380">
        <v>130019</v>
      </c>
      <c r="D581" s="379" t="s">
        <v>1284</v>
      </c>
      <c r="E581" s="379" t="s">
        <v>1285</v>
      </c>
    </row>
    <row r="582" spans="1:5">
      <c r="A582" s="379" t="s">
        <v>4481</v>
      </c>
      <c r="B582" s="379" t="s">
        <v>1514</v>
      </c>
      <c r="C582" s="380">
        <v>211531</v>
      </c>
      <c r="D582" s="379" t="s">
        <v>1515</v>
      </c>
      <c r="E582" s="379" t="s">
        <v>1516</v>
      </c>
    </row>
    <row r="583" spans="1:5">
      <c r="A583" s="379" t="s">
        <v>4482</v>
      </c>
      <c r="B583" s="379" t="s">
        <v>1673</v>
      </c>
      <c r="C583" s="380">
        <v>200007</v>
      </c>
      <c r="D583" s="379" t="s">
        <v>1674</v>
      </c>
      <c r="E583" s="379" t="s">
        <v>1675</v>
      </c>
    </row>
    <row r="584" spans="1:5">
      <c r="A584" s="379" t="s">
        <v>4483</v>
      </c>
      <c r="B584" s="379" t="s">
        <v>3005</v>
      </c>
      <c r="C584" s="380">
        <v>113250</v>
      </c>
      <c r="D584" s="379" t="s">
        <v>3006</v>
      </c>
      <c r="E584" s="379" t="s">
        <v>3007</v>
      </c>
    </row>
    <row r="585" spans="1:5">
      <c r="A585" s="379" t="s">
        <v>4484</v>
      </c>
      <c r="B585" s="379" t="s">
        <v>862</v>
      </c>
      <c r="C585" s="380">
        <v>132889</v>
      </c>
      <c r="D585" s="379" t="s">
        <v>863</v>
      </c>
      <c r="E585" s="379" t="s">
        <v>864</v>
      </c>
    </row>
    <row r="586" spans="1:5">
      <c r="A586" s="379" t="s">
        <v>4485</v>
      </c>
      <c r="B586" s="379" t="s">
        <v>2786</v>
      </c>
      <c r="C586" s="380">
        <v>124109</v>
      </c>
      <c r="D586" s="379" t="s">
        <v>2787</v>
      </c>
      <c r="E586" s="379" t="s">
        <v>2788</v>
      </c>
    </row>
    <row r="587" spans="1:5">
      <c r="A587" s="379" t="s">
        <v>4486</v>
      </c>
      <c r="B587" s="379" t="s">
        <v>942</v>
      </c>
      <c r="C587" s="380">
        <v>100233</v>
      </c>
      <c r="D587" s="379" t="s">
        <v>943</v>
      </c>
      <c r="E587" s="379" t="s">
        <v>944</v>
      </c>
    </row>
    <row r="588" spans="1:5">
      <c r="A588" s="379" t="s">
        <v>4487</v>
      </c>
      <c r="B588" s="379" t="s">
        <v>1646</v>
      </c>
      <c r="C588" s="380">
        <v>122287</v>
      </c>
      <c r="D588" s="379" t="s">
        <v>1647</v>
      </c>
      <c r="E588" s="379" t="s">
        <v>1648</v>
      </c>
    </row>
    <row r="589" spans="1:5">
      <c r="A589" s="379" t="s">
        <v>4488</v>
      </c>
      <c r="B589" s="379" t="s">
        <v>1484</v>
      </c>
      <c r="C589" s="380">
        <v>226720</v>
      </c>
      <c r="D589" s="379" t="s">
        <v>1485</v>
      </c>
      <c r="E589" s="379" t="s">
        <v>1486</v>
      </c>
    </row>
    <row r="590" spans="1:5">
      <c r="A590" s="379" t="s">
        <v>4489</v>
      </c>
      <c r="B590" s="379" t="s">
        <v>3457</v>
      </c>
      <c r="C590" s="380">
        <v>220965</v>
      </c>
      <c r="D590" s="379" t="s">
        <v>3458</v>
      </c>
      <c r="E590" s="379" t="s">
        <v>3459</v>
      </c>
    </row>
    <row r="591" spans="1:5">
      <c r="A591" s="379" t="s">
        <v>4490</v>
      </c>
      <c r="B591" s="379" t="s">
        <v>2812</v>
      </c>
      <c r="C591" s="380">
        <v>100235</v>
      </c>
      <c r="D591" s="379" t="s">
        <v>2813</v>
      </c>
      <c r="E591" s="379" t="s">
        <v>2814</v>
      </c>
    </row>
    <row r="592" spans="1:5">
      <c r="A592" s="379" t="s">
        <v>4491</v>
      </c>
      <c r="B592" s="379"/>
      <c r="C592" s="380">
        <v>132468</v>
      </c>
      <c r="D592" s="379" t="s">
        <v>1523</v>
      </c>
      <c r="E592" s="379" t="s">
        <v>1524</v>
      </c>
    </row>
    <row r="593" spans="1:5">
      <c r="A593" s="379" t="s">
        <v>4492</v>
      </c>
      <c r="B593" s="379" t="s">
        <v>3766</v>
      </c>
      <c r="C593" s="380">
        <v>132741</v>
      </c>
      <c r="D593" s="379" t="s">
        <v>3767</v>
      </c>
      <c r="E593" s="379" t="s">
        <v>3768</v>
      </c>
    </row>
    <row r="594" spans="1:5">
      <c r="A594" s="379" t="s">
        <v>4493</v>
      </c>
      <c r="B594" s="379" t="s">
        <v>3633</v>
      </c>
      <c r="C594" s="380">
        <v>106525</v>
      </c>
      <c r="D594" s="379" t="s">
        <v>3634</v>
      </c>
      <c r="E594" s="379" t="s">
        <v>3635</v>
      </c>
    </row>
    <row r="595" spans="1:5">
      <c r="A595" s="379" t="s">
        <v>4494</v>
      </c>
      <c r="B595" s="379" t="s">
        <v>737</v>
      </c>
      <c r="C595" s="380">
        <v>100165</v>
      </c>
      <c r="D595" s="379" t="s">
        <v>738</v>
      </c>
      <c r="E595" s="379" t="s">
        <v>739</v>
      </c>
    </row>
    <row r="596" spans="1:5">
      <c r="A596" s="379" t="s">
        <v>4495</v>
      </c>
      <c r="B596" s="379" t="s">
        <v>1946</v>
      </c>
      <c r="C596" s="380">
        <v>190003</v>
      </c>
      <c r="D596" s="379" t="s">
        <v>1947</v>
      </c>
      <c r="E596" s="379" t="s">
        <v>1948</v>
      </c>
    </row>
    <row r="597" spans="1:5">
      <c r="A597" s="379" t="s">
        <v>4496</v>
      </c>
      <c r="B597" s="379" t="s">
        <v>2067</v>
      </c>
      <c r="C597" s="380">
        <v>132899</v>
      </c>
      <c r="D597" s="379" t="s">
        <v>2068</v>
      </c>
      <c r="E597" s="379" t="s">
        <v>2069</v>
      </c>
    </row>
    <row r="598" spans="1:5">
      <c r="A598" s="379" t="s">
        <v>4497</v>
      </c>
      <c r="B598" s="379" t="s">
        <v>3794</v>
      </c>
      <c r="C598" s="380">
        <v>224770</v>
      </c>
      <c r="D598" s="379" t="s">
        <v>3795</v>
      </c>
      <c r="E598" s="379" t="s">
        <v>3796</v>
      </c>
    </row>
    <row r="599" spans="1:5">
      <c r="A599" s="379" t="s">
        <v>4498</v>
      </c>
      <c r="B599" s="379" t="s">
        <v>3151</v>
      </c>
      <c r="C599" s="380">
        <v>273610</v>
      </c>
      <c r="D599" s="379" t="s">
        <v>3152</v>
      </c>
      <c r="E599" s="379" t="s">
        <v>3153</v>
      </c>
    </row>
    <row r="600" spans="1:5">
      <c r="A600" s="379" t="s">
        <v>4499</v>
      </c>
      <c r="B600" s="379" t="s">
        <v>2664</v>
      </c>
      <c r="C600" s="380">
        <v>190066</v>
      </c>
      <c r="D600" s="379" t="s">
        <v>2665</v>
      </c>
      <c r="E600" s="379" t="s">
        <v>2666</v>
      </c>
    </row>
    <row r="601" spans="1:5">
      <c r="A601" s="379" t="s">
        <v>4500</v>
      </c>
      <c r="B601" s="379" t="s">
        <v>3102</v>
      </c>
      <c r="C601" s="380">
        <v>132054</v>
      </c>
      <c r="D601" s="379" t="s">
        <v>3103</v>
      </c>
      <c r="E601" s="379" t="s">
        <v>3104</v>
      </c>
    </row>
    <row r="602" spans="1:5">
      <c r="A602" s="379" t="s">
        <v>4501</v>
      </c>
      <c r="B602" s="379" t="s">
        <v>1144</v>
      </c>
      <c r="C602" s="380">
        <v>132714</v>
      </c>
      <c r="D602" s="379" t="s">
        <v>1145</v>
      </c>
      <c r="E602" s="379" t="s">
        <v>1146</v>
      </c>
    </row>
    <row r="603" spans="1:5">
      <c r="A603" s="379" t="s">
        <v>4502</v>
      </c>
      <c r="B603" s="379" t="s">
        <v>1220</v>
      </c>
      <c r="C603" s="380">
        <v>117569</v>
      </c>
      <c r="D603" s="379" t="s">
        <v>1221</v>
      </c>
      <c r="E603" s="379" t="s">
        <v>1222</v>
      </c>
    </row>
    <row r="604" spans="1:5">
      <c r="A604" s="379" t="s">
        <v>4503</v>
      </c>
      <c r="B604" s="379" t="s">
        <v>3677</v>
      </c>
      <c r="C604" s="380">
        <v>119602</v>
      </c>
      <c r="D604" s="379" t="s">
        <v>3678</v>
      </c>
      <c r="E604" s="379" t="s">
        <v>3679</v>
      </c>
    </row>
    <row r="605" spans="1:5">
      <c r="A605" s="379" t="s">
        <v>4504</v>
      </c>
      <c r="B605" s="379" t="s">
        <v>1862</v>
      </c>
      <c r="C605" s="380">
        <v>105890</v>
      </c>
      <c r="D605" s="379" t="s">
        <v>1863</v>
      </c>
      <c r="E605" s="379" t="s">
        <v>1864</v>
      </c>
    </row>
    <row r="606" spans="1:5">
      <c r="A606" s="379" t="s">
        <v>4505</v>
      </c>
      <c r="B606" s="379" t="s">
        <v>2745</v>
      </c>
      <c r="C606" s="380">
        <v>102937</v>
      </c>
      <c r="D606" s="379" t="s">
        <v>2746</v>
      </c>
      <c r="E606" s="379" t="s">
        <v>2747</v>
      </c>
    </row>
    <row r="607" spans="1:5">
      <c r="A607" s="379" t="s">
        <v>4506</v>
      </c>
      <c r="B607" s="379" t="s">
        <v>2789</v>
      </c>
      <c r="C607" s="380">
        <v>132732</v>
      </c>
      <c r="D607" s="379" t="s">
        <v>2790</v>
      </c>
      <c r="E607" s="379" t="s">
        <v>2791</v>
      </c>
    </row>
    <row r="608" spans="1:5">
      <c r="A608" s="379" t="s">
        <v>4507</v>
      </c>
      <c r="B608" s="379" t="s">
        <v>3674</v>
      </c>
      <c r="C608" s="380">
        <v>107794</v>
      </c>
      <c r="D608" s="379" t="s">
        <v>3675</v>
      </c>
      <c r="E608" s="379" t="s">
        <v>3676</v>
      </c>
    </row>
    <row r="609" spans="1:5">
      <c r="A609" s="379" t="s">
        <v>4508</v>
      </c>
      <c r="B609" s="379" t="s">
        <v>2635</v>
      </c>
      <c r="C609" s="380">
        <v>124019</v>
      </c>
      <c r="D609" s="379" t="s">
        <v>2636</v>
      </c>
      <c r="E609" s="379" t="s">
        <v>2637</v>
      </c>
    </row>
    <row r="610" spans="1:5">
      <c r="A610" s="379" t="s">
        <v>4509</v>
      </c>
      <c r="B610" s="379" t="s">
        <v>1016</v>
      </c>
      <c r="C610" s="380">
        <v>220053</v>
      </c>
      <c r="D610" s="379" t="s">
        <v>1017</v>
      </c>
      <c r="E610" s="379" t="s">
        <v>1018</v>
      </c>
    </row>
    <row r="611" spans="1:5">
      <c r="A611" s="379" t="s">
        <v>4510</v>
      </c>
      <c r="B611" s="379" t="s">
        <v>2527</v>
      </c>
      <c r="C611" s="380">
        <v>200079</v>
      </c>
      <c r="D611" s="379" t="s">
        <v>2528</v>
      </c>
      <c r="E611" s="379" t="s">
        <v>2529</v>
      </c>
    </row>
    <row r="612" spans="1:5">
      <c r="A612" s="379" t="s">
        <v>4511</v>
      </c>
      <c r="B612" s="379" t="s">
        <v>2198</v>
      </c>
      <c r="C612" s="380">
        <v>100241</v>
      </c>
      <c r="D612" s="379" t="s">
        <v>2199</v>
      </c>
      <c r="E612" s="379" t="s">
        <v>2200</v>
      </c>
    </row>
    <row r="613" spans="1:5">
      <c r="A613" s="379" t="s">
        <v>4512</v>
      </c>
      <c r="B613" s="379" t="s">
        <v>2151</v>
      </c>
      <c r="C613" s="380">
        <v>100245</v>
      </c>
      <c r="D613" s="379" t="s">
        <v>2152</v>
      </c>
      <c r="E613" s="379" t="s">
        <v>2153</v>
      </c>
    </row>
    <row r="614" spans="1:5">
      <c r="A614" s="379" t="s">
        <v>4513</v>
      </c>
      <c r="B614" s="379" t="s">
        <v>2780</v>
      </c>
      <c r="C614" s="380">
        <v>100243</v>
      </c>
      <c r="D614" s="379" t="s">
        <v>2781</v>
      </c>
      <c r="E614" s="379" t="s">
        <v>2782</v>
      </c>
    </row>
    <row r="615" spans="1:5">
      <c r="A615" s="379" t="s">
        <v>4514</v>
      </c>
      <c r="B615" s="379" t="s">
        <v>2231</v>
      </c>
      <c r="C615" s="380">
        <v>222961</v>
      </c>
      <c r="D615" s="379" t="s">
        <v>2232</v>
      </c>
      <c r="E615" s="379" t="s">
        <v>2233</v>
      </c>
    </row>
    <row r="616" spans="1:5">
      <c r="A616" s="379" t="s">
        <v>4515</v>
      </c>
      <c r="B616" s="379" t="s">
        <v>2145</v>
      </c>
      <c r="C616" s="380">
        <v>105283</v>
      </c>
      <c r="D616" s="379" t="s">
        <v>2146</v>
      </c>
      <c r="E616" s="379" t="s">
        <v>2147</v>
      </c>
    </row>
    <row r="617" spans="1:5">
      <c r="A617" s="379" t="s">
        <v>4516</v>
      </c>
      <c r="B617" s="379" t="s">
        <v>2908</v>
      </c>
      <c r="C617" s="380">
        <v>121248</v>
      </c>
      <c r="D617" s="379" t="s">
        <v>2909</v>
      </c>
      <c r="E617" s="379" t="s">
        <v>2910</v>
      </c>
    </row>
    <row r="618" spans="1:5">
      <c r="A618" s="379" t="s">
        <v>4517</v>
      </c>
      <c r="B618" s="379"/>
      <c r="C618" s="380">
        <v>124520</v>
      </c>
      <c r="D618" s="379" t="s">
        <v>3114</v>
      </c>
      <c r="E618" s="379" t="s">
        <v>3115</v>
      </c>
    </row>
    <row r="619" spans="1:5">
      <c r="A619" s="379" t="s">
        <v>4518</v>
      </c>
      <c r="B619" s="379" t="s">
        <v>1373</v>
      </c>
      <c r="C619" s="380">
        <v>200046</v>
      </c>
      <c r="D619" s="379" t="s">
        <v>1374</v>
      </c>
      <c r="E619" s="379" t="s">
        <v>1375</v>
      </c>
    </row>
    <row r="620" spans="1:5">
      <c r="A620" s="379" t="s">
        <v>4519</v>
      </c>
      <c r="B620" s="379" t="s">
        <v>3683</v>
      </c>
      <c r="C620" s="380">
        <v>123207</v>
      </c>
      <c r="D620" s="379" t="s">
        <v>3684</v>
      </c>
      <c r="E620" s="379" t="s">
        <v>3685</v>
      </c>
    </row>
    <row r="621" spans="1:5">
      <c r="A621" s="379" t="s">
        <v>4520</v>
      </c>
      <c r="B621" s="379" t="s">
        <v>2355</v>
      </c>
      <c r="C621" s="380">
        <v>200009</v>
      </c>
      <c r="D621" s="379" t="s">
        <v>2356</v>
      </c>
      <c r="E621" s="379" t="s">
        <v>2357</v>
      </c>
    </row>
    <row r="622" spans="1:5">
      <c r="A622" s="379" t="s">
        <v>4521</v>
      </c>
      <c r="B622" s="379" t="s">
        <v>2721</v>
      </c>
      <c r="C622" s="380">
        <v>124280</v>
      </c>
      <c r="D622" s="379" t="s">
        <v>2722</v>
      </c>
      <c r="E622" s="379" t="s">
        <v>2723</v>
      </c>
    </row>
    <row r="623" spans="1:5">
      <c r="A623" s="379" t="s">
        <v>4522</v>
      </c>
      <c r="B623" s="379" t="s">
        <v>281</v>
      </c>
      <c r="C623" s="380">
        <v>100247</v>
      </c>
      <c r="D623" s="379" t="s">
        <v>282</v>
      </c>
      <c r="E623" s="379" t="s">
        <v>283</v>
      </c>
    </row>
    <row r="624" spans="1:5">
      <c r="A624" s="379" t="s">
        <v>4523</v>
      </c>
      <c r="B624" s="379" t="s">
        <v>2559</v>
      </c>
      <c r="C624" s="380">
        <v>123323</v>
      </c>
      <c r="D624" s="379" t="s">
        <v>2560</v>
      </c>
      <c r="E624" s="379" t="s">
        <v>2561</v>
      </c>
    </row>
    <row r="625" spans="1:5">
      <c r="A625" s="379" t="s">
        <v>4524</v>
      </c>
      <c r="B625" s="379" t="s">
        <v>3723</v>
      </c>
      <c r="C625" s="380">
        <v>293000</v>
      </c>
      <c r="D625" s="379" t="s">
        <v>3724</v>
      </c>
      <c r="E625" s="379" t="s">
        <v>3725</v>
      </c>
    </row>
    <row r="626" spans="1:5">
      <c r="A626" s="379" t="s">
        <v>4525</v>
      </c>
      <c r="B626" s="379" t="s">
        <v>1025</v>
      </c>
      <c r="C626" s="380">
        <v>294320</v>
      </c>
      <c r="D626" s="379" t="s">
        <v>1026</v>
      </c>
      <c r="E626" s="379" t="s">
        <v>1027</v>
      </c>
    </row>
    <row r="627" spans="1:5">
      <c r="A627" s="379" t="s">
        <v>4526</v>
      </c>
      <c r="B627" s="379" t="s">
        <v>1623</v>
      </c>
      <c r="C627" s="380">
        <v>130813</v>
      </c>
      <c r="D627" s="379" t="s">
        <v>1624</v>
      </c>
      <c r="E627" s="379" t="s">
        <v>1625</v>
      </c>
    </row>
    <row r="628" spans="1:5">
      <c r="A628" s="379" t="s">
        <v>4527</v>
      </c>
      <c r="B628" s="379" t="s">
        <v>3877</v>
      </c>
      <c r="C628" s="380">
        <v>284634</v>
      </c>
      <c r="D628" s="379" t="s">
        <v>3878</v>
      </c>
      <c r="E628" s="379" t="s">
        <v>3879</v>
      </c>
    </row>
    <row r="629" spans="1:5">
      <c r="A629" s="379" t="s">
        <v>1204</v>
      </c>
      <c r="B629" s="379" t="s">
        <v>1205</v>
      </c>
      <c r="C629" s="380">
        <v>221645</v>
      </c>
      <c r="D629" s="379" t="s">
        <v>1206</v>
      </c>
      <c r="E629" s="379" t="s">
        <v>1207</v>
      </c>
    </row>
    <row r="630" spans="1:5">
      <c r="A630" s="379" t="s">
        <v>4528</v>
      </c>
      <c r="B630" s="379" t="s">
        <v>3606</v>
      </c>
      <c r="C630" s="380">
        <v>126423</v>
      </c>
      <c r="D630" s="379" t="s">
        <v>3607</v>
      </c>
      <c r="E630" s="379" t="s">
        <v>3608</v>
      </c>
    </row>
    <row r="631" spans="1:5">
      <c r="A631" s="379" t="s">
        <v>4529</v>
      </c>
      <c r="B631" s="379" t="s">
        <v>2420</v>
      </c>
      <c r="C631" s="380">
        <v>302244</v>
      </c>
      <c r="D631" s="379" t="s">
        <v>2421</v>
      </c>
      <c r="E631" s="379" t="s">
        <v>2422</v>
      </c>
    </row>
    <row r="632" spans="1:5">
      <c r="A632" s="379" t="s">
        <v>4530</v>
      </c>
      <c r="B632" s="379" t="s">
        <v>1799</v>
      </c>
      <c r="C632" s="380">
        <v>100249</v>
      </c>
      <c r="D632" s="379" t="s">
        <v>1800</v>
      </c>
      <c r="E632" s="379" t="s">
        <v>1801</v>
      </c>
    </row>
    <row r="633" spans="1:5">
      <c r="A633" s="379" t="s">
        <v>4531</v>
      </c>
      <c r="B633" s="379" t="s">
        <v>3570</v>
      </c>
      <c r="C633" s="380">
        <v>119421</v>
      </c>
      <c r="D633" s="379" t="s">
        <v>3571</v>
      </c>
      <c r="E633" s="379" t="s">
        <v>3572</v>
      </c>
    </row>
    <row r="634" spans="1:5">
      <c r="A634" s="379" t="s">
        <v>4532</v>
      </c>
      <c r="B634" s="379" t="s">
        <v>3548</v>
      </c>
      <c r="C634" s="380">
        <v>200572</v>
      </c>
      <c r="D634" s="379" t="s">
        <v>3549</v>
      </c>
      <c r="E634" s="379" t="s">
        <v>3550</v>
      </c>
    </row>
    <row r="635" spans="1:5">
      <c r="A635" s="379" t="s">
        <v>4533</v>
      </c>
      <c r="B635" s="379"/>
      <c r="C635" s="380">
        <v>281566</v>
      </c>
      <c r="D635" s="379" t="s">
        <v>3331</v>
      </c>
      <c r="E635" s="379" t="s">
        <v>3332</v>
      </c>
    </row>
    <row r="636" spans="1:5">
      <c r="A636" s="379" t="s">
        <v>4534</v>
      </c>
      <c r="B636" s="379" t="s">
        <v>948</v>
      </c>
      <c r="C636" s="380">
        <v>220350</v>
      </c>
      <c r="D636" s="379" t="s">
        <v>949</v>
      </c>
      <c r="E636" s="379" t="s">
        <v>950</v>
      </c>
    </row>
    <row r="637" spans="1:5">
      <c r="A637" s="379" t="s">
        <v>4535</v>
      </c>
      <c r="B637" s="379" t="s">
        <v>512</v>
      </c>
      <c r="C637" s="380">
        <v>268618</v>
      </c>
      <c r="D637" s="379" t="s">
        <v>513</v>
      </c>
      <c r="E637" s="379" t="s">
        <v>514</v>
      </c>
    </row>
    <row r="638" spans="1:5">
      <c r="A638" s="379" t="s">
        <v>4536</v>
      </c>
      <c r="B638" s="379" t="s">
        <v>1712</v>
      </c>
      <c r="C638" s="380">
        <v>126947</v>
      </c>
      <c r="D638" s="379" t="s">
        <v>1713</v>
      </c>
      <c r="E638" s="379" t="s">
        <v>1714</v>
      </c>
    </row>
    <row r="639" spans="1:5">
      <c r="A639" s="379" t="s">
        <v>4537</v>
      </c>
      <c r="B639" s="379" t="s">
        <v>1277</v>
      </c>
      <c r="C639" s="380">
        <v>100252</v>
      </c>
      <c r="D639" s="379" t="s">
        <v>1278</v>
      </c>
      <c r="E639" s="379" t="s">
        <v>1279</v>
      </c>
    </row>
    <row r="640" spans="1:5">
      <c r="A640" s="379" t="s">
        <v>4538</v>
      </c>
      <c r="B640" s="379"/>
      <c r="C640" s="380">
        <v>254912</v>
      </c>
      <c r="D640" s="379" t="s">
        <v>3686</v>
      </c>
      <c r="E640" s="379" t="s">
        <v>3687</v>
      </c>
    </row>
    <row r="641" spans="1:5">
      <c r="A641" s="379" t="s">
        <v>4539</v>
      </c>
      <c r="B641" s="379" t="s">
        <v>362</v>
      </c>
      <c r="C641" s="380">
        <v>216156</v>
      </c>
      <c r="D641" s="379" t="s">
        <v>363</v>
      </c>
      <c r="E641" s="379" t="s">
        <v>364</v>
      </c>
    </row>
    <row r="642" spans="1:5">
      <c r="A642" s="379" t="s">
        <v>4540</v>
      </c>
      <c r="B642" s="379" t="s">
        <v>296</v>
      </c>
      <c r="C642" s="380">
        <v>100510</v>
      </c>
      <c r="D642" s="379" t="s">
        <v>297</v>
      </c>
      <c r="E642" s="379" t="s">
        <v>298</v>
      </c>
    </row>
    <row r="643" spans="1:5">
      <c r="A643" s="379" t="s">
        <v>4541</v>
      </c>
      <c r="B643" s="379" t="s">
        <v>1250</v>
      </c>
      <c r="C643" s="380">
        <v>232592</v>
      </c>
      <c r="D643" s="379" t="s">
        <v>1251</v>
      </c>
      <c r="E643" s="379" t="s">
        <v>1252</v>
      </c>
    </row>
    <row r="644" spans="1:5">
      <c r="A644" s="379" t="s">
        <v>4542</v>
      </c>
      <c r="B644" s="379" t="s">
        <v>765</v>
      </c>
      <c r="C644" s="380">
        <v>271867</v>
      </c>
      <c r="D644" s="379" t="s">
        <v>766</v>
      </c>
      <c r="E644" s="379" t="s">
        <v>767</v>
      </c>
    </row>
    <row r="645" spans="1:5">
      <c r="A645" s="379" t="s">
        <v>4543</v>
      </c>
      <c r="B645" s="379" t="s">
        <v>1195</v>
      </c>
      <c r="C645" s="380">
        <v>208615</v>
      </c>
      <c r="D645" s="379" t="s">
        <v>1196</v>
      </c>
      <c r="E645" s="379" t="s">
        <v>1197</v>
      </c>
    </row>
    <row r="646" spans="1:5">
      <c r="A646" s="379" t="s">
        <v>4544</v>
      </c>
      <c r="B646" s="379" t="s">
        <v>1940</v>
      </c>
      <c r="C646" s="380">
        <v>213429</v>
      </c>
      <c r="D646" s="379" t="s">
        <v>1941</v>
      </c>
      <c r="E646" s="379" t="s">
        <v>1942</v>
      </c>
    </row>
    <row r="647" spans="1:5">
      <c r="A647" s="379" t="s">
        <v>4545</v>
      </c>
      <c r="B647" s="379" t="s">
        <v>2469</v>
      </c>
      <c r="C647" s="380">
        <v>100250</v>
      </c>
      <c r="D647" s="379" t="s">
        <v>2470</v>
      </c>
      <c r="E647" s="379" t="s">
        <v>2471</v>
      </c>
    </row>
    <row r="648" spans="1:5">
      <c r="A648" s="379" t="s">
        <v>4546</v>
      </c>
      <c r="B648" s="379" t="s">
        <v>918</v>
      </c>
      <c r="C648" s="380">
        <v>100253</v>
      </c>
      <c r="D648" s="379" t="s">
        <v>919</v>
      </c>
      <c r="E648" s="379" t="s">
        <v>920</v>
      </c>
    </row>
    <row r="649" spans="1:5">
      <c r="A649" s="379" t="s">
        <v>4547</v>
      </c>
      <c r="B649" s="379" t="s">
        <v>3587</v>
      </c>
      <c r="C649" s="380">
        <v>297009</v>
      </c>
      <c r="D649" s="379" t="s">
        <v>3588</v>
      </c>
      <c r="E649" s="379" t="s">
        <v>3589</v>
      </c>
    </row>
    <row r="650" spans="1:5">
      <c r="A650" s="379" t="s">
        <v>4548</v>
      </c>
      <c r="B650" s="379" t="s">
        <v>3514</v>
      </c>
      <c r="C650" s="380">
        <v>131633</v>
      </c>
      <c r="D650" s="379" t="s">
        <v>3515</v>
      </c>
      <c r="E650" s="379" t="s">
        <v>3516</v>
      </c>
    </row>
    <row r="651" spans="1:5">
      <c r="A651" s="379" t="s">
        <v>4549</v>
      </c>
      <c r="B651" s="379" t="s">
        <v>904</v>
      </c>
      <c r="C651" s="380">
        <v>123457</v>
      </c>
      <c r="D651" s="379" t="s">
        <v>905</v>
      </c>
      <c r="E651" s="379" t="s">
        <v>906</v>
      </c>
    </row>
    <row r="652" spans="1:5">
      <c r="A652" s="379" t="s">
        <v>4550</v>
      </c>
      <c r="B652" s="379" t="s">
        <v>2036</v>
      </c>
      <c r="C652" s="380">
        <v>112455</v>
      </c>
      <c r="D652" s="379" t="s">
        <v>2037</v>
      </c>
      <c r="E652" s="379" t="s">
        <v>2038</v>
      </c>
    </row>
    <row r="653" spans="1:5">
      <c r="A653" s="379" t="s">
        <v>4551</v>
      </c>
      <c r="B653" s="379" t="s">
        <v>2700</v>
      </c>
      <c r="C653" s="380">
        <v>282112</v>
      </c>
      <c r="D653" s="379" t="s">
        <v>2701</v>
      </c>
      <c r="E653" s="379" t="s">
        <v>2702</v>
      </c>
    </row>
    <row r="654" spans="1:5">
      <c r="A654" s="379" t="s">
        <v>4552</v>
      </c>
      <c r="B654" s="379"/>
      <c r="C654" s="380">
        <v>114036</v>
      </c>
      <c r="D654" s="379" t="s">
        <v>3653</v>
      </c>
      <c r="E654" s="379" t="s">
        <v>3654</v>
      </c>
    </row>
    <row r="655" spans="1:5">
      <c r="A655" s="379" t="s">
        <v>4553</v>
      </c>
      <c r="B655" s="379" t="s">
        <v>2267</v>
      </c>
      <c r="C655" s="380">
        <v>132783</v>
      </c>
      <c r="D655" s="379" t="s">
        <v>2268</v>
      </c>
      <c r="E655" s="379" t="s">
        <v>2269</v>
      </c>
    </row>
    <row r="656" spans="1:5">
      <c r="A656" s="379" t="s">
        <v>4554</v>
      </c>
      <c r="B656" s="379" t="s">
        <v>3058</v>
      </c>
      <c r="C656" s="380">
        <v>132796</v>
      </c>
      <c r="D656" s="379" t="s">
        <v>3059</v>
      </c>
      <c r="E656" s="379" t="s">
        <v>3060</v>
      </c>
    </row>
    <row r="657" spans="1:5">
      <c r="A657" s="379" t="s">
        <v>4555</v>
      </c>
      <c r="B657" s="379" t="s">
        <v>3016</v>
      </c>
      <c r="C657" s="380">
        <v>117206</v>
      </c>
      <c r="D657" s="379" t="s">
        <v>3017</v>
      </c>
      <c r="E657" s="379" t="s">
        <v>3018</v>
      </c>
    </row>
    <row r="658" spans="1:5">
      <c r="A658" s="379" t="s">
        <v>4556</v>
      </c>
      <c r="B658" s="379" t="s">
        <v>600</v>
      </c>
      <c r="C658" s="380">
        <v>100257</v>
      </c>
      <c r="D658" s="379" t="s">
        <v>601</v>
      </c>
      <c r="E658" s="379" t="s">
        <v>602</v>
      </c>
    </row>
    <row r="659" spans="1:5">
      <c r="A659" s="379" t="s">
        <v>4557</v>
      </c>
      <c r="B659" s="379" t="s">
        <v>1189</v>
      </c>
      <c r="C659" s="380">
        <v>213488</v>
      </c>
      <c r="D659" s="379" t="s">
        <v>1190</v>
      </c>
      <c r="E659" s="379" t="s">
        <v>1191</v>
      </c>
    </row>
    <row r="660" spans="1:5">
      <c r="A660" s="379" t="s">
        <v>4558</v>
      </c>
      <c r="B660" s="379" t="s">
        <v>3595</v>
      </c>
      <c r="C660" s="380">
        <v>100259</v>
      </c>
      <c r="D660" s="379" t="s">
        <v>3596</v>
      </c>
      <c r="E660" s="379" t="s">
        <v>3597</v>
      </c>
    </row>
    <row r="661" spans="1:5">
      <c r="A661" s="379" t="s">
        <v>4559</v>
      </c>
      <c r="B661" s="379"/>
      <c r="C661" s="380">
        <v>107836</v>
      </c>
      <c r="D661" s="379" t="s">
        <v>3428</v>
      </c>
      <c r="E661" s="379" t="s">
        <v>3429</v>
      </c>
    </row>
    <row r="662" spans="1:5">
      <c r="A662" s="379" t="s">
        <v>4560</v>
      </c>
      <c r="B662" s="379" t="s">
        <v>506</v>
      </c>
      <c r="C662" s="380">
        <v>219442</v>
      </c>
      <c r="D662" s="379" t="s">
        <v>507</v>
      </c>
      <c r="E662" s="379" t="s">
        <v>508</v>
      </c>
    </row>
    <row r="663" spans="1:5">
      <c r="A663" s="379" t="s">
        <v>4561</v>
      </c>
      <c r="B663" s="379" t="s">
        <v>1340</v>
      </c>
      <c r="C663" s="380">
        <v>208661</v>
      </c>
      <c r="D663" s="379" t="s">
        <v>1341</v>
      </c>
      <c r="E663" s="379" t="s">
        <v>1342</v>
      </c>
    </row>
    <row r="664" spans="1:5">
      <c r="A664" s="379" t="s">
        <v>4562</v>
      </c>
      <c r="B664" s="379" t="s">
        <v>2279</v>
      </c>
      <c r="C664" s="380">
        <v>100108</v>
      </c>
      <c r="D664" s="379" t="s">
        <v>2280</v>
      </c>
      <c r="E664" s="379" t="s">
        <v>2281</v>
      </c>
    </row>
    <row r="665" spans="1:5">
      <c r="A665" s="379" t="s">
        <v>4563</v>
      </c>
      <c r="B665" s="379" t="s">
        <v>1781</v>
      </c>
      <c r="C665" s="380">
        <v>100266</v>
      </c>
      <c r="D665" s="379" t="s">
        <v>1782</v>
      </c>
      <c r="E665" s="379" t="s">
        <v>1783</v>
      </c>
    </row>
    <row r="666" spans="1:5">
      <c r="A666" s="379" t="s">
        <v>4564</v>
      </c>
      <c r="B666" s="379" t="s">
        <v>2000</v>
      </c>
      <c r="C666" s="380">
        <v>100265</v>
      </c>
      <c r="D666" s="379" t="s">
        <v>2001</v>
      </c>
      <c r="E666" s="379" t="s">
        <v>2002</v>
      </c>
    </row>
    <row r="667" spans="1:5">
      <c r="A667" s="379" t="s">
        <v>4565</v>
      </c>
      <c r="B667" s="379" t="s">
        <v>973</v>
      </c>
      <c r="C667" s="380">
        <v>132720</v>
      </c>
      <c r="D667" s="379" t="s">
        <v>974</v>
      </c>
      <c r="E667" s="379" t="s">
        <v>975</v>
      </c>
    </row>
    <row r="668" spans="1:5">
      <c r="A668" s="379" t="s">
        <v>4566</v>
      </c>
      <c r="B668" s="379" t="s">
        <v>386</v>
      </c>
      <c r="C668" s="380">
        <v>100520</v>
      </c>
      <c r="D668" s="379" t="s">
        <v>387</v>
      </c>
      <c r="E668" s="379" t="s">
        <v>388</v>
      </c>
    </row>
    <row r="669" spans="1:5">
      <c r="A669" s="379" t="s">
        <v>4567</v>
      </c>
      <c r="B669" s="379" t="s">
        <v>1328</v>
      </c>
      <c r="C669" s="380">
        <v>132756</v>
      </c>
      <c r="D669" s="379" t="s">
        <v>1329</v>
      </c>
      <c r="E669" s="379" t="s">
        <v>1330</v>
      </c>
    </row>
    <row r="670" spans="1:5">
      <c r="A670" s="379" t="s">
        <v>4568</v>
      </c>
      <c r="B670" s="379" t="s">
        <v>1886</v>
      </c>
      <c r="C670" s="380">
        <v>200082</v>
      </c>
      <c r="D670" s="379" t="s">
        <v>1887</v>
      </c>
      <c r="E670" s="379" t="s">
        <v>1888</v>
      </c>
    </row>
    <row r="671" spans="1:5">
      <c r="A671" s="379" t="s">
        <v>4569</v>
      </c>
      <c r="B671" s="379" t="s">
        <v>1970</v>
      </c>
      <c r="C671" s="380">
        <v>132313</v>
      </c>
      <c r="D671" s="379" t="s">
        <v>1971</v>
      </c>
      <c r="E671" s="379" t="s">
        <v>1972</v>
      </c>
    </row>
    <row r="672" spans="1:5">
      <c r="A672" s="379" t="s">
        <v>4570</v>
      </c>
      <c r="B672" s="379" t="s">
        <v>1697</v>
      </c>
      <c r="C672" s="380">
        <v>218067</v>
      </c>
      <c r="D672" s="379" t="s">
        <v>1698</v>
      </c>
      <c r="E672" s="379" t="s">
        <v>1699</v>
      </c>
    </row>
    <row r="673" spans="1:5">
      <c r="A673" s="379" t="s">
        <v>4571</v>
      </c>
      <c r="B673" s="379" t="s">
        <v>2157</v>
      </c>
      <c r="C673" s="380">
        <v>200556</v>
      </c>
      <c r="D673" s="379" t="s">
        <v>2158</v>
      </c>
      <c r="E673" s="379" t="s">
        <v>2159</v>
      </c>
    </row>
    <row r="674" spans="1:5">
      <c r="A674" s="379" t="s">
        <v>4572</v>
      </c>
      <c r="B674" s="379" t="s">
        <v>3791</v>
      </c>
      <c r="C674" s="380">
        <v>113269</v>
      </c>
      <c r="D674" s="379" t="s">
        <v>3792</v>
      </c>
      <c r="E674" s="379" t="s">
        <v>3793</v>
      </c>
    </row>
    <row r="675" spans="1:5">
      <c r="A675" s="379" t="s">
        <v>4573</v>
      </c>
      <c r="B675" s="379" t="s">
        <v>1907</v>
      </c>
      <c r="C675" s="380">
        <v>200083</v>
      </c>
      <c r="D675" s="379" t="s">
        <v>1908</v>
      </c>
      <c r="E675" s="379" t="s">
        <v>1909</v>
      </c>
    </row>
    <row r="676" spans="1:5">
      <c r="A676" s="379" t="s">
        <v>4574</v>
      </c>
      <c r="B676" s="379" t="s">
        <v>2535</v>
      </c>
      <c r="C676" s="380">
        <v>100268</v>
      </c>
      <c r="D676" s="379" t="s">
        <v>2536</v>
      </c>
      <c r="E676" s="379" t="s">
        <v>2537</v>
      </c>
    </row>
    <row r="677" spans="1:5">
      <c r="A677" s="379" t="s">
        <v>4575</v>
      </c>
      <c r="B677" s="379" t="s">
        <v>1080</v>
      </c>
      <c r="C677" s="380">
        <v>131213</v>
      </c>
      <c r="D677" s="379" t="s">
        <v>1081</v>
      </c>
      <c r="E677" s="379" t="s">
        <v>1082</v>
      </c>
    </row>
    <row r="678" spans="1:5">
      <c r="A678" s="379" t="s">
        <v>4576</v>
      </c>
      <c r="B678" s="379" t="s">
        <v>3139</v>
      </c>
      <c r="C678" s="380">
        <v>102157</v>
      </c>
      <c r="D678" s="379" t="s">
        <v>3140</v>
      </c>
      <c r="E678" s="379" t="s">
        <v>3141</v>
      </c>
    </row>
    <row r="679" spans="1:5">
      <c r="A679" s="379" t="s">
        <v>4577</v>
      </c>
      <c r="B679" s="379"/>
      <c r="C679" s="380">
        <v>244361</v>
      </c>
      <c r="D679" s="379" t="s">
        <v>3786</v>
      </c>
      <c r="E679" s="379" t="s">
        <v>3787</v>
      </c>
    </row>
    <row r="680" spans="1:5">
      <c r="A680" s="379" t="s">
        <v>4578</v>
      </c>
      <c r="B680" s="379" t="s">
        <v>3348</v>
      </c>
      <c r="C680" s="380">
        <v>114418</v>
      </c>
      <c r="D680" s="379" t="s">
        <v>3349</v>
      </c>
      <c r="E680" s="379" t="s">
        <v>3350</v>
      </c>
    </row>
    <row r="681" spans="1:5">
      <c r="A681" s="379" t="s">
        <v>4579</v>
      </c>
      <c r="B681" s="379" t="s">
        <v>3416</v>
      </c>
      <c r="C681" s="380">
        <v>130011</v>
      </c>
      <c r="D681" s="379" t="s">
        <v>3417</v>
      </c>
      <c r="E681" s="379" t="s">
        <v>3418</v>
      </c>
    </row>
    <row r="682" spans="1:5">
      <c r="A682" s="379" t="s">
        <v>4580</v>
      </c>
      <c r="B682" s="379" t="s">
        <v>1430</v>
      </c>
      <c r="C682" s="380">
        <v>100109</v>
      </c>
      <c r="D682" s="379" t="s">
        <v>1431</v>
      </c>
      <c r="E682" s="379" t="s">
        <v>1432</v>
      </c>
    </row>
    <row r="683" spans="1:5">
      <c r="A683" s="379" t="s">
        <v>4581</v>
      </c>
      <c r="B683" s="379"/>
      <c r="C683" s="380">
        <v>289858</v>
      </c>
      <c r="D683" s="379" t="s">
        <v>2647</v>
      </c>
      <c r="E683" s="379" t="s">
        <v>2648</v>
      </c>
    </row>
    <row r="684" spans="1:5">
      <c r="A684" s="379" t="s">
        <v>4582</v>
      </c>
      <c r="B684" s="379" t="s">
        <v>3855</v>
      </c>
      <c r="C684" s="380">
        <v>103101</v>
      </c>
      <c r="D684" s="379" t="s">
        <v>3856</v>
      </c>
      <c r="E684" s="379" t="s">
        <v>3857</v>
      </c>
    </row>
    <row r="685" spans="1:5">
      <c r="A685" s="379" t="s">
        <v>4583</v>
      </c>
      <c r="B685" s="379" t="s">
        <v>488</v>
      </c>
      <c r="C685" s="380">
        <v>131642</v>
      </c>
      <c r="D685" s="379" t="s">
        <v>489</v>
      </c>
      <c r="E685" s="379" t="s">
        <v>490</v>
      </c>
    </row>
    <row r="686" spans="1:5">
      <c r="A686" s="379" t="s">
        <v>4584</v>
      </c>
      <c r="B686" s="379" t="s">
        <v>3883</v>
      </c>
      <c r="C686" s="380">
        <v>291578</v>
      </c>
      <c r="D686" s="379" t="s">
        <v>3884</v>
      </c>
      <c r="E686" s="379" t="s">
        <v>3885</v>
      </c>
    </row>
    <row r="687" spans="1:5">
      <c r="A687" s="379" t="s">
        <v>4585</v>
      </c>
      <c r="B687" s="379" t="s">
        <v>2276</v>
      </c>
      <c r="C687" s="380">
        <v>124404</v>
      </c>
      <c r="D687" s="379" t="s">
        <v>2277</v>
      </c>
      <c r="E687" s="379" t="s">
        <v>2278</v>
      </c>
    </row>
    <row r="688" spans="1:5">
      <c r="A688" s="379" t="s">
        <v>4586</v>
      </c>
      <c r="B688" s="379" t="s">
        <v>302</v>
      </c>
      <c r="C688" s="380">
        <v>132500</v>
      </c>
      <c r="D688" s="379" t="s">
        <v>303</v>
      </c>
      <c r="E688" s="379" t="s">
        <v>304</v>
      </c>
    </row>
    <row r="689" spans="1:5">
      <c r="A689" s="379" t="s">
        <v>4587</v>
      </c>
      <c r="B689" s="379" t="s">
        <v>1952</v>
      </c>
      <c r="C689" s="380">
        <v>226625</v>
      </c>
      <c r="D689" s="379" t="s">
        <v>1953</v>
      </c>
      <c r="E689" s="379" t="s">
        <v>1954</v>
      </c>
    </row>
    <row r="690" spans="1:5">
      <c r="A690" s="379" t="s">
        <v>4588</v>
      </c>
      <c r="B690" s="379" t="s">
        <v>1310</v>
      </c>
      <c r="C690" s="380">
        <v>123704</v>
      </c>
      <c r="D690" s="379" t="s">
        <v>1311</v>
      </c>
      <c r="E690" s="379" t="s">
        <v>1312</v>
      </c>
    </row>
    <row r="691" spans="1:5">
      <c r="A691" s="379" t="s">
        <v>4589</v>
      </c>
      <c r="B691" s="379" t="s">
        <v>2457</v>
      </c>
      <c r="C691" s="380">
        <v>223140</v>
      </c>
      <c r="D691" s="379" t="s">
        <v>2458</v>
      </c>
      <c r="E691" s="379" t="s">
        <v>2459</v>
      </c>
    </row>
    <row r="692" spans="1:5">
      <c r="A692" s="379" t="s">
        <v>4590</v>
      </c>
      <c r="B692" s="379" t="s">
        <v>701</v>
      </c>
      <c r="C692" s="380">
        <v>100271</v>
      </c>
      <c r="D692" s="379" t="s">
        <v>702</v>
      </c>
      <c r="E692" s="379" t="s">
        <v>703</v>
      </c>
    </row>
    <row r="693" spans="1:5">
      <c r="A693" s="379" t="s">
        <v>4591</v>
      </c>
      <c r="B693" s="379" t="s">
        <v>622</v>
      </c>
      <c r="C693" s="380">
        <v>218071</v>
      </c>
      <c r="D693" s="379" t="s">
        <v>623</v>
      </c>
      <c r="E693" s="379" t="s">
        <v>624</v>
      </c>
    </row>
    <row r="694" spans="1:5">
      <c r="A694" s="379" t="s">
        <v>4592</v>
      </c>
      <c r="B694" s="379" t="s">
        <v>2544</v>
      </c>
      <c r="C694" s="380">
        <v>279685</v>
      </c>
      <c r="D694" s="379" t="s">
        <v>2545</v>
      </c>
      <c r="E694" s="379" t="s">
        <v>2546</v>
      </c>
    </row>
    <row r="695" spans="1:5">
      <c r="A695" s="379" t="s">
        <v>4593</v>
      </c>
      <c r="B695" s="379" t="s">
        <v>2258</v>
      </c>
      <c r="C695" s="380">
        <v>122249</v>
      </c>
      <c r="D695" s="379" t="s">
        <v>2259</v>
      </c>
      <c r="E695" s="379" t="s">
        <v>2260</v>
      </c>
    </row>
    <row r="696" spans="1:5">
      <c r="A696" s="379" t="s">
        <v>4594</v>
      </c>
      <c r="B696" s="379" t="s">
        <v>1643</v>
      </c>
      <c r="C696" s="380">
        <v>219700</v>
      </c>
      <c r="D696" s="379" t="s">
        <v>1644</v>
      </c>
      <c r="E696" s="379" t="s">
        <v>1645</v>
      </c>
    </row>
    <row r="697" spans="1:5">
      <c r="A697" s="379" t="s">
        <v>2432</v>
      </c>
      <c r="B697" s="379" t="s">
        <v>2433</v>
      </c>
      <c r="C697" s="380">
        <v>112267</v>
      </c>
      <c r="D697" s="379" t="s">
        <v>2434</v>
      </c>
      <c r="E697" s="379" t="s">
        <v>2435</v>
      </c>
    </row>
    <row r="698" spans="1:5">
      <c r="A698" s="379" t="s">
        <v>4595</v>
      </c>
      <c r="B698" s="379" t="s">
        <v>2982</v>
      </c>
      <c r="C698" s="380">
        <v>131146</v>
      </c>
      <c r="D698" s="379" t="s">
        <v>2983</v>
      </c>
      <c r="E698" s="379" t="s">
        <v>2984</v>
      </c>
    </row>
    <row r="699" spans="1:5">
      <c r="A699" s="379" t="s">
        <v>4596</v>
      </c>
      <c r="B699" s="379" t="s">
        <v>1147</v>
      </c>
      <c r="C699" s="380">
        <v>232604</v>
      </c>
      <c r="D699" s="379" t="s">
        <v>1148</v>
      </c>
      <c r="E699" s="379" t="s">
        <v>1149</v>
      </c>
    </row>
    <row r="700" spans="1:5">
      <c r="A700" s="379" t="s">
        <v>4597</v>
      </c>
      <c r="B700" s="379" t="s">
        <v>3832</v>
      </c>
      <c r="C700" s="380">
        <v>132408</v>
      </c>
      <c r="D700" s="379" t="s">
        <v>3833</v>
      </c>
      <c r="E700" s="379" t="s">
        <v>3834</v>
      </c>
    </row>
    <row r="701" spans="1:5">
      <c r="A701" s="379" t="s">
        <v>2070</v>
      </c>
      <c r="B701" s="379" t="s">
        <v>2071</v>
      </c>
      <c r="C701" s="380">
        <v>210481</v>
      </c>
      <c r="D701" s="379" t="s">
        <v>2072</v>
      </c>
      <c r="E701" s="379" t="s">
        <v>2073</v>
      </c>
    </row>
    <row r="702" spans="1:5">
      <c r="A702" s="379" t="s">
        <v>4598</v>
      </c>
      <c r="B702" s="379" t="s">
        <v>2154</v>
      </c>
      <c r="C702" s="380">
        <v>302222</v>
      </c>
      <c r="D702" s="379" t="s">
        <v>2155</v>
      </c>
      <c r="E702" s="379" t="s">
        <v>2156</v>
      </c>
    </row>
    <row r="703" spans="1:5">
      <c r="A703" s="379" t="s">
        <v>4599</v>
      </c>
      <c r="B703" s="379" t="s">
        <v>1123</v>
      </c>
      <c r="C703" s="380">
        <v>208727</v>
      </c>
      <c r="D703" s="379" t="s">
        <v>1124</v>
      </c>
      <c r="E703" s="379" t="s">
        <v>1125</v>
      </c>
    </row>
    <row r="704" spans="1:5">
      <c r="A704" s="379" t="s">
        <v>4600</v>
      </c>
      <c r="B704" s="379" t="s">
        <v>982</v>
      </c>
      <c r="C704" s="380">
        <v>235506</v>
      </c>
      <c r="D704" s="379" t="s">
        <v>983</v>
      </c>
      <c r="E704" s="379" t="s">
        <v>984</v>
      </c>
    </row>
    <row r="705" spans="1:5">
      <c r="A705" s="379" t="s">
        <v>4601</v>
      </c>
      <c r="B705" s="379" t="s">
        <v>1841</v>
      </c>
      <c r="C705" s="380">
        <v>213597</v>
      </c>
      <c r="D705" s="379" t="s">
        <v>1842</v>
      </c>
      <c r="E705" s="379" t="s">
        <v>1843</v>
      </c>
    </row>
    <row r="706" spans="1:5">
      <c r="A706" s="379" t="s">
        <v>4602</v>
      </c>
      <c r="B706" s="379" t="s">
        <v>671</v>
      </c>
      <c r="C706" s="380">
        <v>132539</v>
      </c>
      <c r="D706" s="379" t="s">
        <v>672</v>
      </c>
      <c r="E706" s="379" t="s">
        <v>673</v>
      </c>
    </row>
    <row r="707" spans="1:5">
      <c r="A707" s="379" t="s">
        <v>4603</v>
      </c>
      <c r="B707" s="379" t="s">
        <v>440</v>
      </c>
      <c r="C707" s="380">
        <v>132819</v>
      </c>
      <c r="D707" s="379" t="s">
        <v>441</v>
      </c>
      <c r="E707" s="379" t="s">
        <v>442</v>
      </c>
    </row>
    <row r="708" spans="1:5">
      <c r="A708" s="379" t="s">
        <v>4604</v>
      </c>
      <c r="B708" s="379" t="s">
        <v>3561</v>
      </c>
      <c r="C708" s="380">
        <v>100279</v>
      </c>
      <c r="D708" s="379" t="s">
        <v>3562</v>
      </c>
      <c r="E708" s="379" t="s">
        <v>3563</v>
      </c>
    </row>
    <row r="709" spans="1:5">
      <c r="A709" s="379" t="s">
        <v>4605</v>
      </c>
      <c r="B709" s="379" t="s">
        <v>2715</v>
      </c>
      <c r="C709" s="380">
        <v>126642</v>
      </c>
      <c r="D709" s="379" t="s">
        <v>2716</v>
      </c>
      <c r="E709" s="379" t="s">
        <v>2717</v>
      </c>
    </row>
    <row r="710" spans="1:5">
      <c r="A710" s="379" t="s">
        <v>4606</v>
      </c>
      <c r="B710" s="379" t="s">
        <v>2006</v>
      </c>
      <c r="C710" s="380">
        <v>208745</v>
      </c>
      <c r="D710" s="379" t="s">
        <v>2007</v>
      </c>
      <c r="E710" s="379" t="s">
        <v>2008</v>
      </c>
    </row>
    <row r="711" spans="1:5">
      <c r="A711" s="379" t="s">
        <v>4607</v>
      </c>
      <c r="B711" s="379"/>
      <c r="C711" s="380">
        <v>279657</v>
      </c>
      <c r="D711" s="379" t="s">
        <v>3272</v>
      </c>
      <c r="E711" s="379" t="s">
        <v>3273</v>
      </c>
    </row>
    <row r="712" spans="1:5">
      <c r="A712" s="379" t="s">
        <v>4608</v>
      </c>
      <c r="B712" s="379" t="s">
        <v>2568</v>
      </c>
      <c r="C712" s="380">
        <v>122241</v>
      </c>
      <c r="D712" s="379" t="s">
        <v>2569</v>
      </c>
      <c r="E712" s="379" t="s">
        <v>2570</v>
      </c>
    </row>
    <row r="713" spans="1:5">
      <c r="A713" s="379" t="s">
        <v>4609</v>
      </c>
      <c r="B713" s="379" t="s">
        <v>1511</v>
      </c>
      <c r="C713" s="380">
        <v>113377</v>
      </c>
      <c r="D713" s="379" t="s">
        <v>1512</v>
      </c>
      <c r="E713" s="379" t="s">
        <v>1513</v>
      </c>
    </row>
    <row r="714" spans="1:5">
      <c r="A714" s="379" t="s">
        <v>4610</v>
      </c>
      <c r="B714" s="379" t="s">
        <v>1778</v>
      </c>
      <c r="C714" s="380">
        <v>208690</v>
      </c>
      <c r="D714" s="379" t="s">
        <v>1779</v>
      </c>
      <c r="E714" s="379" t="s">
        <v>1780</v>
      </c>
    </row>
    <row r="715" spans="1:5">
      <c r="A715" s="379" t="s">
        <v>4611</v>
      </c>
      <c r="B715" s="379" t="s">
        <v>2290</v>
      </c>
      <c r="C715" s="380">
        <v>218761</v>
      </c>
      <c r="D715" s="379" t="s">
        <v>2291</v>
      </c>
      <c r="E715" s="379" t="s">
        <v>2292</v>
      </c>
    </row>
    <row r="716" spans="1:5">
      <c r="A716" s="379" t="s">
        <v>4612</v>
      </c>
      <c r="B716" s="379" t="s">
        <v>2943</v>
      </c>
      <c r="C716" s="380">
        <v>255045</v>
      </c>
      <c r="D716" s="379" t="s">
        <v>2944</v>
      </c>
      <c r="E716" s="379" t="s">
        <v>2945</v>
      </c>
    </row>
    <row r="717" spans="1:5">
      <c r="A717" s="379" t="s">
        <v>4613</v>
      </c>
      <c r="B717" s="379" t="s">
        <v>2243</v>
      </c>
      <c r="C717" s="380">
        <v>100288</v>
      </c>
      <c r="D717" s="379" t="s">
        <v>2244</v>
      </c>
      <c r="E717" s="379" t="s">
        <v>2245</v>
      </c>
    </row>
    <row r="718" spans="1:5">
      <c r="A718" s="379" t="s">
        <v>4614</v>
      </c>
      <c r="B718" s="379"/>
      <c r="C718" s="380">
        <v>123160</v>
      </c>
      <c r="D718" s="379" t="s">
        <v>3889</v>
      </c>
      <c r="E718" s="379" t="s">
        <v>3890</v>
      </c>
    </row>
    <row r="719" spans="1:5">
      <c r="A719" s="379" t="s">
        <v>4615</v>
      </c>
      <c r="B719" s="379"/>
      <c r="C719" s="380">
        <v>132407</v>
      </c>
      <c r="D719" s="379" t="s">
        <v>2763</v>
      </c>
      <c r="E719" s="379" t="s">
        <v>2764</v>
      </c>
    </row>
    <row r="720" spans="1:5">
      <c r="A720" s="379" t="s">
        <v>4616</v>
      </c>
      <c r="B720" s="379" t="s">
        <v>467</v>
      </c>
      <c r="C720" s="380">
        <v>117334</v>
      </c>
      <c r="D720" s="379" t="s">
        <v>468</v>
      </c>
      <c r="E720" s="379" t="s">
        <v>469</v>
      </c>
    </row>
    <row r="721" spans="1:5">
      <c r="A721" s="379" t="s">
        <v>4617</v>
      </c>
      <c r="B721" s="379" t="s">
        <v>1083</v>
      </c>
      <c r="C721" s="380">
        <v>132892</v>
      </c>
      <c r="D721" s="379" t="s">
        <v>1084</v>
      </c>
      <c r="E721" s="379" t="s">
        <v>1085</v>
      </c>
    </row>
    <row r="722" spans="1:5">
      <c r="A722" s="379" t="s">
        <v>4618</v>
      </c>
      <c r="B722" s="379" t="s">
        <v>494</v>
      </c>
      <c r="C722" s="380">
        <v>126299</v>
      </c>
      <c r="D722" s="379" t="s">
        <v>495</v>
      </c>
      <c r="E722" s="379" t="s">
        <v>496</v>
      </c>
    </row>
    <row r="723" spans="1:5">
      <c r="A723" s="379" t="s">
        <v>4619</v>
      </c>
      <c r="B723" s="379" t="s">
        <v>3011</v>
      </c>
      <c r="C723" s="380">
        <v>132440</v>
      </c>
      <c r="D723" s="379" t="s">
        <v>3012</v>
      </c>
      <c r="E723" s="379" t="s">
        <v>3013</v>
      </c>
    </row>
    <row r="724" spans="1:5">
      <c r="A724" s="379" t="s">
        <v>4620</v>
      </c>
      <c r="B724" s="379" t="s">
        <v>740</v>
      </c>
      <c r="C724" s="380">
        <v>100290</v>
      </c>
      <c r="D724" s="379" t="s">
        <v>741</v>
      </c>
      <c r="E724" s="379" t="s">
        <v>742</v>
      </c>
    </row>
    <row r="725" spans="1:5">
      <c r="A725" s="379" t="s">
        <v>4621</v>
      </c>
      <c r="B725" s="379" t="s">
        <v>2388</v>
      </c>
      <c r="C725" s="380">
        <v>223478</v>
      </c>
      <c r="D725" s="379" t="s">
        <v>2389</v>
      </c>
      <c r="E725" s="379" t="s">
        <v>2390</v>
      </c>
    </row>
    <row r="726" spans="1:5">
      <c r="A726" s="379" t="s">
        <v>4622</v>
      </c>
      <c r="B726" s="379" t="s">
        <v>2329</v>
      </c>
      <c r="C726" s="380">
        <v>208646</v>
      </c>
      <c r="D726" s="379" t="s">
        <v>2330</v>
      </c>
      <c r="E726" s="379" t="s">
        <v>2331</v>
      </c>
    </row>
    <row r="727" spans="1:5">
      <c r="A727" s="379" t="s">
        <v>4623</v>
      </c>
      <c r="B727" s="379" t="s">
        <v>1475</v>
      </c>
      <c r="C727" s="380">
        <v>208763</v>
      </c>
      <c r="D727" s="379" t="s">
        <v>1476</v>
      </c>
      <c r="E727" s="379" t="s">
        <v>1477</v>
      </c>
    </row>
    <row r="728" spans="1:5">
      <c r="A728" s="379" t="s">
        <v>4624</v>
      </c>
      <c r="B728" s="379" t="s">
        <v>2574</v>
      </c>
      <c r="C728" s="380">
        <v>100460</v>
      </c>
      <c r="D728" s="379" t="s">
        <v>2575</v>
      </c>
      <c r="E728" s="379" t="s">
        <v>2576</v>
      </c>
    </row>
    <row r="729" spans="1:5">
      <c r="A729" s="379" t="s">
        <v>4625</v>
      </c>
      <c r="B729" s="379" t="s">
        <v>1358</v>
      </c>
      <c r="C729" s="380">
        <v>208766</v>
      </c>
      <c r="D729" s="379" t="s">
        <v>1359</v>
      </c>
      <c r="E729" s="379" t="s">
        <v>1360</v>
      </c>
    </row>
    <row r="730" spans="1:5">
      <c r="A730" s="379" t="s">
        <v>4626</v>
      </c>
      <c r="B730" s="379" t="s">
        <v>3823</v>
      </c>
      <c r="C730" s="380">
        <v>120059</v>
      </c>
      <c r="D730" s="379" t="s">
        <v>3824</v>
      </c>
      <c r="E730" s="379" t="s">
        <v>3825</v>
      </c>
    </row>
    <row r="731" spans="1:5">
      <c r="A731" s="379" t="s">
        <v>4627</v>
      </c>
      <c r="B731" s="379" t="s">
        <v>3413</v>
      </c>
      <c r="C731" s="380">
        <v>221106</v>
      </c>
      <c r="D731" s="379" t="s">
        <v>3414</v>
      </c>
      <c r="E731" s="379" t="s">
        <v>3415</v>
      </c>
    </row>
    <row r="732" spans="1:5">
      <c r="A732" s="379" t="s">
        <v>4628</v>
      </c>
      <c r="B732" s="379" t="s">
        <v>3739</v>
      </c>
      <c r="C732" s="380">
        <v>111766</v>
      </c>
      <c r="D732" s="379" t="s">
        <v>3740</v>
      </c>
      <c r="E732" s="379" t="s">
        <v>3741</v>
      </c>
    </row>
    <row r="733" spans="1:5">
      <c r="A733" s="379" t="s">
        <v>4629</v>
      </c>
      <c r="B733" s="379" t="s">
        <v>500</v>
      </c>
      <c r="C733" s="380">
        <v>221790</v>
      </c>
      <c r="D733" s="379" t="s">
        <v>501</v>
      </c>
      <c r="E733" s="379" t="s">
        <v>502</v>
      </c>
    </row>
    <row r="734" spans="1:5">
      <c r="A734" s="379" t="s">
        <v>4630</v>
      </c>
      <c r="B734" s="379" t="s">
        <v>3783</v>
      </c>
      <c r="C734" s="380">
        <v>225029</v>
      </c>
      <c r="D734" s="379" t="s">
        <v>3784</v>
      </c>
      <c r="E734" s="379" t="s">
        <v>3785</v>
      </c>
    </row>
    <row r="735" spans="1:5">
      <c r="A735" s="379" t="s">
        <v>4631</v>
      </c>
      <c r="B735" s="379" t="s">
        <v>2607</v>
      </c>
      <c r="C735" s="380">
        <v>124709</v>
      </c>
      <c r="D735" s="379" t="s">
        <v>2608</v>
      </c>
      <c r="E735" s="379" t="s">
        <v>2609</v>
      </c>
    </row>
    <row r="736" spans="1:5">
      <c r="A736" s="379" t="s">
        <v>4632</v>
      </c>
      <c r="B736" s="379" t="s">
        <v>3567</v>
      </c>
      <c r="C736" s="380">
        <v>226981</v>
      </c>
      <c r="D736" s="379" t="s">
        <v>3568</v>
      </c>
      <c r="E736" s="379" t="s">
        <v>3569</v>
      </c>
    </row>
    <row r="737" spans="1:5">
      <c r="A737" s="379" t="s">
        <v>4633</v>
      </c>
      <c r="B737" s="379" t="s">
        <v>3662</v>
      </c>
      <c r="C737" s="380">
        <v>200126</v>
      </c>
      <c r="D737" s="379" t="s">
        <v>3663</v>
      </c>
      <c r="E737" s="379" t="s">
        <v>3664</v>
      </c>
    </row>
    <row r="738" spans="1:5">
      <c r="A738" s="379" t="s">
        <v>4634</v>
      </c>
      <c r="B738" s="379" t="s">
        <v>3499</v>
      </c>
      <c r="C738" s="380">
        <v>123391</v>
      </c>
      <c r="D738" s="379" t="s">
        <v>3500</v>
      </c>
      <c r="E738" s="379" t="s">
        <v>3501</v>
      </c>
    </row>
    <row r="739" spans="1:5">
      <c r="A739" s="379" t="s">
        <v>4635</v>
      </c>
      <c r="B739" s="379" t="s">
        <v>2553</v>
      </c>
      <c r="C739" s="380">
        <v>100296</v>
      </c>
      <c r="D739" s="379" t="s">
        <v>2554</v>
      </c>
      <c r="E739" s="379" t="s">
        <v>2555</v>
      </c>
    </row>
    <row r="740" spans="1:5">
      <c r="A740" s="379" t="s">
        <v>4636</v>
      </c>
      <c r="B740" s="379" t="s">
        <v>3433</v>
      </c>
      <c r="C740" s="380">
        <v>132256</v>
      </c>
      <c r="D740" s="379" t="s">
        <v>3434</v>
      </c>
      <c r="E740" s="379" t="s">
        <v>3435</v>
      </c>
    </row>
    <row r="741" spans="1:5">
      <c r="A741" s="379" t="s">
        <v>4637</v>
      </c>
      <c r="B741" s="379" t="s">
        <v>3800</v>
      </c>
      <c r="C741" s="380">
        <v>132641</v>
      </c>
      <c r="D741" s="379" t="s">
        <v>3801</v>
      </c>
      <c r="E741" s="379" t="s">
        <v>3802</v>
      </c>
    </row>
    <row r="742" spans="1:5">
      <c r="A742" s="379" t="s">
        <v>4638</v>
      </c>
      <c r="B742" s="379" t="s">
        <v>1138</v>
      </c>
      <c r="C742" s="380">
        <v>218533</v>
      </c>
      <c r="D742" s="379" t="s">
        <v>1139</v>
      </c>
      <c r="E742" s="379" t="s">
        <v>1140</v>
      </c>
    </row>
    <row r="743" spans="1:5">
      <c r="A743" s="379" t="s">
        <v>4639</v>
      </c>
      <c r="B743" s="379" t="s">
        <v>1013</v>
      </c>
      <c r="C743" s="380">
        <v>124816</v>
      </c>
      <c r="D743" s="379" t="s">
        <v>1014</v>
      </c>
      <c r="E743" s="379" t="s">
        <v>1015</v>
      </c>
    </row>
    <row r="744" spans="1:5">
      <c r="A744" s="379" t="s">
        <v>4640</v>
      </c>
      <c r="B744" s="379" t="s">
        <v>967</v>
      </c>
      <c r="C744" s="380">
        <v>132234</v>
      </c>
      <c r="D744" s="379" t="s">
        <v>968</v>
      </c>
      <c r="E744" s="379" t="s">
        <v>969</v>
      </c>
    </row>
    <row r="745" spans="1:5">
      <c r="A745" s="379" t="s">
        <v>4641</v>
      </c>
      <c r="B745" s="379" t="s">
        <v>2261</v>
      </c>
      <c r="C745" s="380">
        <v>123630</v>
      </c>
      <c r="D745" s="379" t="s">
        <v>2262</v>
      </c>
      <c r="E745" s="379" t="s">
        <v>2263</v>
      </c>
    </row>
    <row r="746" spans="1:5">
      <c r="A746" s="379" t="s">
        <v>4642</v>
      </c>
      <c r="B746" s="379" t="s">
        <v>3031</v>
      </c>
      <c r="C746" s="380">
        <v>100298</v>
      </c>
      <c r="D746" s="379" t="s">
        <v>3032</v>
      </c>
      <c r="E746" s="379" t="s">
        <v>3033</v>
      </c>
    </row>
    <row r="747" spans="1:5">
      <c r="A747" s="379" t="s">
        <v>4643</v>
      </c>
      <c r="B747" s="379"/>
      <c r="C747" s="380">
        <v>104882</v>
      </c>
      <c r="D747" s="379" t="s">
        <v>910</v>
      </c>
      <c r="E747" s="379" t="s">
        <v>911</v>
      </c>
    </row>
    <row r="748" spans="1:5">
      <c r="A748" s="379" t="s">
        <v>4644</v>
      </c>
      <c r="B748" s="379" t="s">
        <v>2649</v>
      </c>
      <c r="C748" s="380">
        <v>113023</v>
      </c>
      <c r="D748" s="379" t="s">
        <v>2650</v>
      </c>
      <c r="E748" s="379" t="s">
        <v>2651</v>
      </c>
    </row>
    <row r="749" spans="1:5">
      <c r="A749" s="379" t="s">
        <v>4645</v>
      </c>
      <c r="B749" s="379" t="s">
        <v>907</v>
      </c>
      <c r="C749" s="380">
        <v>132504</v>
      </c>
      <c r="D749" s="379" t="s">
        <v>908</v>
      </c>
      <c r="E749" s="379" t="s">
        <v>909</v>
      </c>
    </row>
    <row r="750" spans="1:5">
      <c r="A750" s="379" t="s">
        <v>4646</v>
      </c>
      <c r="B750" s="379" t="s">
        <v>3665</v>
      </c>
      <c r="C750" s="380">
        <v>227718</v>
      </c>
      <c r="D750" s="379" t="s">
        <v>3666</v>
      </c>
      <c r="E750" s="379" t="s">
        <v>3667</v>
      </c>
    </row>
    <row r="751" spans="1:5">
      <c r="A751" s="379" t="s">
        <v>4647</v>
      </c>
      <c r="B751" s="379" t="s">
        <v>2460</v>
      </c>
      <c r="C751" s="380">
        <v>108989</v>
      </c>
      <c r="D751" s="379" t="s">
        <v>2461</v>
      </c>
      <c r="E751" s="379" t="s">
        <v>2462</v>
      </c>
    </row>
    <row r="752" spans="1:5">
      <c r="A752" s="379" t="s">
        <v>4648</v>
      </c>
      <c r="B752" s="379" t="s">
        <v>1442</v>
      </c>
      <c r="C752" s="380">
        <v>229414</v>
      </c>
      <c r="D752" s="379" t="s">
        <v>1443</v>
      </c>
      <c r="E752" s="379" t="s">
        <v>1444</v>
      </c>
    </row>
    <row r="753" spans="1:5">
      <c r="A753" s="379" t="s">
        <v>4649</v>
      </c>
      <c r="B753" s="379" t="s">
        <v>1397</v>
      </c>
      <c r="C753" s="380">
        <v>208801</v>
      </c>
      <c r="D753" s="379" t="s">
        <v>1398</v>
      </c>
      <c r="E753" s="379" t="s">
        <v>1399</v>
      </c>
    </row>
    <row r="754" spans="1:5">
      <c r="A754" s="379" t="s">
        <v>4650</v>
      </c>
      <c r="B754" s="379" t="s">
        <v>1790</v>
      </c>
      <c r="C754" s="380">
        <v>100294</v>
      </c>
      <c r="D754" s="379" t="s">
        <v>1791</v>
      </c>
      <c r="E754" s="379" t="s">
        <v>1792</v>
      </c>
    </row>
    <row r="755" spans="1:5">
      <c r="A755" s="379" t="s">
        <v>4651</v>
      </c>
      <c r="B755" s="379" t="s">
        <v>3199</v>
      </c>
      <c r="C755" s="380">
        <v>102168</v>
      </c>
      <c r="D755" s="379" t="s">
        <v>3200</v>
      </c>
      <c r="E755" s="379" t="s">
        <v>3201</v>
      </c>
    </row>
    <row r="756" spans="1:5">
      <c r="A756" s="379" t="s">
        <v>4652</v>
      </c>
      <c r="B756" s="379" t="s">
        <v>3712</v>
      </c>
      <c r="C756" s="380">
        <v>132649</v>
      </c>
      <c r="D756" s="379" t="s">
        <v>3713</v>
      </c>
      <c r="E756" s="379" t="s">
        <v>3714</v>
      </c>
    </row>
    <row r="757" spans="1:5">
      <c r="A757" s="379" t="s">
        <v>4653</v>
      </c>
      <c r="B757" s="379" t="s">
        <v>3522</v>
      </c>
      <c r="C757" s="380">
        <v>132864</v>
      </c>
      <c r="D757" s="379" t="s">
        <v>3523</v>
      </c>
      <c r="E757" s="379" t="s">
        <v>3524</v>
      </c>
    </row>
    <row r="758" spans="1:5">
      <c r="A758" s="379" t="s">
        <v>4654</v>
      </c>
      <c r="B758" s="379" t="s">
        <v>2644</v>
      </c>
      <c r="C758" s="380">
        <v>104112</v>
      </c>
      <c r="D758" s="379" t="s">
        <v>2645</v>
      </c>
      <c r="E758" s="379" t="s">
        <v>2646</v>
      </c>
    </row>
    <row r="759" spans="1:5">
      <c r="A759" s="379" t="s">
        <v>4655</v>
      </c>
      <c r="B759" s="379" t="s">
        <v>1868</v>
      </c>
      <c r="C759" s="380">
        <v>241159</v>
      </c>
      <c r="D759" s="379" t="s">
        <v>1869</v>
      </c>
      <c r="E759" s="379" t="s">
        <v>1870</v>
      </c>
    </row>
    <row r="760" spans="1:5">
      <c r="A760" s="379" t="s">
        <v>4656</v>
      </c>
      <c r="B760" s="379" t="s">
        <v>1808</v>
      </c>
      <c r="C760" s="380">
        <v>105355</v>
      </c>
      <c r="D760" s="379" t="s">
        <v>1809</v>
      </c>
      <c r="E760" s="379" t="s">
        <v>1810</v>
      </c>
    </row>
    <row r="761" spans="1:5">
      <c r="A761" s="379" t="s">
        <v>4657</v>
      </c>
      <c r="B761" s="379" t="s">
        <v>329</v>
      </c>
      <c r="C761" s="380">
        <v>100790</v>
      </c>
      <c r="D761" s="379" t="s">
        <v>330</v>
      </c>
      <c r="E761" s="379" t="s">
        <v>331</v>
      </c>
    </row>
    <row r="762" spans="1:5">
      <c r="A762" s="379" t="s">
        <v>4658</v>
      </c>
      <c r="B762" s="379" t="s">
        <v>1259</v>
      </c>
      <c r="C762" s="380">
        <v>132798</v>
      </c>
      <c r="D762" s="379" t="s">
        <v>1260</v>
      </c>
      <c r="E762" s="379" t="s">
        <v>1261</v>
      </c>
    </row>
    <row r="763" spans="1:5">
      <c r="A763" s="379" t="s">
        <v>4659</v>
      </c>
      <c r="B763" s="379" t="s">
        <v>2478</v>
      </c>
      <c r="C763" s="380">
        <v>124558</v>
      </c>
      <c r="D763" s="379" t="s">
        <v>2479</v>
      </c>
      <c r="E763" s="379" t="s">
        <v>2480</v>
      </c>
    </row>
    <row r="764" spans="1:5">
      <c r="A764" s="379" t="s">
        <v>4660</v>
      </c>
      <c r="B764" s="379" t="s">
        <v>3477</v>
      </c>
      <c r="C764" s="380">
        <v>132529</v>
      </c>
      <c r="D764" s="379" t="s">
        <v>3478</v>
      </c>
      <c r="E764" s="379" t="s">
        <v>3479</v>
      </c>
    </row>
    <row r="765" spans="1:5">
      <c r="A765" s="379" t="s">
        <v>4661</v>
      </c>
      <c r="B765" s="379" t="s">
        <v>1838</v>
      </c>
      <c r="C765" s="380">
        <v>213672</v>
      </c>
      <c r="D765" s="379" t="s">
        <v>1839</v>
      </c>
      <c r="E765" s="379" t="s">
        <v>1840</v>
      </c>
    </row>
    <row r="766" spans="1:5">
      <c r="A766" s="379" t="s">
        <v>4662</v>
      </c>
      <c r="B766" s="379"/>
      <c r="C766" s="380">
        <v>124774</v>
      </c>
      <c r="D766" s="379" t="s">
        <v>2619</v>
      </c>
      <c r="E766" s="379" t="s">
        <v>2620</v>
      </c>
    </row>
    <row r="767" spans="1:5">
      <c r="A767" s="379" t="s">
        <v>4663</v>
      </c>
      <c r="B767" s="379" t="s">
        <v>728</v>
      </c>
      <c r="C767" s="380">
        <v>216369</v>
      </c>
      <c r="D767" s="379" t="s">
        <v>729</v>
      </c>
      <c r="E767" s="379" t="s">
        <v>730</v>
      </c>
    </row>
    <row r="768" spans="1:5">
      <c r="A768" s="379" t="s">
        <v>4664</v>
      </c>
      <c r="B768" s="379" t="s">
        <v>1567</v>
      </c>
      <c r="C768" s="380">
        <v>100304</v>
      </c>
      <c r="D768" s="379" t="s">
        <v>1568</v>
      </c>
      <c r="E768" s="379" t="s">
        <v>1569</v>
      </c>
    </row>
    <row r="769" spans="1:5">
      <c r="A769" s="379" t="s">
        <v>4665</v>
      </c>
      <c r="B769" s="379" t="s">
        <v>1925</v>
      </c>
      <c r="C769" s="380">
        <v>123385</v>
      </c>
      <c r="D769" s="379" t="s">
        <v>1926</v>
      </c>
      <c r="E769" s="379" t="s">
        <v>1927</v>
      </c>
    </row>
    <row r="770" spans="1:5">
      <c r="A770" s="379" t="s">
        <v>4666</v>
      </c>
      <c r="B770" s="379" t="s">
        <v>892</v>
      </c>
      <c r="C770" s="380">
        <v>209078</v>
      </c>
      <c r="D770" s="379" t="s">
        <v>893</v>
      </c>
      <c r="E770" s="379" t="s">
        <v>894</v>
      </c>
    </row>
    <row r="771" spans="1:5">
      <c r="A771" s="379" t="s">
        <v>4667</v>
      </c>
      <c r="B771" s="379" t="s">
        <v>2009</v>
      </c>
      <c r="C771" s="380">
        <v>100307</v>
      </c>
      <c r="D771" s="379" t="s">
        <v>2010</v>
      </c>
      <c r="E771" s="379" t="s">
        <v>2011</v>
      </c>
    </row>
    <row r="772" spans="1:5">
      <c r="A772" s="379" t="s">
        <v>4668</v>
      </c>
      <c r="B772" s="379" t="s">
        <v>2798</v>
      </c>
      <c r="C772" s="380">
        <v>132698</v>
      </c>
      <c r="D772" s="379" t="s">
        <v>2799</v>
      </c>
      <c r="E772" s="379" t="s">
        <v>2800</v>
      </c>
    </row>
    <row r="773" spans="1:5">
      <c r="A773" s="379" t="s">
        <v>4669</v>
      </c>
      <c r="B773" s="379"/>
      <c r="C773" s="380">
        <v>245636</v>
      </c>
      <c r="D773" s="379" t="s">
        <v>3557</v>
      </c>
      <c r="E773" s="379" t="s">
        <v>3558</v>
      </c>
    </row>
    <row r="774" spans="1:5">
      <c r="A774" s="379" t="s">
        <v>4670</v>
      </c>
      <c r="B774" s="379" t="s">
        <v>1364</v>
      </c>
      <c r="C774" s="380">
        <v>113683</v>
      </c>
      <c r="D774" s="379" t="s">
        <v>1365</v>
      </c>
      <c r="E774" s="379" t="s">
        <v>1366</v>
      </c>
    </row>
    <row r="775" spans="1:5">
      <c r="A775" s="379" t="s">
        <v>4671</v>
      </c>
      <c r="B775" s="379" t="s">
        <v>647</v>
      </c>
      <c r="C775" s="380">
        <v>126371</v>
      </c>
      <c r="D775" s="379" t="s">
        <v>648</v>
      </c>
      <c r="E775" s="379" t="s">
        <v>649</v>
      </c>
    </row>
    <row r="776" spans="1:5">
      <c r="A776" s="379" t="s">
        <v>4672</v>
      </c>
      <c r="B776" s="379" t="s">
        <v>1889</v>
      </c>
      <c r="C776" s="380">
        <v>100730</v>
      </c>
      <c r="D776" s="379" t="s">
        <v>1890</v>
      </c>
      <c r="E776" s="379" t="s">
        <v>1891</v>
      </c>
    </row>
    <row r="777" spans="1:5">
      <c r="A777" s="379" t="s">
        <v>4673</v>
      </c>
      <c r="B777" s="379" t="s">
        <v>2508</v>
      </c>
      <c r="C777" s="380">
        <v>100672</v>
      </c>
      <c r="D777" s="379" t="s">
        <v>2509</v>
      </c>
      <c r="E777" s="379" t="s">
        <v>2510</v>
      </c>
    </row>
    <row r="778" spans="1:5">
      <c r="A778" s="379" t="s">
        <v>4674</v>
      </c>
      <c r="B778" s="379" t="s">
        <v>2682</v>
      </c>
      <c r="C778" s="380">
        <v>130367</v>
      </c>
      <c r="D778" s="379" t="s">
        <v>2683</v>
      </c>
      <c r="E778" s="379" t="s">
        <v>2684</v>
      </c>
    </row>
    <row r="779" spans="1:5">
      <c r="A779" s="379" t="s">
        <v>4675</v>
      </c>
      <c r="B779" s="379" t="s">
        <v>368</v>
      </c>
      <c r="C779" s="380">
        <v>132555</v>
      </c>
      <c r="D779" s="379" t="s">
        <v>369</v>
      </c>
      <c r="E779" s="379" t="s">
        <v>370</v>
      </c>
    </row>
    <row r="780" spans="1:5">
      <c r="A780" s="379" t="s">
        <v>4676</v>
      </c>
      <c r="B780" s="379" t="s">
        <v>2673</v>
      </c>
      <c r="C780" s="380">
        <v>131209</v>
      </c>
      <c r="D780" s="379" t="s">
        <v>2674</v>
      </c>
      <c r="E780" s="379" t="s">
        <v>2675</v>
      </c>
    </row>
    <row r="781" spans="1:5">
      <c r="A781" s="379" t="s">
        <v>4677</v>
      </c>
      <c r="B781" s="379" t="s">
        <v>2818</v>
      </c>
      <c r="C781" s="380">
        <v>300435</v>
      </c>
      <c r="D781" s="379" t="s">
        <v>2819</v>
      </c>
      <c r="E781" s="379" t="s">
        <v>2820</v>
      </c>
    </row>
    <row r="782" spans="1:5">
      <c r="A782" s="379" t="s">
        <v>4678</v>
      </c>
      <c r="B782" s="379" t="s">
        <v>992</v>
      </c>
      <c r="C782" s="380">
        <v>216147</v>
      </c>
      <c r="D782" s="379" t="s">
        <v>993</v>
      </c>
      <c r="E782" s="379" t="s">
        <v>994</v>
      </c>
    </row>
    <row r="783" spans="1:5">
      <c r="A783" s="379" t="s">
        <v>4679</v>
      </c>
      <c r="B783" s="379" t="s">
        <v>2932</v>
      </c>
      <c r="C783" s="380">
        <v>100189</v>
      </c>
      <c r="D783" s="379" t="s">
        <v>2933</v>
      </c>
      <c r="E783" s="379" t="s">
        <v>2934</v>
      </c>
    </row>
    <row r="784" spans="1:5">
      <c r="A784" s="379" t="s">
        <v>4680</v>
      </c>
      <c r="B784" s="379" t="s">
        <v>722</v>
      </c>
      <c r="C784" s="380">
        <v>220018</v>
      </c>
      <c r="D784" s="379" t="s">
        <v>723</v>
      </c>
      <c r="E784" s="379" t="s">
        <v>724</v>
      </c>
    </row>
    <row r="785" spans="1:5">
      <c r="A785" s="379" t="s">
        <v>4681</v>
      </c>
      <c r="B785" s="379" t="s">
        <v>332</v>
      </c>
      <c r="C785" s="380">
        <v>100312</v>
      </c>
      <c r="D785" s="379" t="s">
        <v>333</v>
      </c>
      <c r="E785" s="379" t="s">
        <v>334</v>
      </c>
    </row>
    <row r="786" spans="1:5">
      <c r="A786" s="379" t="s">
        <v>4682</v>
      </c>
      <c r="B786" s="379" t="s">
        <v>924</v>
      </c>
      <c r="C786" s="380">
        <v>200091</v>
      </c>
      <c r="D786" s="379" t="s">
        <v>925</v>
      </c>
      <c r="E786" s="379" t="s">
        <v>926</v>
      </c>
    </row>
    <row r="787" spans="1:5">
      <c r="A787" s="379" t="s">
        <v>4683</v>
      </c>
      <c r="B787" s="379" t="s">
        <v>1558</v>
      </c>
      <c r="C787" s="380">
        <v>132439</v>
      </c>
      <c r="D787" s="379" t="s">
        <v>1559</v>
      </c>
      <c r="E787" s="379" t="s">
        <v>1560</v>
      </c>
    </row>
    <row r="788" spans="1:5">
      <c r="A788" s="379" t="s">
        <v>4684</v>
      </c>
      <c r="B788" s="379" t="s">
        <v>2890</v>
      </c>
      <c r="C788" s="380">
        <v>132880</v>
      </c>
      <c r="D788" s="379" t="s">
        <v>2891</v>
      </c>
      <c r="E788" s="379" t="s">
        <v>2892</v>
      </c>
    </row>
    <row r="789" spans="1:5">
      <c r="A789" s="379" t="s">
        <v>4685</v>
      </c>
      <c r="B789" s="379" t="s">
        <v>416</v>
      </c>
      <c r="C789" s="380">
        <v>208883</v>
      </c>
      <c r="D789" s="379" t="s">
        <v>417</v>
      </c>
      <c r="E789" s="379" t="s">
        <v>418</v>
      </c>
    </row>
    <row r="790" spans="1:5">
      <c r="A790" s="379" t="s">
        <v>4686</v>
      </c>
      <c r="B790" s="379" t="s">
        <v>3043</v>
      </c>
      <c r="C790" s="380">
        <v>200044</v>
      </c>
      <c r="D790" s="379" t="s">
        <v>3044</v>
      </c>
      <c r="E790" s="379" t="s">
        <v>3045</v>
      </c>
    </row>
    <row r="791" spans="1:5">
      <c r="A791" s="379" t="s">
        <v>4687</v>
      </c>
      <c r="B791" s="379" t="s">
        <v>3615</v>
      </c>
      <c r="C791" s="380">
        <v>117536</v>
      </c>
      <c r="D791" s="379" t="s">
        <v>3616</v>
      </c>
      <c r="E791" s="379" t="s">
        <v>3617</v>
      </c>
    </row>
    <row r="792" spans="1:5">
      <c r="A792" s="379" t="s">
        <v>4688</v>
      </c>
      <c r="B792" s="379" t="s">
        <v>2213</v>
      </c>
      <c r="C792" s="380">
        <v>130135</v>
      </c>
      <c r="D792" s="379" t="s">
        <v>2214</v>
      </c>
      <c r="E792" s="379" t="s">
        <v>2215</v>
      </c>
    </row>
    <row r="793" spans="1:5">
      <c r="A793" s="379" t="s">
        <v>4689</v>
      </c>
      <c r="B793" s="379" t="s">
        <v>689</v>
      </c>
      <c r="C793" s="380">
        <v>132466</v>
      </c>
      <c r="D793" s="379" t="s">
        <v>690</v>
      </c>
      <c r="E793" s="379" t="s">
        <v>691</v>
      </c>
    </row>
    <row r="794" spans="1:5">
      <c r="A794" s="379" t="s">
        <v>4690</v>
      </c>
      <c r="B794" s="379" t="s">
        <v>2655</v>
      </c>
      <c r="C794" s="380">
        <v>124372</v>
      </c>
      <c r="D794" s="379" t="s">
        <v>2656</v>
      </c>
      <c r="E794" s="379" t="s">
        <v>2657</v>
      </c>
    </row>
    <row r="795" spans="1:5">
      <c r="A795" s="379" t="s">
        <v>4691</v>
      </c>
      <c r="B795" s="379" t="s">
        <v>3703</v>
      </c>
      <c r="C795" s="380">
        <v>113121</v>
      </c>
      <c r="D795" s="379" t="s">
        <v>3704</v>
      </c>
      <c r="E795" s="379" t="s">
        <v>3705</v>
      </c>
    </row>
    <row r="796" spans="1:5">
      <c r="A796" s="379" t="s">
        <v>4692</v>
      </c>
      <c r="B796" s="379" t="s">
        <v>2015</v>
      </c>
      <c r="C796" s="380">
        <v>242477</v>
      </c>
      <c r="D796" s="379" t="s">
        <v>2016</v>
      </c>
      <c r="E796" s="379" t="s">
        <v>2017</v>
      </c>
    </row>
    <row r="797" spans="1:5">
      <c r="A797" s="379" t="s">
        <v>4693</v>
      </c>
      <c r="B797" s="379" t="s">
        <v>1382</v>
      </c>
      <c r="C797" s="380">
        <v>288401</v>
      </c>
      <c r="D797" s="379" t="s">
        <v>1383</v>
      </c>
      <c r="E797" s="379" t="s">
        <v>1384</v>
      </c>
    </row>
    <row r="798" spans="1:5">
      <c r="A798" s="379" t="s">
        <v>4694</v>
      </c>
      <c r="B798" s="379" t="s">
        <v>2905</v>
      </c>
      <c r="C798" s="380">
        <v>220889</v>
      </c>
      <c r="D798" s="379" t="s">
        <v>2906</v>
      </c>
      <c r="E798" s="379" t="s">
        <v>2907</v>
      </c>
    </row>
    <row r="799" spans="1:5">
      <c r="A799" s="379" t="s">
        <v>4695</v>
      </c>
      <c r="B799" s="379" t="s">
        <v>3584</v>
      </c>
      <c r="C799" s="380">
        <v>102420</v>
      </c>
      <c r="D799" s="379" t="s">
        <v>3585</v>
      </c>
      <c r="E799" s="379" t="s">
        <v>3586</v>
      </c>
    </row>
    <row r="800" spans="1:5">
      <c r="A800" s="379" t="s">
        <v>4696</v>
      </c>
      <c r="B800" s="379" t="s">
        <v>2308</v>
      </c>
      <c r="C800" s="380">
        <v>100078</v>
      </c>
      <c r="D800" s="379" t="s">
        <v>2309</v>
      </c>
      <c r="E800" s="379" t="s">
        <v>2310</v>
      </c>
    </row>
    <row r="801" spans="1:5">
      <c r="A801" s="379" t="s">
        <v>4697</v>
      </c>
      <c r="B801" s="379" t="s">
        <v>3223</v>
      </c>
      <c r="C801" s="380">
        <v>106579</v>
      </c>
      <c r="D801" s="379" t="s">
        <v>3224</v>
      </c>
      <c r="E801" s="379" t="s">
        <v>3225</v>
      </c>
    </row>
    <row r="802" spans="1:5">
      <c r="A802" s="379" t="s">
        <v>4698</v>
      </c>
      <c r="B802" s="379" t="s">
        <v>3554</v>
      </c>
      <c r="C802" s="380">
        <v>100314</v>
      </c>
      <c r="D802" s="379" t="s">
        <v>3555</v>
      </c>
      <c r="E802" s="379" t="s">
        <v>3556</v>
      </c>
    </row>
    <row r="803" spans="1:5">
      <c r="A803" s="379" t="s">
        <v>4699</v>
      </c>
      <c r="B803" s="379"/>
      <c r="C803" s="380">
        <v>131859</v>
      </c>
      <c r="D803" s="379" t="s">
        <v>3690</v>
      </c>
      <c r="E803" s="379" t="s">
        <v>3691</v>
      </c>
    </row>
    <row r="804" spans="1:5">
      <c r="A804" s="379" t="s">
        <v>4700</v>
      </c>
      <c r="B804" s="379"/>
      <c r="C804" s="380">
        <v>288619</v>
      </c>
      <c r="D804" s="379" t="s">
        <v>3688</v>
      </c>
      <c r="E804" s="379" t="s">
        <v>3689</v>
      </c>
    </row>
    <row r="805" spans="1:5">
      <c r="A805" s="379" t="s">
        <v>4701</v>
      </c>
      <c r="B805" s="379" t="s">
        <v>3366</v>
      </c>
      <c r="C805" s="380">
        <v>200031</v>
      </c>
      <c r="D805" s="379" t="s">
        <v>3367</v>
      </c>
      <c r="E805" s="379" t="s">
        <v>3368</v>
      </c>
    </row>
    <row r="806" spans="1:5">
      <c r="A806" s="379" t="s">
        <v>4702</v>
      </c>
      <c r="B806" s="379" t="s">
        <v>566</v>
      </c>
      <c r="C806" s="380">
        <v>132827</v>
      </c>
      <c r="D806" s="379" t="s">
        <v>567</v>
      </c>
      <c r="E806" s="379" t="s">
        <v>568</v>
      </c>
    </row>
    <row r="807" spans="1:5">
      <c r="A807" s="379" t="s">
        <v>4703</v>
      </c>
      <c r="B807" s="379" t="s">
        <v>2171</v>
      </c>
      <c r="C807" s="380">
        <v>132900</v>
      </c>
      <c r="D807" s="379" t="s">
        <v>2172</v>
      </c>
      <c r="E807" s="379" t="s">
        <v>2173</v>
      </c>
    </row>
    <row r="808" spans="1:5">
      <c r="A808" s="379" t="s">
        <v>4704</v>
      </c>
      <c r="B808" s="379" t="s">
        <v>2946</v>
      </c>
      <c r="C808" s="380">
        <v>131349</v>
      </c>
      <c r="D808" s="379" t="s">
        <v>2947</v>
      </c>
      <c r="E808" s="379" t="s">
        <v>2948</v>
      </c>
    </row>
    <row r="809" spans="1:5">
      <c r="A809" s="379" t="s">
        <v>4705</v>
      </c>
      <c r="B809" s="379" t="s">
        <v>2703</v>
      </c>
      <c r="C809" s="380">
        <v>124820</v>
      </c>
      <c r="D809" s="379" t="s">
        <v>2704</v>
      </c>
      <c r="E809" s="379" t="s">
        <v>2705</v>
      </c>
    </row>
    <row r="810" spans="1:5">
      <c r="A810" s="379" t="s">
        <v>4706</v>
      </c>
      <c r="B810" s="379" t="s">
        <v>3105</v>
      </c>
      <c r="C810" s="380">
        <v>224160</v>
      </c>
      <c r="D810" s="379" t="s">
        <v>3106</v>
      </c>
      <c r="E810" s="379" t="s">
        <v>3107</v>
      </c>
    </row>
    <row r="811" spans="1:5">
      <c r="A811" s="379" t="s">
        <v>4707</v>
      </c>
      <c r="B811" s="379" t="s">
        <v>2126</v>
      </c>
      <c r="C811" s="380">
        <v>301603</v>
      </c>
      <c r="D811" s="379" t="s">
        <v>2127</v>
      </c>
      <c r="E811" s="379" t="s">
        <v>2128</v>
      </c>
    </row>
    <row r="812" spans="1:5">
      <c r="A812" s="379" t="s">
        <v>4708</v>
      </c>
      <c r="B812" s="379" t="s">
        <v>3034</v>
      </c>
      <c r="C812" s="380">
        <v>132780</v>
      </c>
      <c r="D812" s="379" t="s">
        <v>3035</v>
      </c>
      <c r="E812" s="379" t="s">
        <v>3036</v>
      </c>
    </row>
    <row r="813" spans="1:5">
      <c r="A813" s="379" t="s">
        <v>4709</v>
      </c>
      <c r="B813" s="379" t="s">
        <v>2824</v>
      </c>
      <c r="C813" s="380">
        <v>131120</v>
      </c>
      <c r="D813" s="379" t="s">
        <v>2825</v>
      </c>
      <c r="E813" s="379" t="s">
        <v>2826</v>
      </c>
    </row>
    <row r="814" spans="1:5">
      <c r="A814" s="379" t="s">
        <v>4710</v>
      </c>
      <c r="B814" s="379"/>
      <c r="C814" s="380">
        <v>132742</v>
      </c>
      <c r="D814" s="379" t="s">
        <v>2134</v>
      </c>
      <c r="E814" s="379" t="s">
        <v>2135</v>
      </c>
    </row>
    <row r="815" spans="1:5">
      <c r="A815" s="379" t="s">
        <v>4711</v>
      </c>
      <c r="B815" s="379" t="s">
        <v>575</v>
      </c>
      <c r="C815" s="380">
        <v>254493</v>
      </c>
      <c r="D815" s="379" t="s">
        <v>576</v>
      </c>
      <c r="E815" s="379" t="s">
        <v>577</v>
      </c>
    </row>
    <row r="816" spans="1:5">
      <c r="A816" s="379" t="s">
        <v>4712</v>
      </c>
      <c r="B816" s="379" t="s">
        <v>2967</v>
      </c>
      <c r="C816" s="380">
        <v>223032</v>
      </c>
      <c r="D816" s="379" t="s">
        <v>2968</v>
      </c>
      <c r="E816" s="379" t="s">
        <v>2969</v>
      </c>
    </row>
    <row r="817" spans="1:5">
      <c r="A817" s="379" t="s">
        <v>4713</v>
      </c>
      <c r="B817" s="379" t="s">
        <v>1787</v>
      </c>
      <c r="C817" s="380">
        <v>106590</v>
      </c>
      <c r="D817" s="379" t="s">
        <v>1788</v>
      </c>
      <c r="E817" s="379" t="s">
        <v>1789</v>
      </c>
    </row>
    <row r="818" spans="1:5">
      <c r="A818" s="379" t="s">
        <v>4714</v>
      </c>
      <c r="B818" s="379" t="s">
        <v>1769</v>
      </c>
      <c r="C818" s="380">
        <v>266384</v>
      </c>
      <c r="D818" s="379" t="s">
        <v>1770</v>
      </c>
      <c r="E818" s="379" t="s">
        <v>1771</v>
      </c>
    </row>
    <row r="819" spans="1:5">
      <c r="A819" s="379" t="s">
        <v>4715</v>
      </c>
      <c r="B819" s="379" t="s">
        <v>3474</v>
      </c>
      <c r="C819" s="380">
        <v>132808</v>
      </c>
      <c r="D819" s="379" t="s">
        <v>3475</v>
      </c>
      <c r="E819" s="379" t="s">
        <v>3476</v>
      </c>
    </row>
    <row r="820" spans="1:5">
      <c r="A820" s="379" t="s">
        <v>4716</v>
      </c>
      <c r="B820" s="379" t="s">
        <v>674</v>
      </c>
      <c r="C820" s="380">
        <v>210590</v>
      </c>
      <c r="D820" s="379" t="s">
        <v>675</v>
      </c>
      <c r="E820" s="379" t="s">
        <v>676</v>
      </c>
    </row>
    <row r="821" spans="1:5">
      <c r="A821" s="379" t="s">
        <v>4717</v>
      </c>
      <c r="B821" s="379" t="s">
        <v>716</v>
      </c>
      <c r="C821" s="380">
        <v>132522</v>
      </c>
      <c r="D821" s="379" t="s">
        <v>717</v>
      </c>
      <c r="E821" s="379" t="s">
        <v>718</v>
      </c>
    </row>
    <row r="822" spans="1:5">
      <c r="A822" s="379" t="s">
        <v>4718</v>
      </c>
      <c r="B822" s="379" t="s">
        <v>859</v>
      </c>
      <c r="C822" s="380">
        <v>100680</v>
      </c>
      <c r="D822" s="379" t="s">
        <v>860</v>
      </c>
      <c r="E822" s="379" t="s">
        <v>861</v>
      </c>
    </row>
    <row r="823" spans="1:5">
      <c r="A823" s="379" t="s">
        <v>4719</v>
      </c>
      <c r="B823" s="379" t="s">
        <v>2632</v>
      </c>
      <c r="C823" s="380">
        <v>222264</v>
      </c>
      <c r="D823" s="379" t="s">
        <v>2633</v>
      </c>
      <c r="E823" s="379" t="s">
        <v>2634</v>
      </c>
    </row>
    <row r="824" spans="1:5">
      <c r="A824" s="379" t="s">
        <v>4720</v>
      </c>
      <c r="B824" s="379" t="s">
        <v>557</v>
      </c>
      <c r="C824" s="380">
        <v>123642</v>
      </c>
      <c r="D824" s="379" t="s">
        <v>558</v>
      </c>
      <c r="E824" s="379" t="s">
        <v>559</v>
      </c>
    </row>
    <row r="825" spans="1:5">
      <c r="A825" s="379" t="s">
        <v>4721</v>
      </c>
      <c r="B825" s="379" t="s">
        <v>365</v>
      </c>
      <c r="C825" s="380">
        <v>100331</v>
      </c>
      <c r="D825" s="379" t="s">
        <v>366</v>
      </c>
      <c r="E825" s="379" t="s">
        <v>367</v>
      </c>
    </row>
    <row r="826" spans="1:5">
      <c r="A826" s="379" t="s">
        <v>4722</v>
      </c>
      <c r="B826" s="379" t="s">
        <v>2436</v>
      </c>
      <c r="C826" s="380">
        <v>219267</v>
      </c>
      <c r="D826" s="379" t="s">
        <v>2437</v>
      </c>
      <c r="E826" s="379" t="s">
        <v>2438</v>
      </c>
    </row>
    <row r="827" spans="1:5">
      <c r="A827" s="379" t="s">
        <v>4723</v>
      </c>
      <c r="B827" s="379" t="s">
        <v>497</v>
      </c>
      <c r="C827" s="380">
        <v>100302</v>
      </c>
      <c r="D827" s="379" t="s">
        <v>498</v>
      </c>
      <c r="E827" s="379" t="s">
        <v>499</v>
      </c>
    </row>
    <row r="828" spans="1:5">
      <c r="A828" s="379" t="s">
        <v>4724</v>
      </c>
      <c r="B828" s="379" t="s">
        <v>3490</v>
      </c>
      <c r="C828" s="380">
        <v>113519</v>
      </c>
      <c r="D828" s="379" t="s">
        <v>3491</v>
      </c>
      <c r="E828" s="379" t="s">
        <v>3492</v>
      </c>
    </row>
    <row r="829" spans="1:5">
      <c r="A829" s="379" t="s">
        <v>4725</v>
      </c>
      <c r="B829" s="379"/>
      <c r="C829" s="380">
        <v>100333</v>
      </c>
      <c r="D829" s="379" t="s">
        <v>2997</v>
      </c>
      <c r="E829" s="379" t="s">
        <v>2998</v>
      </c>
    </row>
    <row r="830" spans="1:5">
      <c r="A830" s="379" t="s">
        <v>4726</v>
      </c>
      <c r="B830" s="379" t="s">
        <v>3729</v>
      </c>
      <c r="C830" s="380">
        <v>123648</v>
      </c>
      <c r="D830" s="379" t="s">
        <v>3730</v>
      </c>
      <c r="E830" s="379" t="s">
        <v>3731</v>
      </c>
    </row>
    <row r="831" spans="1:5">
      <c r="A831" s="379" t="s">
        <v>4727</v>
      </c>
      <c r="B831" s="379" t="s">
        <v>2961</v>
      </c>
      <c r="C831" s="380">
        <v>132366</v>
      </c>
      <c r="D831" s="379" t="s">
        <v>2962</v>
      </c>
      <c r="E831" s="379" t="s">
        <v>2963</v>
      </c>
    </row>
    <row r="832" spans="1:5">
      <c r="A832" s="379" t="s">
        <v>4728</v>
      </c>
      <c r="B832" s="379" t="s">
        <v>1346</v>
      </c>
      <c r="C832" s="380">
        <v>217757</v>
      </c>
      <c r="D832" s="379" t="s">
        <v>1347</v>
      </c>
      <c r="E832" s="379" t="s">
        <v>1348</v>
      </c>
    </row>
    <row r="833" spans="1:5">
      <c r="A833" s="379" t="s">
        <v>4729</v>
      </c>
      <c r="B833" s="379" t="s">
        <v>1520</v>
      </c>
      <c r="C833" s="380">
        <v>200094</v>
      </c>
      <c r="D833" s="379" t="s">
        <v>1521</v>
      </c>
      <c r="E833" s="379" t="s">
        <v>1522</v>
      </c>
    </row>
    <row r="834" spans="1:5">
      <c r="A834" s="379" t="s">
        <v>4730</v>
      </c>
      <c r="B834" s="379" t="s">
        <v>2361</v>
      </c>
      <c r="C834" s="380">
        <v>132486</v>
      </c>
      <c r="D834" s="379" t="s">
        <v>2362</v>
      </c>
      <c r="E834" s="379" t="s">
        <v>2363</v>
      </c>
    </row>
    <row r="835" spans="1:5">
      <c r="A835" s="379" t="s">
        <v>4731</v>
      </c>
      <c r="B835" s="379"/>
      <c r="C835" s="380">
        <v>220066</v>
      </c>
      <c r="D835" s="379" t="s">
        <v>3014</v>
      </c>
      <c r="E835" s="379" t="s">
        <v>3015</v>
      </c>
    </row>
    <row r="836" spans="1:5">
      <c r="A836" s="379" t="s">
        <v>4732</v>
      </c>
      <c r="B836" s="379" t="s">
        <v>1334</v>
      </c>
      <c r="C836" s="380">
        <v>131768</v>
      </c>
      <c r="D836" s="379" t="s">
        <v>1335</v>
      </c>
      <c r="E836" s="379" t="s">
        <v>1336</v>
      </c>
    </row>
    <row r="837" spans="1:5">
      <c r="A837" s="379" t="s">
        <v>4733</v>
      </c>
      <c r="B837" s="379" t="s">
        <v>668</v>
      </c>
      <c r="C837" s="380">
        <v>211337</v>
      </c>
      <c r="D837" s="379" t="s">
        <v>669</v>
      </c>
      <c r="E837" s="379" t="s">
        <v>670</v>
      </c>
    </row>
    <row r="838" spans="1:5">
      <c r="A838" s="379" t="s">
        <v>4734</v>
      </c>
      <c r="B838" s="379" t="s">
        <v>1611</v>
      </c>
      <c r="C838" s="380">
        <v>124051</v>
      </c>
      <c r="D838" s="379" t="s">
        <v>1612</v>
      </c>
      <c r="E838" s="379" t="s">
        <v>1613</v>
      </c>
    </row>
    <row r="839" spans="1:5">
      <c r="A839" s="379" t="s">
        <v>4735</v>
      </c>
      <c r="B839" s="379" t="s">
        <v>1047</v>
      </c>
      <c r="C839" s="380">
        <v>124000</v>
      </c>
      <c r="D839" s="379" t="s">
        <v>1048</v>
      </c>
      <c r="E839" s="379" t="s">
        <v>1049</v>
      </c>
    </row>
    <row r="840" spans="1:5">
      <c r="A840" s="379" t="s">
        <v>4736</v>
      </c>
      <c r="B840" s="379" t="s">
        <v>719</v>
      </c>
      <c r="C840" s="380">
        <v>132810</v>
      </c>
      <c r="D840" s="379" t="s">
        <v>720</v>
      </c>
      <c r="E840" s="379" t="s">
        <v>721</v>
      </c>
    </row>
    <row r="841" spans="1:5">
      <c r="A841" s="379" t="s">
        <v>4737</v>
      </c>
      <c r="B841" s="379" t="s">
        <v>347</v>
      </c>
      <c r="C841" s="380">
        <v>132898</v>
      </c>
      <c r="D841" s="379" t="s">
        <v>348</v>
      </c>
      <c r="E841" s="379" t="s">
        <v>349</v>
      </c>
    </row>
    <row r="842" spans="1:5">
      <c r="A842" s="379" t="s">
        <v>4738</v>
      </c>
      <c r="B842" s="379" t="s">
        <v>2851</v>
      </c>
      <c r="C842" s="380">
        <v>252076</v>
      </c>
      <c r="D842" s="379" t="s">
        <v>2852</v>
      </c>
      <c r="E842" s="379" t="s">
        <v>2853</v>
      </c>
    </row>
    <row r="843" spans="1:5">
      <c r="A843" s="379" t="s">
        <v>4739</v>
      </c>
      <c r="B843" s="379" t="s">
        <v>1591</v>
      </c>
      <c r="C843" s="380">
        <v>122205</v>
      </c>
      <c r="D843" s="379" t="s">
        <v>1592</v>
      </c>
      <c r="E843" s="379" t="s">
        <v>1593</v>
      </c>
    </row>
    <row r="844" spans="1:5">
      <c r="A844" s="379" t="s">
        <v>4740</v>
      </c>
      <c r="B844" s="379" t="s">
        <v>3193</v>
      </c>
      <c r="C844" s="380">
        <v>106022</v>
      </c>
      <c r="D844" s="379" t="s">
        <v>3194</v>
      </c>
      <c r="E844" s="379" t="s">
        <v>3195</v>
      </c>
    </row>
    <row r="845" spans="1:5">
      <c r="A845" s="379" t="s">
        <v>4741</v>
      </c>
      <c r="B845" s="379" t="s">
        <v>2499</v>
      </c>
      <c r="C845" s="380">
        <v>273894</v>
      </c>
      <c r="D845" s="379" t="s">
        <v>2500</v>
      </c>
      <c r="E845" s="379" t="s">
        <v>2501</v>
      </c>
    </row>
    <row r="846" spans="1:5">
      <c r="A846" s="379" t="s">
        <v>4742</v>
      </c>
      <c r="B846" s="379" t="s">
        <v>2887</v>
      </c>
      <c r="C846" s="380">
        <v>252077</v>
      </c>
      <c r="D846" s="379" t="s">
        <v>2888</v>
      </c>
      <c r="E846" s="379" t="s">
        <v>2889</v>
      </c>
    </row>
    <row r="847" spans="1:5">
      <c r="A847" s="379" t="s">
        <v>4743</v>
      </c>
      <c r="B847" s="379" t="s">
        <v>3354</v>
      </c>
      <c r="C847" s="380">
        <v>123539</v>
      </c>
      <c r="D847" s="379" t="s">
        <v>3355</v>
      </c>
      <c r="E847" s="379" t="s">
        <v>3356</v>
      </c>
    </row>
    <row r="848" spans="1:5">
      <c r="A848" s="379" t="s">
        <v>4744</v>
      </c>
      <c r="B848" s="379" t="s">
        <v>957</v>
      </c>
      <c r="C848" s="380">
        <v>213838</v>
      </c>
      <c r="D848" s="379" t="s">
        <v>958</v>
      </c>
      <c r="E848" s="379" t="s">
        <v>959</v>
      </c>
    </row>
    <row r="849" spans="1:5">
      <c r="A849" s="379" t="s">
        <v>4745</v>
      </c>
      <c r="B849" s="379" t="s">
        <v>2839</v>
      </c>
      <c r="C849" s="380">
        <v>284650</v>
      </c>
      <c r="D849" s="379" t="s">
        <v>2840</v>
      </c>
      <c r="E849" s="379" t="s">
        <v>2841</v>
      </c>
    </row>
    <row r="850" spans="1:5">
      <c r="A850" s="379" t="s">
        <v>4746</v>
      </c>
      <c r="B850" s="379" t="s">
        <v>2442</v>
      </c>
      <c r="C850" s="380">
        <v>132748</v>
      </c>
      <c r="D850" s="379" t="s">
        <v>2443</v>
      </c>
      <c r="E850" s="379" t="s">
        <v>2444</v>
      </c>
    </row>
    <row r="851" spans="1:5">
      <c r="A851" s="379" t="s">
        <v>4747</v>
      </c>
      <c r="B851" s="379" t="s">
        <v>1412</v>
      </c>
      <c r="C851" s="380">
        <v>216564</v>
      </c>
      <c r="D851" s="379" t="s">
        <v>1413</v>
      </c>
      <c r="E851" s="379" t="s">
        <v>1414</v>
      </c>
    </row>
    <row r="852" spans="1:5">
      <c r="A852" s="379" t="s">
        <v>4748</v>
      </c>
      <c r="B852" s="379" t="s">
        <v>1540</v>
      </c>
      <c r="C852" s="380">
        <v>100338</v>
      </c>
      <c r="D852" s="379" t="s">
        <v>1541</v>
      </c>
      <c r="E852" s="379" t="s">
        <v>1542</v>
      </c>
    </row>
    <row r="853" spans="1:5">
      <c r="A853" s="379" t="s">
        <v>4749</v>
      </c>
      <c r="B853" s="379" t="s">
        <v>1487</v>
      </c>
      <c r="C853" s="380">
        <v>130117</v>
      </c>
      <c r="D853" s="379" t="s">
        <v>1488</v>
      </c>
      <c r="E853" s="379" t="s">
        <v>1489</v>
      </c>
    </row>
    <row r="854" spans="1:5">
      <c r="A854" s="379" t="s">
        <v>4750</v>
      </c>
      <c r="B854" s="379" t="s">
        <v>1355</v>
      </c>
      <c r="C854" s="380">
        <v>100126</v>
      </c>
      <c r="D854" s="379" t="s">
        <v>1356</v>
      </c>
      <c r="E854" s="379" t="s">
        <v>1357</v>
      </c>
    </row>
    <row r="855" spans="1:5">
      <c r="A855" s="379" t="s">
        <v>4751</v>
      </c>
      <c r="B855" s="379" t="s">
        <v>536</v>
      </c>
      <c r="C855" s="380">
        <v>100459</v>
      </c>
      <c r="D855" s="379" t="s">
        <v>537</v>
      </c>
      <c r="E855" s="379" t="s">
        <v>538</v>
      </c>
    </row>
    <row r="856" spans="1:5">
      <c r="A856" s="379" t="s">
        <v>4752</v>
      </c>
      <c r="B856" s="379" t="s">
        <v>3744</v>
      </c>
      <c r="C856" s="380">
        <v>236038</v>
      </c>
      <c r="D856" s="379" t="s">
        <v>3745</v>
      </c>
      <c r="E856" s="379" t="s">
        <v>3746</v>
      </c>
    </row>
    <row r="857" spans="1:5">
      <c r="A857" s="379" t="s">
        <v>4753</v>
      </c>
      <c r="B857" s="379" t="s">
        <v>2613</v>
      </c>
      <c r="C857" s="380">
        <v>284184</v>
      </c>
      <c r="D857" s="379" t="s">
        <v>2614</v>
      </c>
      <c r="E857" s="379" t="s">
        <v>2615</v>
      </c>
    </row>
    <row r="858" spans="1:5">
      <c r="A858" s="379" t="s">
        <v>4754</v>
      </c>
      <c r="B858" s="379" t="s">
        <v>2914</v>
      </c>
      <c r="C858" s="380">
        <v>220532</v>
      </c>
      <c r="D858" s="379" t="s">
        <v>2915</v>
      </c>
      <c r="E858" s="379" t="s">
        <v>2916</v>
      </c>
    </row>
    <row r="859" spans="1:5">
      <c r="A859" s="379" t="s">
        <v>4755</v>
      </c>
      <c r="B859" s="379" t="s">
        <v>2064</v>
      </c>
      <c r="C859" s="380">
        <v>132524</v>
      </c>
      <c r="D859" s="379" t="s">
        <v>2065</v>
      </c>
      <c r="E859" s="379" t="s">
        <v>2066</v>
      </c>
    </row>
    <row r="860" spans="1:5">
      <c r="A860" s="379" t="s">
        <v>4756</v>
      </c>
      <c r="B860" s="379"/>
      <c r="C860" s="380">
        <v>244937</v>
      </c>
      <c r="D860" s="379" t="s">
        <v>2160</v>
      </c>
      <c r="E860" s="379" t="s">
        <v>2161</v>
      </c>
    </row>
    <row r="861" spans="1:5">
      <c r="A861" s="379" t="s">
        <v>4757</v>
      </c>
      <c r="B861" s="379" t="s">
        <v>2979</v>
      </c>
      <c r="C861" s="380">
        <v>106852</v>
      </c>
      <c r="D861" s="379" t="s">
        <v>2980</v>
      </c>
      <c r="E861" s="379" t="s">
        <v>2981</v>
      </c>
    </row>
    <row r="862" spans="1:5">
      <c r="A862" s="379" t="s">
        <v>4758</v>
      </c>
      <c r="B862" s="379" t="s">
        <v>2616</v>
      </c>
      <c r="C862" s="380">
        <v>106618</v>
      </c>
      <c r="D862" s="379" t="s">
        <v>2617</v>
      </c>
      <c r="E862" s="379" t="s">
        <v>2618</v>
      </c>
    </row>
    <row r="863" spans="1:5">
      <c r="A863" s="379" t="s">
        <v>606</v>
      </c>
      <c r="B863" s="379" t="s">
        <v>607</v>
      </c>
      <c r="C863" s="380">
        <v>132461</v>
      </c>
      <c r="D863" s="379" t="s">
        <v>608</v>
      </c>
      <c r="E863" s="379" t="s">
        <v>609</v>
      </c>
    </row>
    <row r="864" spans="1:5">
      <c r="A864" s="379" t="s">
        <v>4759</v>
      </c>
      <c r="B864" s="379" t="s">
        <v>2043</v>
      </c>
      <c r="C864" s="380">
        <v>132891</v>
      </c>
      <c r="D864" s="379" t="s">
        <v>2044</v>
      </c>
      <c r="E864" s="379" t="s">
        <v>2045</v>
      </c>
    </row>
    <row r="865" spans="1:5">
      <c r="A865" s="379" t="s">
        <v>4760</v>
      </c>
      <c r="B865" s="379" t="s">
        <v>1394</v>
      </c>
      <c r="C865" s="380">
        <v>132689</v>
      </c>
      <c r="D865" s="379" t="s">
        <v>1395</v>
      </c>
      <c r="E865" s="379" t="s">
        <v>1396</v>
      </c>
    </row>
    <row r="866" spans="1:5">
      <c r="A866" s="379" t="s">
        <v>4761</v>
      </c>
      <c r="B866" s="379" t="s">
        <v>1150</v>
      </c>
      <c r="C866" s="380">
        <v>267389</v>
      </c>
      <c r="D866" s="379" t="s">
        <v>1151</v>
      </c>
      <c r="E866" s="379" t="s">
        <v>1152</v>
      </c>
    </row>
    <row r="867" spans="1:5">
      <c r="A867" s="379" t="s">
        <v>4762</v>
      </c>
      <c r="B867" s="379" t="s">
        <v>2869</v>
      </c>
      <c r="C867" s="380">
        <v>223021</v>
      </c>
      <c r="D867" s="379" t="s">
        <v>2870</v>
      </c>
      <c r="E867" s="379" t="s">
        <v>2871</v>
      </c>
    </row>
    <row r="868" spans="1:5">
      <c r="A868" s="379" t="s">
        <v>4763</v>
      </c>
      <c r="B868" s="379"/>
      <c r="C868" s="380">
        <v>219575</v>
      </c>
      <c r="D868" s="379" t="s">
        <v>3452</v>
      </c>
      <c r="E868" s="379" t="s">
        <v>3453</v>
      </c>
    </row>
    <row r="869" spans="1:5">
      <c r="A869" s="379" t="s">
        <v>4764</v>
      </c>
      <c r="B869" s="379" t="s">
        <v>1856</v>
      </c>
      <c r="C869" s="380">
        <v>132735</v>
      </c>
      <c r="D869" s="379" t="s">
        <v>1857</v>
      </c>
      <c r="E869" s="379" t="s">
        <v>1858</v>
      </c>
    </row>
    <row r="870" spans="1:5">
      <c r="A870" s="379" t="s">
        <v>4765</v>
      </c>
      <c r="B870" s="379"/>
      <c r="C870" s="380">
        <v>120073</v>
      </c>
      <c r="D870" s="379" t="s">
        <v>3538</v>
      </c>
      <c r="E870" s="379" t="s">
        <v>3539</v>
      </c>
    </row>
    <row r="871" spans="1:5">
      <c r="A871" s="379" t="s">
        <v>4766</v>
      </c>
      <c r="B871" s="379"/>
      <c r="C871" s="380">
        <v>131273</v>
      </c>
      <c r="D871" s="379" t="s">
        <v>3520</v>
      </c>
      <c r="E871" s="379" t="s">
        <v>3521</v>
      </c>
    </row>
    <row r="872" spans="1:5">
      <c r="A872" s="379" t="s">
        <v>4767</v>
      </c>
      <c r="B872" s="379" t="s">
        <v>1031</v>
      </c>
      <c r="C872" s="380">
        <v>132497</v>
      </c>
      <c r="D872" s="379" t="s">
        <v>1032</v>
      </c>
      <c r="E872" s="379" t="s">
        <v>1033</v>
      </c>
    </row>
    <row r="873" spans="1:5">
      <c r="A873" s="379" t="s">
        <v>4768</v>
      </c>
      <c r="B873" s="379"/>
      <c r="C873" s="380">
        <v>280526</v>
      </c>
      <c r="D873" s="379" t="s">
        <v>3463</v>
      </c>
      <c r="E873" s="379" t="s">
        <v>3464</v>
      </c>
    </row>
    <row r="874" spans="1:5">
      <c r="A874" s="379" t="s">
        <v>4769</v>
      </c>
      <c r="B874" s="379"/>
      <c r="C874" s="380">
        <v>114316</v>
      </c>
      <c r="D874" s="379" t="s">
        <v>1981</v>
      </c>
      <c r="E874" s="379" t="s">
        <v>1982</v>
      </c>
    </row>
    <row r="875" spans="1:5">
      <c r="A875" s="379" t="s">
        <v>4770</v>
      </c>
      <c r="B875" s="379" t="s">
        <v>1466</v>
      </c>
      <c r="C875" s="380">
        <v>209037</v>
      </c>
      <c r="D875" s="379" t="s">
        <v>1467</v>
      </c>
      <c r="E875" s="379" t="s">
        <v>1468</v>
      </c>
    </row>
    <row r="876" spans="1:5">
      <c r="A876" s="379" t="s">
        <v>4771</v>
      </c>
      <c r="B876" s="379" t="s">
        <v>1898</v>
      </c>
      <c r="C876" s="380">
        <v>209038</v>
      </c>
      <c r="D876" s="379" t="s">
        <v>1899</v>
      </c>
      <c r="E876" s="379" t="s">
        <v>1900</v>
      </c>
    </row>
    <row r="877" spans="1:5">
      <c r="A877" s="379" t="s">
        <v>4772</v>
      </c>
      <c r="B877" s="379" t="s">
        <v>1490</v>
      </c>
      <c r="C877" s="380">
        <v>100339</v>
      </c>
      <c r="D877" s="379" t="s">
        <v>1491</v>
      </c>
      <c r="E877" s="379" t="s">
        <v>1492</v>
      </c>
    </row>
    <row r="878" spans="1:5">
      <c r="A878" s="379" t="s">
        <v>4773</v>
      </c>
      <c r="B878" s="379" t="s">
        <v>3339</v>
      </c>
      <c r="C878" s="380">
        <v>132503</v>
      </c>
      <c r="D878" s="379" t="s">
        <v>3340</v>
      </c>
      <c r="E878" s="379" t="s">
        <v>3341</v>
      </c>
    </row>
    <row r="879" spans="1:5">
      <c r="A879" s="379" t="s">
        <v>4774</v>
      </c>
      <c r="B879" s="379" t="s">
        <v>877</v>
      </c>
      <c r="C879" s="380">
        <v>131500</v>
      </c>
      <c r="D879" s="379" t="s">
        <v>878</v>
      </c>
      <c r="E879" s="379" t="s">
        <v>879</v>
      </c>
    </row>
    <row r="880" spans="1:5">
      <c r="A880" s="379" t="s">
        <v>4775</v>
      </c>
      <c r="B880" s="379" t="s">
        <v>2445</v>
      </c>
      <c r="C880" s="380">
        <v>117522</v>
      </c>
      <c r="D880" s="379" t="s">
        <v>2446</v>
      </c>
      <c r="E880" s="379" t="s">
        <v>2447</v>
      </c>
    </row>
    <row r="881" spans="1:5">
      <c r="A881" s="379" t="s">
        <v>4776</v>
      </c>
      <c r="B881" s="379" t="s">
        <v>1661</v>
      </c>
      <c r="C881" s="380">
        <v>100355</v>
      </c>
      <c r="D881" s="379" t="s">
        <v>1662</v>
      </c>
      <c r="E881" s="379" t="s">
        <v>1663</v>
      </c>
    </row>
    <row r="882" spans="1:5">
      <c r="A882" s="379" t="s">
        <v>4777</v>
      </c>
      <c r="B882" s="379" t="s">
        <v>3809</v>
      </c>
      <c r="C882" s="380">
        <v>124037</v>
      </c>
      <c r="D882" s="379" t="s">
        <v>3810</v>
      </c>
      <c r="E882" s="379" t="s">
        <v>3811</v>
      </c>
    </row>
    <row r="883" spans="1:5">
      <c r="A883" s="379" t="s">
        <v>4778</v>
      </c>
      <c r="B883" s="379" t="s">
        <v>2382</v>
      </c>
      <c r="C883" s="380">
        <v>132369</v>
      </c>
      <c r="D883" s="379" t="s">
        <v>2383</v>
      </c>
      <c r="E883" s="379" t="s">
        <v>2384</v>
      </c>
    </row>
    <row r="884" spans="1:5">
      <c r="A884" s="379" t="s">
        <v>4779</v>
      </c>
      <c r="B884" s="379" t="s">
        <v>2757</v>
      </c>
      <c r="C884" s="380">
        <v>132370</v>
      </c>
      <c r="D884" s="379" t="s">
        <v>2758</v>
      </c>
      <c r="E884" s="379" t="s">
        <v>2759</v>
      </c>
    </row>
    <row r="885" spans="1:5">
      <c r="A885" s="379" t="s">
        <v>4780</v>
      </c>
      <c r="B885" s="379" t="s">
        <v>2111</v>
      </c>
      <c r="C885" s="380">
        <v>132527</v>
      </c>
      <c r="D885" s="379" t="s">
        <v>2112</v>
      </c>
      <c r="E885" s="379" t="s">
        <v>2113</v>
      </c>
    </row>
    <row r="886" spans="1:5">
      <c r="A886" s="379" t="s">
        <v>4781</v>
      </c>
      <c r="B886" s="379" t="s">
        <v>2777</v>
      </c>
      <c r="C886" s="380">
        <v>209058</v>
      </c>
      <c r="D886" s="379" t="s">
        <v>2778</v>
      </c>
      <c r="E886" s="379" t="s">
        <v>2779</v>
      </c>
    </row>
    <row r="887" spans="1:5">
      <c r="A887" s="379" t="s">
        <v>4782</v>
      </c>
      <c r="B887" s="379" t="s">
        <v>3846</v>
      </c>
      <c r="C887" s="380">
        <v>132661</v>
      </c>
      <c r="D887" s="379" t="s">
        <v>3847</v>
      </c>
      <c r="E887" s="379" t="s">
        <v>3848</v>
      </c>
    </row>
    <row r="888" spans="1:5">
      <c r="A888" s="379" t="s">
        <v>4783</v>
      </c>
      <c r="B888" s="379" t="s">
        <v>3618</v>
      </c>
      <c r="C888" s="380">
        <v>205383</v>
      </c>
      <c r="D888" s="379" t="s">
        <v>3619</v>
      </c>
      <c r="E888" s="379" t="s">
        <v>3620</v>
      </c>
    </row>
    <row r="889" spans="1:5">
      <c r="A889" s="379" t="s">
        <v>4784</v>
      </c>
      <c r="B889" s="379" t="s">
        <v>3351</v>
      </c>
      <c r="C889" s="380">
        <v>105800</v>
      </c>
      <c r="D889" s="379" t="s">
        <v>3352</v>
      </c>
      <c r="E889" s="379" t="s">
        <v>3353</v>
      </c>
    </row>
    <row r="890" spans="1:5">
      <c r="A890" s="379" t="s">
        <v>4785</v>
      </c>
      <c r="B890" s="379" t="s">
        <v>1820</v>
      </c>
      <c r="C890" s="380">
        <v>124230</v>
      </c>
      <c r="D890" s="379" t="s">
        <v>1821</v>
      </c>
      <c r="E890" s="379" t="s">
        <v>1822</v>
      </c>
    </row>
    <row r="891" spans="1:5">
      <c r="A891" s="379" t="s">
        <v>4786</v>
      </c>
      <c r="B891" s="379" t="s">
        <v>1832</v>
      </c>
      <c r="C891" s="380">
        <v>303157</v>
      </c>
      <c r="D891" s="379" t="s">
        <v>1833</v>
      </c>
      <c r="E891" s="379" t="s">
        <v>1834</v>
      </c>
    </row>
    <row r="892" spans="1:5">
      <c r="A892" s="379" t="s">
        <v>4787</v>
      </c>
      <c r="B892" s="379" t="s">
        <v>1301</v>
      </c>
      <c r="C892" s="380">
        <v>120111</v>
      </c>
      <c r="D892" s="379" t="s">
        <v>1302</v>
      </c>
      <c r="E892" s="379" t="s">
        <v>1303</v>
      </c>
    </row>
    <row r="893" spans="1:5">
      <c r="A893" s="379" t="s">
        <v>4788</v>
      </c>
      <c r="B893" s="379" t="s">
        <v>1543</v>
      </c>
      <c r="C893" s="380">
        <v>229901</v>
      </c>
      <c r="D893" s="379" t="s">
        <v>1544</v>
      </c>
      <c r="E893" s="379" t="s">
        <v>1545</v>
      </c>
    </row>
    <row r="894" spans="1:5">
      <c r="A894" s="379" t="s">
        <v>4789</v>
      </c>
      <c r="B894" s="379" t="s">
        <v>1961</v>
      </c>
      <c r="C894" s="380">
        <v>218933</v>
      </c>
      <c r="D894" s="379" t="s">
        <v>1962</v>
      </c>
      <c r="E894" s="379" t="s">
        <v>1963</v>
      </c>
    </row>
    <row r="895" spans="1:5">
      <c r="A895" s="379" t="s">
        <v>4790</v>
      </c>
      <c r="B895" s="379"/>
      <c r="C895" s="380">
        <v>104341</v>
      </c>
      <c r="D895" s="379" t="s">
        <v>3576</v>
      </c>
      <c r="E895" s="379" t="s">
        <v>3577</v>
      </c>
    </row>
    <row r="896" spans="1:5">
      <c r="A896" s="379" t="s">
        <v>4791</v>
      </c>
      <c r="B896" s="379" t="s">
        <v>1805</v>
      </c>
      <c r="C896" s="380">
        <v>100330</v>
      </c>
      <c r="D896" s="379" t="s">
        <v>1806</v>
      </c>
      <c r="E896" s="379" t="s">
        <v>1807</v>
      </c>
    </row>
    <row r="897" spans="1:5">
      <c r="A897" s="379" t="s">
        <v>4792</v>
      </c>
      <c r="B897" s="379" t="s">
        <v>1322</v>
      </c>
      <c r="C897" s="380">
        <v>209068</v>
      </c>
      <c r="D897" s="379" t="s">
        <v>1323</v>
      </c>
      <c r="E897" s="379" t="s">
        <v>1324</v>
      </c>
    </row>
    <row r="898" spans="1:5">
      <c r="A898" s="379" t="s">
        <v>4793</v>
      </c>
      <c r="B898" s="379" t="s">
        <v>807</v>
      </c>
      <c r="C898" s="380">
        <v>200055</v>
      </c>
      <c r="D898" s="379" t="s">
        <v>808</v>
      </c>
      <c r="E898" s="379" t="s">
        <v>809</v>
      </c>
    </row>
    <row r="899" spans="1:5">
      <c r="A899" s="379" t="s">
        <v>4794</v>
      </c>
      <c r="B899" s="379" t="s">
        <v>1174</v>
      </c>
      <c r="C899" s="380">
        <v>132805</v>
      </c>
      <c r="D899" s="379" t="s">
        <v>1175</v>
      </c>
      <c r="E899" s="379" t="s">
        <v>1176</v>
      </c>
    </row>
    <row r="900" spans="1:5">
      <c r="A900" s="379" t="s">
        <v>4795</v>
      </c>
      <c r="B900" s="379" t="s">
        <v>725</v>
      </c>
      <c r="C900" s="380">
        <v>130517</v>
      </c>
      <c r="D900" s="379" t="s">
        <v>726</v>
      </c>
      <c r="E900" s="379" t="s">
        <v>727</v>
      </c>
    </row>
    <row r="901" spans="1:5">
      <c r="A901" s="379" t="s">
        <v>4796</v>
      </c>
      <c r="B901" s="379" t="s">
        <v>3093</v>
      </c>
      <c r="C901" s="380">
        <v>132712</v>
      </c>
      <c r="D901" s="379" t="s">
        <v>3094</v>
      </c>
      <c r="E901" s="379" t="s">
        <v>3095</v>
      </c>
    </row>
    <row r="902" spans="1:5">
      <c r="A902" s="379" t="s">
        <v>4797</v>
      </c>
      <c r="B902" s="379" t="s">
        <v>2893</v>
      </c>
      <c r="C902" s="380">
        <v>123445</v>
      </c>
      <c r="D902" s="379" t="s">
        <v>2894</v>
      </c>
      <c r="E902" s="379" t="s">
        <v>2895</v>
      </c>
    </row>
    <row r="903" spans="1:5">
      <c r="A903" s="379" t="s">
        <v>4798</v>
      </c>
      <c r="B903" s="379" t="s">
        <v>247</v>
      </c>
      <c r="C903" s="380">
        <v>100325</v>
      </c>
      <c r="D903" s="379" t="s">
        <v>248</v>
      </c>
      <c r="E903" s="379" t="s">
        <v>249</v>
      </c>
    </row>
    <row r="904" spans="1:5">
      <c r="A904" s="379" t="s">
        <v>4799</v>
      </c>
      <c r="B904" s="379" t="s">
        <v>2252</v>
      </c>
      <c r="C904" s="380">
        <v>100390</v>
      </c>
      <c r="D904" s="379" t="s">
        <v>2253</v>
      </c>
      <c r="E904" s="379" t="s">
        <v>2254</v>
      </c>
    </row>
    <row r="905" spans="1:5">
      <c r="A905" s="379" t="s">
        <v>4800</v>
      </c>
      <c r="B905" s="379" t="s">
        <v>1736</v>
      </c>
      <c r="C905" s="380">
        <v>200039</v>
      </c>
      <c r="D905" s="379" t="s">
        <v>1737</v>
      </c>
      <c r="E905" s="379" t="s">
        <v>1738</v>
      </c>
    </row>
    <row r="906" spans="1:5">
      <c r="A906" s="379" t="s">
        <v>4801</v>
      </c>
      <c r="B906" s="379" t="s">
        <v>1814</v>
      </c>
      <c r="C906" s="380">
        <v>132915</v>
      </c>
      <c r="D906" s="379" t="s">
        <v>1815</v>
      </c>
      <c r="E906" s="379" t="s">
        <v>1816</v>
      </c>
    </row>
    <row r="907" spans="1:5">
      <c r="A907" s="379" t="s">
        <v>4802</v>
      </c>
      <c r="B907" s="379" t="s">
        <v>2589</v>
      </c>
      <c r="C907" s="380">
        <v>132923</v>
      </c>
      <c r="D907" s="379" t="s">
        <v>2590</v>
      </c>
      <c r="E907" s="379" t="s">
        <v>2591</v>
      </c>
    </row>
    <row r="908" spans="1:5">
      <c r="A908" s="379" t="s">
        <v>4803</v>
      </c>
      <c r="B908" s="379" t="s">
        <v>2624</v>
      </c>
      <c r="C908" s="380">
        <v>209089</v>
      </c>
      <c r="D908" s="379" t="s">
        <v>2625</v>
      </c>
      <c r="E908" s="379" t="s">
        <v>2626</v>
      </c>
    </row>
    <row r="909" spans="1:5">
      <c r="A909" s="379" t="s">
        <v>4804</v>
      </c>
      <c r="B909" s="379" t="s">
        <v>3590</v>
      </c>
      <c r="C909" s="380">
        <v>132687</v>
      </c>
      <c r="D909" s="379" t="s">
        <v>3591</v>
      </c>
      <c r="E909" s="379" t="s">
        <v>3592</v>
      </c>
    </row>
    <row r="910" spans="1:5">
      <c r="A910" s="379" t="s">
        <v>4805</v>
      </c>
      <c r="B910" s="379" t="s">
        <v>2142</v>
      </c>
      <c r="C910" s="380">
        <v>105509</v>
      </c>
      <c r="D910" s="379" t="s">
        <v>2143</v>
      </c>
      <c r="E910" s="379" t="s">
        <v>2144</v>
      </c>
    </row>
    <row r="911" spans="1:5">
      <c r="A911" s="379" t="s">
        <v>4806</v>
      </c>
      <c r="B911" s="379" t="s">
        <v>1600</v>
      </c>
      <c r="C911" s="380">
        <v>232353</v>
      </c>
      <c r="D911" s="379" t="s">
        <v>1601</v>
      </c>
      <c r="E911" s="379" t="s">
        <v>1602</v>
      </c>
    </row>
    <row r="912" spans="1:5">
      <c r="A912" s="379" t="s">
        <v>4807</v>
      </c>
      <c r="B912" s="379" t="s">
        <v>3726</v>
      </c>
      <c r="C912" s="380">
        <v>120008</v>
      </c>
      <c r="D912" s="379" t="s">
        <v>3727</v>
      </c>
      <c r="E912" s="379" t="s">
        <v>3728</v>
      </c>
    </row>
    <row r="913" spans="1:5">
      <c r="A913" s="379" t="s">
        <v>4808</v>
      </c>
      <c r="B913" s="379" t="s">
        <v>1582</v>
      </c>
      <c r="C913" s="380">
        <v>209097</v>
      </c>
      <c r="D913" s="379" t="s">
        <v>1583</v>
      </c>
      <c r="E913" s="379" t="s">
        <v>1584</v>
      </c>
    </row>
    <row r="914" spans="1:5">
      <c r="A914" s="379" t="s">
        <v>4809</v>
      </c>
      <c r="B914" s="379"/>
      <c r="C914" s="380">
        <v>126407</v>
      </c>
      <c r="D914" s="379" t="s">
        <v>3070</v>
      </c>
      <c r="E914" s="379" t="s">
        <v>3071</v>
      </c>
    </row>
    <row r="915" spans="1:5">
      <c r="A915" s="379" t="s">
        <v>2089</v>
      </c>
      <c r="B915" s="379" t="s">
        <v>2090</v>
      </c>
      <c r="C915" s="380">
        <v>209099</v>
      </c>
      <c r="D915" s="379" t="s">
        <v>2091</v>
      </c>
      <c r="E915" s="379" t="s">
        <v>2092</v>
      </c>
    </row>
    <row r="916" spans="1:5">
      <c r="A916" s="379" t="s">
        <v>4810</v>
      </c>
      <c r="B916" s="379" t="s">
        <v>1505</v>
      </c>
      <c r="C916" s="380">
        <v>233156</v>
      </c>
      <c r="D916" s="379" t="s">
        <v>1506</v>
      </c>
      <c r="E916" s="379" t="s">
        <v>1507</v>
      </c>
    </row>
    <row r="917" spans="1:5">
      <c r="A917" s="379" t="s">
        <v>4811</v>
      </c>
      <c r="B917" s="379" t="s">
        <v>3880</v>
      </c>
      <c r="C917" s="380">
        <v>219268</v>
      </c>
      <c r="D917" s="379" t="s">
        <v>3881</v>
      </c>
      <c r="E917" s="379" t="s">
        <v>3882</v>
      </c>
    </row>
    <row r="918" spans="1:5">
      <c r="A918" s="379" t="s">
        <v>4812</v>
      </c>
      <c r="B918" s="379"/>
      <c r="C918" s="380">
        <v>117500</v>
      </c>
      <c r="D918" s="379" t="s">
        <v>3812</v>
      </c>
      <c r="E918" s="379" t="s">
        <v>3813</v>
      </c>
    </row>
    <row r="919" spans="1:5">
      <c r="A919" s="379" t="s">
        <v>4813</v>
      </c>
      <c r="B919" s="379" t="s">
        <v>1208</v>
      </c>
      <c r="C919" s="380">
        <v>273198</v>
      </c>
      <c r="D919" s="379" t="s">
        <v>1209</v>
      </c>
      <c r="E919" s="379" t="s">
        <v>1210</v>
      </c>
    </row>
    <row r="920" spans="1:5">
      <c r="A920" s="379" t="s">
        <v>4814</v>
      </c>
      <c r="B920" s="379" t="s">
        <v>3184</v>
      </c>
      <c r="C920" s="380">
        <v>205250</v>
      </c>
      <c r="D920" s="379" t="s">
        <v>3185</v>
      </c>
      <c r="E920" s="379" t="s">
        <v>3186</v>
      </c>
    </row>
    <row r="921" spans="1:5">
      <c r="A921" s="379" t="s">
        <v>4815</v>
      </c>
      <c r="B921" s="379" t="s">
        <v>2511</v>
      </c>
      <c r="C921" s="380">
        <v>293705</v>
      </c>
      <c r="D921" s="379" t="s">
        <v>2512</v>
      </c>
      <c r="E921" s="379" t="s">
        <v>2513</v>
      </c>
    </row>
    <row r="922" spans="1:5">
      <c r="A922" s="379" t="s">
        <v>4816</v>
      </c>
      <c r="B922" s="379" t="s">
        <v>3072</v>
      </c>
      <c r="C922" s="380">
        <v>100350</v>
      </c>
      <c r="D922" s="379" t="s">
        <v>3073</v>
      </c>
      <c r="E922" s="379" t="s">
        <v>3074</v>
      </c>
    </row>
    <row r="923" spans="1:5">
      <c r="A923" s="379" t="s">
        <v>4817</v>
      </c>
      <c r="B923" s="379" t="s">
        <v>3788</v>
      </c>
      <c r="C923" s="380">
        <v>100367</v>
      </c>
      <c r="D923" s="379" t="s">
        <v>3789</v>
      </c>
      <c r="E923" s="379" t="s">
        <v>3790</v>
      </c>
    </row>
    <row r="924" spans="1:5">
      <c r="A924" s="379" t="s">
        <v>4818</v>
      </c>
      <c r="B924" s="379" t="s">
        <v>822</v>
      </c>
      <c r="C924" s="380">
        <v>100368</v>
      </c>
      <c r="D924" s="379" t="s">
        <v>823</v>
      </c>
      <c r="E924" s="379" t="s">
        <v>824</v>
      </c>
    </row>
    <row r="925" spans="1:5">
      <c r="A925" s="379" t="s">
        <v>4819</v>
      </c>
      <c r="B925" s="379" t="s">
        <v>2033</v>
      </c>
      <c r="C925" s="380">
        <v>221363</v>
      </c>
      <c r="D925" s="379" t="s">
        <v>2034</v>
      </c>
      <c r="E925" s="379" t="s">
        <v>2035</v>
      </c>
    </row>
    <row r="926" spans="1:5">
      <c r="A926" s="379" t="s">
        <v>4820</v>
      </c>
      <c r="B926" s="379" t="s">
        <v>3386</v>
      </c>
      <c r="C926" s="380">
        <v>213993</v>
      </c>
      <c r="D926" s="379" t="s">
        <v>3387</v>
      </c>
      <c r="E926" s="379" t="s">
        <v>3388</v>
      </c>
    </row>
    <row r="927" spans="1:5">
      <c r="A927" s="379" t="s">
        <v>4821</v>
      </c>
      <c r="B927" s="379" t="s">
        <v>3087</v>
      </c>
      <c r="C927" s="380">
        <v>209127</v>
      </c>
      <c r="D927" s="379" t="s">
        <v>3088</v>
      </c>
      <c r="E927" s="379" t="s">
        <v>3089</v>
      </c>
    </row>
    <row r="928" spans="1:5">
      <c r="A928" s="379" t="s">
        <v>4822</v>
      </c>
      <c r="B928" s="379" t="s">
        <v>3564</v>
      </c>
      <c r="C928" s="380">
        <v>132710</v>
      </c>
      <c r="D928" s="379" t="s">
        <v>3565</v>
      </c>
      <c r="E928" s="379" t="s">
        <v>3566</v>
      </c>
    </row>
    <row r="929" spans="1:5">
      <c r="A929" s="379" t="s">
        <v>4823</v>
      </c>
      <c r="B929" s="379" t="s">
        <v>3820</v>
      </c>
      <c r="C929" s="380">
        <v>229458</v>
      </c>
      <c r="D929" s="379" t="s">
        <v>3821</v>
      </c>
      <c r="E929" s="379" t="s">
        <v>3822</v>
      </c>
    </row>
    <row r="930" spans="1:5">
      <c r="A930" s="379" t="s">
        <v>4824</v>
      </c>
      <c r="B930" s="379"/>
      <c r="C930" s="380">
        <v>106642</v>
      </c>
      <c r="D930" s="379" t="s">
        <v>3305</v>
      </c>
      <c r="E930" s="379" t="s">
        <v>3306</v>
      </c>
    </row>
    <row r="931" spans="1:5">
      <c r="A931" s="379" t="s">
        <v>4825</v>
      </c>
      <c r="B931" s="379" t="s">
        <v>2493</v>
      </c>
      <c r="C931" s="380">
        <v>123025</v>
      </c>
      <c r="D931" s="379" t="s">
        <v>2494</v>
      </c>
      <c r="E931" s="379" t="s">
        <v>2495</v>
      </c>
    </row>
    <row r="932" spans="1:5">
      <c r="A932" s="379" t="s">
        <v>4826</v>
      </c>
      <c r="B932" s="379" t="s">
        <v>2080</v>
      </c>
      <c r="C932" s="380">
        <v>102090</v>
      </c>
      <c r="D932" s="379" t="s">
        <v>2081</v>
      </c>
      <c r="E932" s="379" t="s">
        <v>2082</v>
      </c>
    </row>
    <row r="933" spans="1:5">
      <c r="A933" s="379" t="s">
        <v>4827</v>
      </c>
      <c r="B933" s="379"/>
      <c r="C933" s="380">
        <v>132841</v>
      </c>
      <c r="D933" s="379" t="s">
        <v>3835</v>
      </c>
      <c r="E933" s="379" t="s">
        <v>3836</v>
      </c>
    </row>
    <row r="934" spans="1:5">
      <c r="A934" s="379" t="s">
        <v>4828</v>
      </c>
      <c r="B934" s="379"/>
      <c r="C934" s="380">
        <v>115043</v>
      </c>
      <c r="D934" s="379" t="s">
        <v>3280</v>
      </c>
      <c r="E934" s="379" t="s">
        <v>3281</v>
      </c>
    </row>
    <row r="935" spans="1:5">
      <c r="A935" s="379" t="s">
        <v>4829</v>
      </c>
      <c r="B935" s="379" t="s">
        <v>3099</v>
      </c>
      <c r="C935" s="380">
        <v>190051</v>
      </c>
      <c r="D935" s="379" t="s">
        <v>3100</v>
      </c>
      <c r="E935" s="379" t="s">
        <v>3101</v>
      </c>
    </row>
    <row r="936" spans="1:5">
      <c r="A936" s="379" t="s">
        <v>4830</v>
      </c>
      <c r="B936" s="379" t="s">
        <v>3517</v>
      </c>
      <c r="C936" s="380">
        <v>284680</v>
      </c>
      <c r="D936" s="379" t="s">
        <v>3518</v>
      </c>
      <c r="E936" s="379" t="s">
        <v>3519</v>
      </c>
    </row>
    <row r="937" spans="1:5">
      <c r="A937" s="379" t="s">
        <v>4831</v>
      </c>
      <c r="B937" s="379" t="s">
        <v>2754</v>
      </c>
      <c r="C937" s="380">
        <v>209165</v>
      </c>
      <c r="D937" s="379" t="s">
        <v>2755</v>
      </c>
      <c r="E937" s="379" t="s">
        <v>2756</v>
      </c>
    </row>
    <row r="938" spans="1:5">
      <c r="A938" s="379" t="s">
        <v>4832</v>
      </c>
      <c r="B938" s="379"/>
      <c r="C938" s="380">
        <v>104918</v>
      </c>
      <c r="D938" s="379" t="s">
        <v>2344</v>
      </c>
      <c r="E938" s="379" t="s">
        <v>2345</v>
      </c>
    </row>
    <row r="939" spans="1:5">
      <c r="A939" s="379" t="s">
        <v>4833</v>
      </c>
      <c r="B939" s="379" t="s">
        <v>2884</v>
      </c>
      <c r="C939" s="380">
        <v>114234</v>
      </c>
      <c r="D939" s="379" t="s">
        <v>2885</v>
      </c>
      <c r="E939" s="379" t="s">
        <v>2886</v>
      </c>
    </row>
    <row r="940" spans="1:5">
      <c r="A940" s="379" t="s">
        <v>4834</v>
      </c>
      <c r="B940" s="379" t="s">
        <v>2836</v>
      </c>
      <c r="C940" s="380">
        <v>126521</v>
      </c>
      <c r="D940" s="379" t="s">
        <v>2837</v>
      </c>
      <c r="E940" s="379" t="s">
        <v>2838</v>
      </c>
    </row>
    <row r="941" spans="1:5">
      <c r="A941" s="379" t="s">
        <v>4835</v>
      </c>
      <c r="B941" s="379" t="s">
        <v>3237</v>
      </c>
      <c r="C941" s="380">
        <v>130073</v>
      </c>
      <c r="D941" s="379" t="s">
        <v>3238</v>
      </c>
      <c r="E941" s="379" t="s">
        <v>3239</v>
      </c>
    </row>
    <row r="942" spans="1:5">
      <c r="A942" s="379" t="s">
        <v>4836</v>
      </c>
      <c r="B942" s="379" t="s">
        <v>976</v>
      </c>
      <c r="C942" s="380">
        <v>100674</v>
      </c>
      <c r="D942" s="379" t="s">
        <v>977</v>
      </c>
      <c r="E942" s="379" t="s">
        <v>978</v>
      </c>
    </row>
    <row r="943" spans="1:5">
      <c r="A943" s="379" t="s">
        <v>4837</v>
      </c>
      <c r="B943" s="379" t="s">
        <v>1850</v>
      </c>
      <c r="C943" s="380">
        <v>214084</v>
      </c>
      <c r="D943" s="379" t="s">
        <v>1851</v>
      </c>
      <c r="E943" s="379" t="s">
        <v>1852</v>
      </c>
    </row>
    <row r="944" spans="1:5">
      <c r="A944" s="379" t="s">
        <v>4838</v>
      </c>
      <c r="B944" s="379" t="s">
        <v>1424</v>
      </c>
      <c r="C944" s="380">
        <v>303107</v>
      </c>
      <c r="D944" s="379" t="s">
        <v>1425</v>
      </c>
      <c r="E944" s="379" t="s">
        <v>1426</v>
      </c>
    </row>
    <row r="945" spans="1:5">
      <c r="A945" s="379" t="s">
        <v>4839</v>
      </c>
      <c r="B945" s="379" t="s">
        <v>2165</v>
      </c>
      <c r="C945" s="380">
        <v>104614</v>
      </c>
      <c r="D945" s="379" t="s">
        <v>2166</v>
      </c>
      <c r="E945" s="379" t="s">
        <v>2167</v>
      </c>
    </row>
    <row r="946" spans="1:5">
      <c r="A946" s="379" t="s">
        <v>4840</v>
      </c>
      <c r="B946" s="379" t="s">
        <v>1229</v>
      </c>
      <c r="C946" s="380">
        <v>132163</v>
      </c>
      <c r="D946" s="379" t="s">
        <v>1230</v>
      </c>
      <c r="E946" s="379" t="s">
        <v>1231</v>
      </c>
    </row>
    <row r="947" spans="1:5">
      <c r="A947" s="379" t="s">
        <v>4841</v>
      </c>
      <c r="B947" s="379" t="s">
        <v>3837</v>
      </c>
      <c r="C947" s="380">
        <v>126885</v>
      </c>
      <c r="D947" s="379" t="s">
        <v>3838</v>
      </c>
      <c r="E947" s="379" t="s">
        <v>3839</v>
      </c>
    </row>
    <row r="948" spans="1:5">
      <c r="A948" s="379" t="s">
        <v>4842</v>
      </c>
      <c r="B948" s="379" t="s">
        <v>2463</v>
      </c>
      <c r="C948" s="380">
        <v>132663</v>
      </c>
      <c r="D948" s="379" t="s">
        <v>2464</v>
      </c>
      <c r="E948" s="379" t="s">
        <v>2465</v>
      </c>
    </row>
    <row r="949" spans="1:5">
      <c r="A949" s="379" t="s">
        <v>4843</v>
      </c>
      <c r="B949" s="379" t="s">
        <v>2751</v>
      </c>
      <c r="C949" s="380">
        <v>208736</v>
      </c>
      <c r="D949" s="379" t="s">
        <v>2752</v>
      </c>
      <c r="E949" s="379" t="s">
        <v>2753</v>
      </c>
    </row>
    <row r="950" spans="1:5">
      <c r="A950" s="379" t="s">
        <v>4844</v>
      </c>
      <c r="B950" s="379" t="s">
        <v>3307</v>
      </c>
      <c r="C950" s="380">
        <v>209185</v>
      </c>
      <c r="D950" s="379" t="s">
        <v>3308</v>
      </c>
      <c r="E950" s="379" t="s">
        <v>3309</v>
      </c>
    </row>
    <row r="951" spans="1:5">
      <c r="A951" s="379" t="s">
        <v>4845</v>
      </c>
      <c r="B951" s="379" t="s">
        <v>3695</v>
      </c>
      <c r="C951" s="380">
        <v>240474</v>
      </c>
      <c r="D951" s="379" t="s">
        <v>3696</v>
      </c>
      <c r="E951" s="379" t="s">
        <v>3697</v>
      </c>
    </row>
    <row r="952" spans="1:5">
      <c r="A952" s="379" t="s">
        <v>4846</v>
      </c>
      <c r="B952" s="379" t="s">
        <v>2733</v>
      </c>
      <c r="C952" s="380">
        <v>124667</v>
      </c>
      <c r="D952" s="379" t="s">
        <v>2734</v>
      </c>
      <c r="E952" s="379" t="s">
        <v>2735</v>
      </c>
    </row>
    <row r="953" spans="1:5">
      <c r="A953" s="379" t="s">
        <v>4847</v>
      </c>
      <c r="B953" s="379" t="s">
        <v>419</v>
      </c>
      <c r="C953" s="380">
        <v>225051</v>
      </c>
      <c r="D953" s="379" t="s">
        <v>420</v>
      </c>
      <c r="E953" s="379" t="s">
        <v>421</v>
      </c>
    </row>
    <row r="954" spans="1:5">
      <c r="A954" s="379" t="s">
        <v>4848</v>
      </c>
      <c r="B954" s="379" t="s">
        <v>374</v>
      </c>
      <c r="C954" s="380">
        <v>211385</v>
      </c>
      <c r="D954" s="379" t="s">
        <v>375</v>
      </c>
      <c r="E954" s="379" t="s">
        <v>376</v>
      </c>
    </row>
    <row r="955" spans="1:5">
      <c r="A955" s="379" t="s">
        <v>4849</v>
      </c>
      <c r="B955" s="379" t="s">
        <v>789</v>
      </c>
      <c r="C955" s="380">
        <v>105790</v>
      </c>
      <c r="D955" s="379" t="s">
        <v>790</v>
      </c>
      <c r="E955" s="379" t="s">
        <v>791</v>
      </c>
    </row>
    <row r="956" spans="1:5">
      <c r="A956" s="379" t="s">
        <v>4850</v>
      </c>
      <c r="B956" s="379" t="s">
        <v>2255</v>
      </c>
      <c r="C956" s="380">
        <v>229820</v>
      </c>
      <c r="D956" s="379" t="s">
        <v>2256</v>
      </c>
      <c r="E956" s="379" t="s">
        <v>2257</v>
      </c>
    </row>
    <row r="957" spans="1:5">
      <c r="A957" s="379" t="s">
        <v>4851</v>
      </c>
      <c r="B957" s="379"/>
      <c r="C957" s="380">
        <v>295781</v>
      </c>
      <c r="D957" s="379" t="s">
        <v>3546</v>
      </c>
      <c r="E957" s="379" t="s">
        <v>3547</v>
      </c>
    </row>
    <row r="958" spans="1:5">
      <c r="A958" s="379" t="s">
        <v>4852</v>
      </c>
      <c r="B958" s="379" t="s">
        <v>2192</v>
      </c>
      <c r="C958" s="380">
        <v>126807</v>
      </c>
      <c r="D958" s="379" t="s">
        <v>2193</v>
      </c>
      <c r="E958" s="379" t="s">
        <v>2194</v>
      </c>
    </row>
    <row r="959" spans="1:5">
      <c r="A959" s="379" t="s">
        <v>4853</v>
      </c>
      <c r="B959" s="379" t="s">
        <v>1829</v>
      </c>
      <c r="C959" s="380">
        <v>112529</v>
      </c>
      <c r="D959" s="379" t="s">
        <v>1830</v>
      </c>
      <c r="E959" s="379" t="s">
        <v>1831</v>
      </c>
    </row>
    <row r="960" spans="1:5">
      <c r="A960" s="379" t="s">
        <v>4854</v>
      </c>
      <c r="B960" s="379" t="s">
        <v>3217</v>
      </c>
      <c r="C960" s="380">
        <v>102450</v>
      </c>
      <c r="D960" s="379" t="s">
        <v>3218</v>
      </c>
      <c r="E960" s="379" t="s">
        <v>3219</v>
      </c>
    </row>
    <row r="961" spans="1:5">
      <c r="A961" s="379" t="s">
        <v>4855</v>
      </c>
      <c r="B961" s="379" t="s">
        <v>2414</v>
      </c>
      <c r="C961" s="380">
        <v>220884</v>
      </c>
      <c r="D961" s="379" t="s">
        <v>2415</v>
      </c>
      <c r="E961" s="379" t="s">
        <v>2416</v>
      </c>
    </row>
    <row r="962" spans="1:5">
      <c r="A962" s="379" t="s">
        <v>4856</v>
      </c>
      <c r="B962" s="379"/>
      <c r="C962" s="380">
        <v>101423</v>
      </c>
      <c r="D962" s="379" t="s">
        <v>2627</v>
      </c>
      <c r="E962" s="379" t="s">
        <v>2628</v>
      </c>
    </row>
    <row r="963" spans="1:5">
      <c r="A963" s="379" t="s">
        <v>4857</v>
      </c>
      <c r="B963" s="379" t="s">
        <v>3061</v>
      </c>
      <c r="C963" s="380">
        <v>131431</v>
      </c>
      <c r="D963" s="379" t="s">
        <v>3062</v>
      </c>
      <c r="E963" s="379" t="s">
        <v>3063</v>
      </c>
    </row>
    <row r="964" spans="1:5">
      <c r="A964" s="379" t="s">
        <v>4858</v>
      </c>
      <c r="B964" s="379" t="s">
        <v>2768</v>
      </c>
      <c r="C964" s="380">
        <v>235126</v>
      </c>
      <c r="D964" s="379" t="s">
        <v>2769</v>
      </c>
      <c r="E964" s="379" t="s">
        <v>2770</v>
      </c>
    </row>
    <row r="965" spans="1:5">
      <c r="A965" s="379" t="s">
        <v>4859</v>
      </c>
      <c r="B965" s="379" t="s">
        <v>3709</v>
      </c>
      <c r="C965" s="380">
        <v>109874</v>
      </c>
      <c r="D965" s="379" t="s">
        <v>3710</v>
      </c>
      <c r="E965" s="379" t="s">
        <v>3711</v>
      </c>
    </row>
    <row r="966" spans="1:5">
      <c r="A966" s="379" t="s">
        <v>4860</v>
      </c>
      <c r="B966" s="379" t="s">
        <v>2964</v>
      </c>
      <c r="C966" s="380">
        <v>200110</v>
      </c>
      <c r="D966" s="379" t="s">
        <v>2965</v>
      </c>
      <c r="E966" s="379" t="s">
        <v>2966</v>
      </c>
    </row>
    <row r="967" spans="1:5">
      <c r="A967" s="379" t="s">
        <v>4861</v>
      </c>
      <c r="B967" s="379" t="s">
        <v>3019</v>
      </c>
      <c r="C967" s="380">
        <v>122034</v>
      </c>
      <c r="D967" s="379" t="s">
        <v>3020</v>
      </c>
      <c r="E967" s="379" t="s">
        <v>3021</v>
      </c>
    </row>
    <row r="968" spans="1:5">
      <c r="A968" s="379" t="s">
        <v>4862</v>
      </c>
      <c r="B968" s="379" t="s">
        <v>2102</v>
      </c>
      <c r="C968" s="380">
        <v>226627</v>
      </c>
      <c r="D968" s="379" t="s">
        <v>2103</v>
      </c>
      <c r="E968" s="379" t="s">
        <v>2104</v>
      </c>
    </row>
    <row r="969" spans="1:5">
      <c r="A969" s="379" t="s">
        <v>4863</v>
      </c>
      <c r="B969" s="379" t="s">
        <v>2323</v>
      </c>
      <c r="C969" s="380">
        <v>209220</v>
      </c>
      <c r="D969" s="379" t="s">
        <v>2324</v>
      </c>
      <c r="E969" s="379" t="s">
        <v>2325</v>
      </c>
    </row>
    <row r="970" spans="1:5">
      <c r="A970" s="379" t="s">
        <v>4864</v>
      </c>
      <c r="B970" s="379" t="s">
        <v>1989</v>
      </c>
      <c r="C970" s="380">
        <v>287141</v>
      </c>
      <c r="D970" s="379" t="s">
        <v>1990</v>
      </c>
      <c r="E970" s="379" t="s">
        <v>1991</v>
      </c>
    </row>
    <row r="971" spans="1:5">
      <c r="A971" s="379" t="s">
        <v>4865</v>
      </c>
      <c r="B971" s="379" t="s">
        <v>1053</v>
      </c>
      <c r="C971" s="380">
        <v>211969</v>
      </c>
      <c r="D971" s="379" t="s">
        <v>1054</v>
      </c>
      <c r="E971" s="379" t="s">
        <v>1055</v>
      </c>
    </row>
    <row r="972" spans="1:5">
      <c r="A972" s="379" t="s">
        <v>4866</v>
      </c>
      <c r="B972" s="379" t="s">
        <v>1718</v>
      </c>
      <c r="C972" s="380">
        <v>130549</v>
      </c>
      <c r="D972" s="379" t="s">
        <v>1719</v>
      </c>
      <c r="E972" s="379" t="s">
        <v>1720</v>
      </c>
    </row>
    <row r="973" spans="1:5">
      <c r="A973" s="379" t="s">
        <v>4867</v>
      </c>
      <c r="B973" s="379" t="s">
        <v>1573</v>
      </c>
      <c r="C973" s="380">
        <v>123598</v>
      </c>
      <c r="D973" s="379" t="s">
        <v>1574</v>
      </c>
      <c r="E973" s="379" t="s">
        <v>1575</v>
      </c>
    </row>
    <row r="974" spans="1:5">
      <c r="A974" s="379" t="s">
        <v>4868</v>
      </c>
      <c r="B974" s="379"/>
      <c r="C974" s="380">
        <v>132323</v>
      </c>
      <c r="D974" s="379" t="s">
        <v>3559</v>
      </c>
      <c r="E974" s="379" t="s">
        <v>3560</v>
      </c>
    </row>
    <row r="975" spans="1:5">
      <c r="A975" s="379" t="s">
        <v>4869</v>
      </c>
      <c r="B975" s="379" t="s">
        <v>2783</v>
      </c>
      <c r="C975" s="380">
        <v>113097</v>
      </c>
      <c r="D975" s="379" t="s">
        <v>2784</v>
      </c>
      <c r="E975" s="379" t="s">
        <v>2785</v>
      </c>
    </row>
    <row r="976" spans="1:5">
      <c r="A976" s="379" t="s">
        <v>4870</v>
      </c>
      <c r="B976" s="379" t="s">
        <v>2658</v>
      </c>
      <c r="C976" s="380">
        <v>225090</v>
      </c>
      <c r="D976" s="379" t="s">
        <v>2659</v>
      </c>
      <c r="E976" s="379" t="s">
        <v>2660</v>
      </c>
    </row>
    <row r="977" spans="1:5">
      <c r="A977" s="379" t="s">
        <v>4871</v>
      </c>
      <c r="B977" s="379" t="s">
        <v>1910</v>
      </c>
      <c r="C977" s="380">
        <v>132638</v>
      </c>
      <c r="D977" s="379" t="s">
        <v>1911</v>
      </c>
      <c r="E977" s="379" t="s">
        <v>1912</v>
      </c>
    </row>
    <row r="978" spans="1:5">
      <c r="A978" s="379" t="s">
        <v>4872</v>
      </c>
      <c r="B978" s="379" t="s">
        <v>401</v>
      </c>
      <c r="C978" s="380">
        <v>100387</v>
      </c>
      <c r="D978" s="379" t="s">
        <v>402</v>
      </c>
      <c r="E978" s="379" t="s">
        <v>403</v>
      </c>
    </row>
    <row r="979" spans="1:5">
      <c r="A979" s="379" t="s">
        <v>4873</v>
      </c>
      <c r="B979" s="379" t="s">
        <v>3127</v>
      </c>
      <c r="C979" s="380">
        <v>102180</v>
      </c>
      <c r="D979" s="379" t="s">
        <v>3128</v>
      </c>
      <c r="E979" s="379" t="s">
        <v>3129</v>
      </c>
    </row>
    <row r="980" spans="1:5">
      <c r="A980" s="379" t="s">
        <v>4874</v>
      </c>
      <c r="B980" s="379"/>
      <c r="C980" s="380">
        <v>112463</v>
      </c>
      <c r="D980" s="379" t="s">
        <v>3215</v>
      </c>
      <c r="E980" s="379" t="s">
        <v>3216</v>
      </c>
    </row>
    <row r="981" spans="1:5">
      <c r="A981" s="379" t="s">
        <v>4875</v>
      </c>
      <c r="B981" s="379" t="s">
        <v>3621</v>
      </c>
      <c r="C981" s="380">
        <v>271117</v>
      </c>
      <c r="D981" s="379" t="s">
        <v>3622</v>
      </c>
      <c r="E981" s="379" t="s">
        <v>3623</v>
      </c>
    </row>
    <row r="982" spans="1:5">
      <c r="A982" s="379" t="s">
        <v>4876</v>
      </c>
      <c r="B982" s="379" t="s">
        <v>1555</v>
      </c>
      <c r="C982" s="380">
        <v>132670</v>
      </c>
      <c r="D982" s="379" t="s">
        <v>1556</v>
      </c>
      <c r="E982" s="379" t="s">
        <v>1557</v>
      </c>
    </row>
    <row r="983" spans="1:5">
      <c r="A983" s="379" t="s">
        <v>4877</v>
      </c>
      <c r="B983" s="379" t="s">
        <v>3852</v>
      </c>
      <c r="C983" s="380">
        <v>120151</v>
      </c>
      <c r="D983" s="379" t="s">
        <v>3853</v>
      </c>
      <c r="E983" s="379" t="s">
        <v>3854</v>
      </c>
    </row>
    <row r="984" spans="1:5">
      <c r="A984" s="379" t="s">
        <v>4878</v>
      </c>
      <c r="B984" s="379"/>
      <c r="C984" s="380">
        <v>112453</v>
      </c>
      <c r="D984" s="379" t="s">
        <v>3411</v>
      </c>
      <c r="E984" s="379" t="s">
        <v>3412</v>
      </c>
    </row>
    <row r="985" spans="1:5">
      <c r="A985" s="379" t="s">
        <v>4879</v>
      </c>
      <c r="B985" s="379" t="s">
        <v>1153</v>
      </c>
      <c r="C985" s="380">
        <v>132498</v>
      </c>
      <c r="D985" s="379" t="s">
        <v>1154</v>
      </c>
      <c r="E985" s="379" t="s">
        <v>1155</v>
      </c>
    </row>
    <row r="986" spans="1:5">
      <c r="A986" s="379" t="s">
        <v>4880</v>
      </c>
      <c r="B986" s="379" t="s">
        <v>3342</v>
      </c>
      <c r="C986" s="380">
        <v>200051</v>
      </c>
      <c r="D986" s="379" t="s">
        <v>3343</v>
      </c>
      <c r="E986" s="379" t="s">
        <v>3344</v>
      </c>
    </row>
    <row r="987" spans="1:5">
      <c r="A987" s="379" t="s">
        <v>2514</v>
      </c>
      <c r="B987" s="379" t="s">
        <v>2515</v>
      </c>
      <c r="C987" s="380">
        <v>218771</v>
      </c>
      <c r="D987" s="379" t="s">
        <v>2516</v>
      </c>
      <c r="E987" s="379" t="s">
        <v>2517</v>
      </c>
    </row>
    <row r="988" spans="1:5">
      <c r="A988" s="379" t="s">
        <v>4881</v>
      </c>
      <c r="B988" s="379" t="s">
        <v>2792</v>
      </c>
      <c r="C988" s="380">
        <v>209255</v>
      </c>
      <c r="D988" s="379" t="s">
        <v>2793</v>
      </c>
      <c r="E988" s="379" t="s">
        <v>2794</v>
      </c>
    </row>
    <row r="989" spans="1:5">
      <c r="A989" s="379" t="s">
        <v>4882</v>
      </c>
      <c r="B989" s="379" t="s">
        <v>710</v>
      </c>
      <c r="C989" s="380">
        <v>111218</v>
      </c>
      <c r="D989" s="379" t="s">
        <v>711</v>
      </c>
      <c r="E989" s="379" t="s">
        <v>712</v>
      </c>
    </row>
    <row r="990" spans="1:5">
      <c r="A990" s="379" t="s">
        <v>4883</v>
      </c>
      <c r="B990" s="379" t="s">
        <v>1316</v>
      </c>
      <c r="C990" s="380">
        <v>267465</v>
      </c>
      <c r="D990" s="379" t="s">
        <v>1317</v>
      </c>
      <c r="E990" s="379" t="s">
        <v>1318</v>
      </c>
    </row>
    <row r="991" spans="1:5">
      <c r="A991" s="379" t="s">
        <v>4884</v>
      </c>
      <c r="B991" s="379" t="s">
        <v>422</v>
      </c>
      <c r="C991" s="380">
        <v>100550</v>
      </c>
      <c r="D991" s="379" t="s">
        <v>423</v>
      </c>
      <c r="E991" s="379" t="s">
        <v>424</v>
      </c>
    </row>
    <row r="992" spans="1:5">
      <c r="A992" s="379" t="s">
        <v>4885</v>
      </c>
      <c r="B992" s="379" t="s">
        <v>2949</v>
      </c>
      <c r="C992" s="380">
        <v>300012</v>
      </c>
      <c r="D992" s="379" t="s">
        <v>2950</v>
      </c>
      <c r="E992" s="379" t="s">
        <v>2951</v>
      </c>
    </row>
    <row r="993" spans="1:5">
      <c r="A993" s="379" t="s">
        <v>4886</v>
      </c>
      <c r="B993" s="379"/>
      <c r="C993" s="380">
        <v>132029</v>
      </c>
      <c r="D993" s="379" t="s">
        <v>1995</v>
      </c>
      <c r="E993" s="379" t="s">
        <v>1996</v>
      </c>
    </row>
    <row r="994" spans="1:5">
      <c r="A994" s="379" t="s">
        <v>4887</v>
      </c>
      <c r="B994" s="379" t="s">
        <v>3202</v>
      </c>
      <c r="C994" s="380">
        <v>102742</v>
      </c>
      <c r="D994" s="379" t="s">
        <v>3203</v>
      </c>
      <c r="E994" s="379" t="s">
        <v>3204</v>
      </c>
    </row>
    <row r="995" spans="1:5">
      <c r="A995" s="379" t="s">
        <v>4888</v>
      </c>
      <c r="B995" s="379" t="s">
        <v>3315</v>
      </c>
      <c r="C995" s="380">
        <v>286451</v>
      </c>
      <c r="D995" s="379" t="s">
        <v>3316</v>
      </c>
      <c r="E995" s="379" t="s">
        <v>3317</v>
      </c>
    </row>
    <row r="996" spans="1:5">
      <c r="A996" s="379" t="s">
        <v>4889</v>
      </c>
      <c r="B996" s="379" t="s">
        <v>2827</v>
      </c>
      <c r="C996" s="380">
        <v>288827</v>
      </c>
      <c r="D996" s="379" t="s">
        <v>2828</v>
      </c>
      <c r="E996" s="379" t="s">
        <v>2829</v>
      </c>
    </row>
    <row r="997" spans="1:5">
      <c r="A997" s="379" t="s">
        <v>4890</v>
      </c>
      <c r="B997" s="379" t="s">
        <v>1549</v>
      </c>
      <c r="C997" s="380">
        <v>210729</v>
      </c>
      <c r="D997" s="379" t="s">
        <v>1550</v>
      </c>
      <c r="E997" s="379" t="s">
        <v>1551</v>
      </c>
    </row>
    <row r="998" spans="1:5">
      <c r="A998" s="379" t="s">
        <v>4891</v>
      </c>
      <c r="B998" s="379" t="s">
        <v>2475</v>
      </c>
      <c r="C998" s="380">
        <v>103811</v>
      </c>
      <c r="D998" s="379" t="s">
        <v>2476</v>
      </c>
      <c r="E998" s="379" t="s">
        <v>2477</v>
      </c>
    </row>
    <row r="999" spans="1:5">
      <c r="A999" s="379" t="s">
        <v>4892</v>
      </c>
      <c r="B999" s="379" t="s">
        <v>3040</v>
      </c>
      <c r="C999" s="380">
        <v>302921</v>
      </c>
      <c r="D999" s="379" t="s">
        <v>3041</v>
      </c>
      <c r="E999" s="379" t="s">
        <v>3042</v>
      </c>
    </row>
    <row r="1000" spans="1:5">
      <c r="A1000" s="379" t="s">
        <v>4893</v>
      </c>
      <c r="B1000" s="379" t="s">
        <v>1162</v>
      </c>
      <c r="C1000" s="380">
        <v>220512</v>
      </c>
      <c r="D1000" s="379" t="s">
        <v>1163</v>
      </c>
      <c r="E1000" s="379" t="s">
        <v>1164</v>
      </c>
    </row>
    <row r="1001" spans="1:5">
      <c r="A1001" s="379" t="s">
        <v>4894</v>
      </c>
      <c r="B1001" s="379" t="s">
        <v>964</v>
      </c>
      <c r="C1001" s="380">
        <v>100472</v>
      </c>
      <c r="D1001" s="379" t="s">
        <v>965</v>
      </c>
      <c r="E1001" s="379" t="s">
        <v>966</v>
      </c>
    </row>
    <row r="1002" spans="1:5">
      <c r="A1002" s="379" t="s">
        <v>4895</v>
      </c>
      <c r="B1002" s="379" t="s">
        <v>3485</v>
      </c>
      <c r="C1002" s="380">
        <v>216897</v>
      </c>
      <c r="D1002" s="379" t="s">
        <v>3486</v>
      </c>
      <c r="E1002" s="379" t="s">
        <v>3487</v>
      </c>
    </row>
    <row r="1003" spans="1:5">
      <c r="A1003" s="379" t="s">
        <v>4896</v>
      </c>
      <c r="B1003" s="379" t="s">
        <v>3389</v>
      </c>
      <c r="C1003" s="380">
        <v>214003</v>
      </c>
      <c r="D1003" s="379" t="s">
        <v>3390</v>
      </c>
      <c r="E1003" s="379" t="s">
        <v>3391</v>
      </c>
    </row>
    <row r="1004" spans="1:5">
      <c r="A1004" s="379" t="s">
        <v>4897</v>
      </c>
      <c r="B1004" s="379" t="s">
        <v>3251</v>
      </c>
      <c r="C1004" s="380">
        <v>105192</v>
      </c>
      <c r="D1004" s="379" t="s">
        <v>3252</v>
      </c>
      <c r="E1004" s="379" t="s">
        <v>3253</v>
      </c>
    </row>
    <row r="1005" spans="1:5">
      <c r="A1005" s="379" t="s">
        <v>4898</v>
      </c>
      <c r="B1005" s="379" t="s">
        <v>3049</v>
      </c>
      <c r="C1005" s="380">
        <v>132815</v>
      </c>
      <c r="D1005" s="379" t="s">
        <v>3050</v>
      </c>
      <c r="E1005" s="379" t="s">
        <v>3051</v>
      </c>
    </row>
    <row r="1006" spans="1:5">
      <c r="A1006" s="379" t="s">
        <v>4899</v>
      </c>
      <c r="B1006" s="379" t="s">
        <v>3535</v>
      </c>
      <c r="C1006" s="380">
        <v>209277</v>
      </c>
      <c r="D1006" s="379" t="s">
        <v>3536</v>
      </c>
      <c r="E1006" s="379" t="s">
        <v>3537</v>
      </c>
    </row>
    <row r="1007" spans="1:5">
      <c r="A1007" s="379" t="s">
        <v>4900</v>
      </c>
      <c r="B1007" s="379" t="s">
        <v>1349</v>
      </c>
      <c r="C1007" s="380">
        <v>132784</v>
      </c>
      <c r="D1007" s="379" t="s">
        <v>1350</v>
      </c>
      <c r="E1007" s="379" t="s">
        <v>1351</v>
      </c>
    </row>
    <row r="1008" spans="1:5">
      <c r="A1008" s="379" t="s">
        <v>4901</v>
      </c>
      <c r="B1008" s="379" t="s">
        <v>895</v>
      </c>
      <c r="C1008" s="380">
        <v>132725</v>
      </c>
      <c r="D1008" s="379" t="s">
        <v>896</v>
      </c>
      <c r="E1008" s="379" t="s">
        <v>897</v>
      </c>
    </row>
    <row r="1009" spans="1:5">
      <c r="A1009" s="379" t="s">
        <v>4902</v>
      </c>
      <c r="B1009" s="379" t="s">
        <v>1904</v>
      </c>
      <c r="C1009" s="380">
        <v>290184</v>
      </c>
      <c r="D1009" s="379" t="s">
        <v>1905</v>
      </c>
      <c r="E1009" s="379" t="s">
        <v>1906</v>
      </c>
    </row>
    <row r="1010" spans="1:5">
      <c r="A1010" s="379" t="s">
        <v>4903</v>
      </c>
      <c r="B1010" s="379" t="s">
        <v>1943</v>
      </c>
      <c r="C1010" s="380">
        <v>131548</v>
      </c>
      <c r="D1010" s="379" t="s">
        <v>1944</v>
      </c>
      <c r="E1010" s="379" t="s">
        <v>1945</v>
      </c>
    </row>
    <row r="1011" spans="1:5">
      <c r="A1011" s="379" t="s">
        <v>4904</v>
      </c>
      <c r="B1011" s="379" t="s">
        <v>2105</v>
      </c>
      <c r="C1011" s="380">
        <v>295873</v>
      </c>
      <c r="D1011" s="379" t="s">
        <v>2106</v>
      </c>
      <c r="E1011" s="379" t="s">
        <v>2107</v>
      </c>
    </row>
    <row r="1012" spans="1:5">
      <c r="A1012" s="379" t="s">
        <v>4905</v>
      </c>
      <c r="B1012" s="379" t="s">
        <v>584</v>
      </c>
      <c r="C1012" s="380">
        <v>214179</v>
      </c>
      <c r="D1012" s="379" t="s">
        <v>585</v>
      </c>
      <c r="E1012" s="379" t="s">
        <v>586</v>
      </c>
    </row>
    <row r="1013" spans="1:5">
      <c r="A1013" s="379" t="s">
        <v>4906</v>
      </c>
      <c r="B1013" s="379" t="s">
        <v>1295</v>
      </c>
      <c r="C1013" s="380">
        <v>132221</v>
      </c>
      <c r="D1013" s="379" t="s">
        <v>1296</v>
      </c>
      <c r="E1013" s="379" t="s">
        <v>1297</v>
      </c>
    </row>
    <row r="1014" spans="1:5">
      <c r="A1014" s="379" t="s">
        <v>4907</v>
      </c>
      <c r="B1014" s="379" t="s">
        <v>2988</v>
      </c>
      <c r="C1014" s="380">
        <v>190030</v>
      </c>
      <c r="D1014" s="379" t="s">
        <v>2989</v>
      </c>
      <c r="E1014" s="379" t="s">
        <v>2990</v>
      </c>
    </row>
    <row r="1015" spans="1:5">
      <c r="A1015" s="379" t="s">
        <v>4908</v>
      </c>
      <c r="B1015" s="379" t="s">
        <v>2131</v>
      </c>
      <c r="C1015" s="380">
        <v>220527</v>
      </c>
      <c r="D1015" s="379" t="s">
        <v>2132</v>
      </c>
      <c r="E1015" s="379" t="s">
        <v>2133</v>
      </c>
    </row>
    <row r="1016" spans="1:5">
      <c r="A1016" s="379" t="s">
        <v>4909</v>
      </c>
      <c r="B1016" s="379" t="s">
        <v>3254</v>
      </c>
      <c r="C1016" s="380">
        <v>209306</v>
      </c>
      <c r="D1016" s="379" t="s">
        <v>3255</v>
      </c>
      <c r="E1016" s="379" t="s">
        <v>3256</v>
      </c>
    </row>
    <row r="1017" spans="1:5">
      <c r="A1017" s="379" t="s">
        <v>4910</v>
      </c>
      <c r="B1017" s="379" t="s">
        <v>1811</v>
      </c>
      <c r="C1017" s="380">
        <v>100285</v>
      </c>
      <c r="D1017" s="379" t="s">
        <v>1812</v>
      </c>
      <c r="E1017" s="379" t="s">
        <v>1813</v>
      </c>
    </row>
    <row r="1018" spans="1:5">
      <c r="A1018" s="379" t="s">
        <v>4911</v>
      </c>
      <c r="B1018" s="379"/>
      <c r="C1018" s="380">
        <v>245147</v>
      </c>
      <c r="D1018" s="379" t="s">
        <v>2533</v>
      </c>
      <c r="E1018" s="379" t="s">
        <v>2534</v>
      </c>
    </row>
    <row r="1019" spans="1:5">
      <c r="A1019" s="379" t="s">
        <v>4912</v>
      </c>
      <c r="B1019" s="379" t="s">
        <v>3761</v>
      </c>
      <c r="C1019" s="380">
        <v>132842</v>
      </c>
      <c r="D1019" s="379" t="s">
        <v>3762</v>
      </c>
      <c r="E1019" s="379" t="s">
        <v>3763</v>
      </c>
    </row>
    <row r="1020" spans="1:5">
      <c r="A1020" s="379" t="s">
        <v>4913</v>
      </c>
      <c r="B1020" s="379" t="s">
        <v>452</v>
      </c>
      <c r="C1020" s="380">
        <v>103806</v>
      </c>
      <c r="D1020" s="379" t="s">
        <v>453</v>
      </c>
      <c r="E1020" s="379" t="s">
        <v>454</v>
      </c>
    </row>
    <row r="1021" spans="1:5">
      <c r="A1021" s="379" t="s">
        <v>4914</v>
      </c>
      <c r="B1021" s="379" t="s">
        <v>3266</v>
      </c>
      <c r="C1021" s="380">
        <v>113605</v>
      </c>
      <c r="D1021" s="379" t="s">
        <v>3267</v>
      </c>
      <c r="E1021" s="379" t="s">
        <v>3268</v>
      </c>
    </row>
    <row r="1022" spans="1:5">
      <c r="A1022" s="379" t="s">
        <v>4915</v>
      </c>
      <c r="B1022" s="379" t="s">
        <v>1877</v>
      </c>
      <c r="C1022" s="380">
        <v>207945</v>
      </c>
      <c r="D1022" s="379" t="s">
        <v>1878</v>
      </c>
      <c r="E1022" s="379" t="s">
        <v>1879</v>
      </c>
    </row>
    <row r="1023" spans="1:5">
      <c r="A1023" s="379" t="s">
        <v>4916</v>
      </c>
      <c r="B1023" s="379" t="s">
        <v>554</v>
      </c>
      <c r="C1023" s="380">
        <v>217400</v>
      </c>
      <c r="D1023" s="379" t="s">
        <v>555</v>
      </c>
      <c r="E1023" s="379" t="s">
        <v>556</v>
      </c>
    </row>
    <row r="1024" spans="1:5">
      <c r="A1024" s="379" t="s">
        <v>271</v>
      </c>
      <c r="B1024" s="379" t="s">
        <v>272</v>
      </c>
      <c r="C1024" s="380">
        <v>100112</v>
      </c>
      <c r="D1024" s="379" t="s">
        <v>273</v>
      </c>
      <c r="E1024" s="379" t="s">
        <v>274</v>
      </c>
    </row>
    <row r="1025" spans="1:5">
      <c r="A1025" s="379" t="s">
        <v>4917</v>
      </c>
      <c r="B1025" s="379" t="s">
        <v>563</v>
      </c>
      <c r="C1025" s="380">
        <v>100113</v>
      </c>
      <c r="D1025" s="379" t="s">
        <v>564</v>
      </c>
      <c r="E1025" s="379" t="s">
        <v>565</v>
      </c>
    </row>
    <row r="1026" spans="1:5">
      <c r="A1026" s="379" t="s">
        <v>4918</v>
      </c>
      <c r="B1026" s="379" t="s">
        <v>2694</v>
      </c>
      <c r="C1026" s="380">
        <v>190037</v>
      </c>
      <c r="D1026" s="379" t="s">
        <v>2695</v>
      </c>
      <c r="E1026" s="379" t="s">
        <v>2696</v>
      </c>
    </row>
    <row r="1027" spans="1:5">
      <c r="A1027" s="379" t="s">
        <v>4919</v>
      </c>
      <c r="B1027" s="379" t="s">
        <v>2222</v>
      </c>
      <c r="C1027" s="380">
        <v>113262</v>
      </c>
      <c r="D1027" s="379" t="s">
        <v>2223</v>
      </c>
      <c r="E1027" s="379" t="s">
        <v>2224</v>
      </c>
    </row>
    <row r="1028" spans="1:5">
      <c r="A1028" s="379" t="s">
        <v>4920</v>
      </c>
      <c r="B1028" s="379" t="s">
        <v>3692</v>
      </c>
      <c r="C1028" s="380">
        <v>113517</v>
      </c>
      <c r="D1028" s="379" t="s">
        <v>3693</v>
      </c>
      <c r="E1028" s="379" t="s">
        <v>3694</v>
      </c>
    </row>
    <row r="1029" spans="1:5">
      <c r="A1029" s="379" t="s">
        <v>4921</v>
      </c>
      <c r="B1029" s="379" t="s">
        <v>1588</v>
      </c>
      <c r="C1029" s="380">
        <v>295131</v>
      </c>
      <c r="D1029" s="379" t="s">
        <v>1589</v>
      </c>
      <c r="E1029" s="379" t="s">
        <v>1590</v>
      </c>
    </row>
    <row r="1030" spans="1:5">
      <c r="A1030" s="379" t="s">
        <v>4922</v>
      </c>
      <c r="B1030" s="379" t="s">
        <v>3648</v>
      </c>
      <c r="C1030" s="380">
        <v>130759</v>
      </c>
      <c r="D1030" s="379" t="s">
        <v>3649</v>
      </c>
      <c r="E1030" s="379" t="s">
        <v>3650</v>
      </c>
    </row>
    <row r="1031" spans="1:5">
      <c r="A1031" s="379" t="s">
        <v>4923</v>
      </c>
      <c r="B1031" s="379" t="s">
        <v>1165</v>
      </c>
      <c r="C1031" s="380">
        <v>132374</v>
      </c>
      <c r="D1031" s="379" t="s">
        <v>1166</v>
      </c>
      <c r="E1031" s="379" t="s">
        <v>1167</v>
      </c>
    </row>
    <row r="1032" spans="1:5">
      <c r="A1032" s="379" t="s">
        <v>4924</v>
      </c>
      <c r="B1032" s="379" t="s">
        <v>2077</v>
      </c>
      <c r="C1032" s="380">
        <v>223397</v>
      </c>
      <c r="D1032" s="379" t="s">
        <v>2078</v>
      </c>
      <c r="E1032" s="379" t="s">
        <v>2079</v>
      </c>
    </row>
    <row r="1033" spans="1:5">
      <c r="A1033" s="379" t="s">
        <v>4925</v>
      </c>
      <c r="B1033" s="379" t="s">
        <v>1817</v>
      </c>
      <c r="C1033" s="380">
        <v>132531</v>
      </c>
      <c r="D1033" s="379" t="s">
        <v>1818</v>
      </c>
      <c r="E1033" s="379" t="s">
        <v>1819</v>
      </c>
    </row>
    <row r="1034" spans="1:5">
      <c r="A1034" s="379" t="s">
        <v>4926</v>
      </c>
      <c r="B1034" s="379" t="s">
        <v>2562</v>
      </c>
      <c r="C1034" s="380">
        <v>126951</v>
      </c>
      <c r="D1034" s="379" t="s">
        <v>2563</v>
      </c>
      <c r="E1034" s="379" t="s">
        <v>2564</v>
      </c>
    </row>
    <row r="1035" spans="1:5">
      <c r="A1035" s="379" t="s">
        <v>4927</v>
      </c>
      <c r="B1035" s="379" t="s">
        <v>2114</v>
      </c>
      <c r="C1035" s="380">
        <v>132348</v>
      </c>
      <c r="D1035" s="379" t="s">
        <v>2115</v>
      </c>
      <c r="E1035" s="379" t="s">
        <v>2116</v>
      </c>
    </row>
    <row r="1036" spans="1:5">
      <c r="A1036" s="379" t="s">
        <v>4928</v>
      </c>
      <c r="B1036" s="379" t="s">
        <v>2317</v>
      </c>
      <c r="C1036" s="380">
        <v>117168</v>
      </c>
      <c r="D1036" s="379" t="s">
        <v>2318</v>
      </c>
      <c r="E1036" s="379" t="s">
        <v>2319</v>
      </c>
    </row>
    <row r="1037" spans="1:5">
      <c r="A1037" s="379" t="s">
        <v>4929</v>
      </c>
      <c r="B1037" s="379" t="s">
        <v>1859</v>
      </c>
      <c r="C1037" s="380">
        <v>106655</v>
      </c>
      <c r="D1037" s="379" t="s">
        <v>1860</v>
      </c>
      <c r="E1037" s="379" t="s">
        <v>1861</v>
      </c>
    </row>
    <row r="1038" spans="1:5">
      <c r="A1038" s="379" t="s">
        <v>4930</v>
      </c>
      <c r="B1038" s="379" t="s">
        <v>951</v>
      </c>
      <c r="C1038" s="380">
        <v>209344</v>
      </c>
      <c r="D1038" s="379" t="s">
        <v>952</v>
      </c>
      <c r="E1038" s="379" t="s">
        <v>953</v>
      </c>
    </row>
    <row r="1039" spans="1:5">
      <c r="A1039" s="379" t="s">
        <v>4931</v>
      </c>
      <c r="B1039" s="379" t="s">
        <v>3551</v>
      </c>
      <c r="C1039" s="380">
        <v>220531</v>
      </c>
      <c r="D1039" s="379" t="s">
        <v>3552</v>
      </c>
      <c r="E1039" s="379" t="s">
        <v>3553</v>
      </c>
    </row>
    <row r="1040" spans="1:5">
      <c r="A1040" s="379" t="s">
        <v>4932</v>
      </c>
      <c r="B1040" s="379" t="s">
        <v>1525</v>
      </c>
      <c r="C1040" s="380">
        <v>132872</v>
      </c>
      <c r="D1040" s="379" t="s">
        <v>1526</v>
      </c>
      <c r="E1040" s="379" t="s">
        <v>1527</v>
      </c>
    </row>
    <row r="1041" spans="1:5">
      <c r="A1041" s="379" t="s">
        <v>4933</v>
      </c>
      <c r="B1041" s="379" t="s">
        <v>317</v>
      </c>
      <c r="C1041" s="380">
        <v>124715</v>
      </c>
      <c r="D1041" s="379" t="s">
        <v>318</v>
      </c>
      <c r="E1041" s="379" t="s">
        <v>319</v>
      </c>
    </row>
    <row r="1042" spans="1:5">
      <c r="A1042" s="379" t="s">
        <v>4934</v>
      </c>
      <c r="B1042" s="379" t="s">
        <v>945</v>
      </c>
      <c r="C1042" s="380">
        <v>132733</v>
      </c>
      <c r="D1042" s="379" t="s">
        <v>946</v>
      </c>
      <c r="E1042" s="379" t="s">
        <v>947</v>
      </c>
    </row>
    <row r="1043" spans="1:5">
      <c r="A1043" s="379" t="s">
        <v>4935</v>
      </c>
      <c r="B1043" s="379" t="s">
        <v>2604</v>
      </c>
      <c r="C1043" s="380">
        <v>224898</v>
      </c>
      <c r="D1043" s="379" t="s">
        <v>2605</v>
      </c>
      <c r="E1043" s="379" t="s">
        <v>2606</v>
      </c>
    </row>
    <row r="1044" spans="1:5">
      <c r="A1044" s="379" t="s">
        <v>4936</v>
      </c>
      <c r="B1044" s="379" t="s">
        <v>828</v>
      </c>
      <c r="C1044" s="380">
        <v>190071</v>
      </c>
      <c r="D1044" s="379" t="s">
        <v>829</v>
      </c>
      <c r="E1044" s="379" t="s">
        <v>830</v>
      </c>
    </row>
    <row r="1045" spans="1:5">
      <c r="A1045" s="379" t="s">
        <v>4937</v>
      </c>
      <c r="B1045" s="379" t="s">
        <v>1406</v>
      </c>
      <c r="C1045" s="380">
        <v>120056</v>
      </c>
      <c r="D1045" s="379" t="s">
        <v>1407</v>
      </c>
      <c r="E1045" s="379" t="s">
        <v>1408</v>
      </c>
    </row>
    <row r="1046" spans="1:5">
      <c r="A1046" s="379" t="s">
        <v>4938</v>
      </c>
      <c r="B1046" s="379" t="s">
        <v>970</v>
      </c>
      <c r="C1046" s="380">
        <v>100403</v>
      </c>
      <c r="D1046" s="379" t="s">
        <v>971</v>
      </c>
      <c r="E1046" s="379" t="s">
        <v>972</v>
      </c>
    </row>
    <row r="1047" spans="1:5">
      <c r="A1047" s="379" t="s">
        <v>4939</v>
      </c>
      <c r="B1047" s="379" t="s">
        <v>2929</v>
      </c>
      <c r="C1047" s="380">
        <v>100404</v>
      </c>
      <c r="D1047" s="379" t="s">
        <v>2930</v>
      </c>
      <c r="E1047" s="379" t="s">
        <v>2931</v>
      </c>
    </row>
    <row r="1048" spans="1:5">
      <c r="A1048" s="379" t="s">
        <v>4940</v>
      </c>
      <c r="B1048" s="379" t="s">
        <v>1457</v>
      </c>
      <c r="C1048" s="380">
        <v>112179</v>
      </c>
      <c r="D1048" s="379" t="s">
        <v>1458</v>
      </c>
      <c r="E1048" s="379" t="s">
        <v>1459</v>
      </c>
    </row>
    <row r="1049" spans="1:5">
      <c r="A1049" s="379" t="s">
        <v>4941</v>
      </c>
      <c r="B1049" s="379" t="s">
        <v>1594</v>
      </c>
      <c r="C1049" s="380">
        <v>132509</v>
      </c>
      <c r="D1049" s="379" t="s">
        <v>1595</v>
      </c>
      <c r="E1049" s="379" t="s">
        <v>1596</v>
      </c>
    </row>
    <row r="1050" spans="1:5">
      <c r="A1050" s="379" t="s">
        <v>4942</v>
      </c>
      <c r="B1050" s="379" t="s">
        <v>771</v>
      </c>
      <c r="C1050" s="380">
        <v>109930</v>
      </c>
      <c r="D1050" s="379" t="s">
        <v>772</v>
      </c>
      <c r="E1050" s="379" t="s">
        <v>773</v>
      </c>
    </row>
    <row r="1051" spans="1:5">
      <c r="A1051" s="379" t="s">
        <v>4943</v>
      </c>
      <c r="B1051" s="379" t="s">
        <v>1564</v>
      </c>
      <c r="C1051" s="380">
        <v>100405</v>
      </c>
      <c r="D1051" s="379" t="s">
        <v>1565</v>
      </c>
      <c r="E1051" s="379" t="s">
        <v>1566</v>
      </c>
    </row>
    <row r="1052" spans="1:5">
      <c r="A1052" s="379" t="s">
        <v>4944</v>
      </c>
      <c r="B1052" s="379" t="s">
        <v>2074</v>
      </c>
      <c r="C1052" s="380">
        <v>227331</v>
      </c>
      <c r="D1052" s="379" t="s">
        <v>2075</v>
      </c>
      <c r="E1052" s="379" t="s">
        <v>2076</v>
      </c>
    </row>
    <row r="1053" spans="1:5">
      <c r="A1053" s="379" t="s">
        <v>4945</v>
      </c>
      <c r="B1053" s="379" t="s">
        <v>2012</v>
      </c>
      <c r="C1053" s="380">
        <v>100336</v>
      </c>
      <c r="D1053" s="379" t="s">
        <v>2013</v>
      </c>
      <c r="E1053" s="379" t="s">
        <v>2014</v>
      </c>
    </row>
    <row r="1054" spans="1:5">
      <c r="A1054" s="379" t="s">
        <v>4946</v>
      </c>
      <c r="B1054" s="379" t="s">
        <v>2688</v>
      </c>
      <c r="C1054" s="380">
        <v>272661</v>
      </c>
      <c r="D1054" s="379" t="s">
        <v>2689</v>
      </c>
      <c r="E1054" s="379" t="s">
        <v>2690</v>
      </c>
    </row>
    <row r="1055" spans="1:5">
      <c r="A1055" s="379" t="s">
        <v>4947</v>
      </c>
      <c r="B1055" s="379" t="s">
        <v>2857</v>
      </c>
      <c r="C1055" s="380">
        <v>132782</v>
      </c>
      <c r="D1055" s="379" t="s">
        <v>2858</v>
      </c>
      <c r="E1055" s="379" t="s">
        <v>2859</v>
      </c>
    </row>
    <row r="1056" spans="1:5">
      <c r="A1056" s="379" t="s">
        <v>4948</v>
      </c>
      <c r="B1056" s="379" t="s">
        <v>3360</v>
      </c>
      <c r="C1056" s="380">
        <v>288678</v>
      </c>
      <c r="D1056" s="379" t="s">
        <v>3361</v>
      </c>
      <c r="E1056" s="379" t="s">
        <v>3362</v>
      </c>
    </row>
    <row r="1057" spans="1:5">
      <c r="A1057" s="379" t="s">
        <v>4949</v>
      </c>
      <c r="B1057" s="379" t="s">
        <v>3002</v>
      </c>
      <c r="C1057" s="380">
        <v>130239</v>
      </c>
      <c r="D1057" s="379" t="s">
        <v>3003</v>
      </c>
      <c r="E1057" s="379" t="s">
        <v>3004</v>
      </c>
    </row>
    <row r="1058" spans="1:5">
      <c r="A1058" s="379" t="s">
        <v>4950</v>
      </c>
      <c r="B1058" s="379" t="s">
        <v>1129</v>
      </c>
      <c r="C1058" s="380">
        <v>297629</v>
      </c>
      <c r="D1058" s="379" t="s">
        <v>1130</v>
      </c>
      <c r="E1058" s="379" t="s">
        <v>1131</v>
      </c>
    </row>
    <row r="1059" spans="1:5">
      <c r="A1059" s="379" t="s">
        <v>4951</v>
      </c>
      <c r="B1059" s="379" t="s">
        <v>1370</v>
      </c>
      <c r="C1059" s="380">
        <v>132667</v>
      </c>
      <c r="D1059" s="379" t="s">
        <v>1371</v>
      </c>
      <c r="E1059" s="379" t="s">
        <v>1372</v>
      </c>
    </row>
    <row r="1060" spans="1:5">
      <c r="A1060" s="379" t="s">
        <v>4952</v>
      </c>
      <c r="B1060" s="379" t="s">
        <v>3242</v>
      </c>
      <c r="C1060" s="380">
        <v>105590</v>
      </c>
      <c r="D1060" s="379" t="s">
        <v>3243</v>
      </c>
      <c r="E1060" s="379" t="s">
        <v>3244</v>
      </c>
    </row>
    <row r="1061" spans="1:5">
      <c r="A1061" s="379" t="s">
        <v>4953</v>
      </c>
      <c r="B1061" s="379" t="s">
        <v>1913</v>
      </c>
      <c r="C1061" s="380">
        <v>103310</v>
      </c>
      <c r="D1061" s="379" t="s">
        <v>1914</v>
      </c>
      <c r="E1061" s="379" t="s">
        <v>1915</v>
      </c>
    </row>
    <row r="1062" spans="1:5">
      <c r="A1062" s="379" t="s">
        <v>4954</v>
      </c>
      <c r="B1062" s="379" t="s">
        <v>2490</v>
      </c>
      <c r="C1062" s="380">
        <v>100407</v>
      </c>
      <c r="D1062" s="379" t="s">
        <v>2491</v>
      </c>
      <c r="E1062" s="379" t="s">
        <v>2492</v>
      </c>
    </row>
    <row r="1063" spans="1:5">
      <c r="A1063" s="379" t="s">
        <v>4955</v>
      </c>
      <c r="B1063" s="379" t="s">
        <v>1496</v>
      </c>
      <c r="C1063" s="380">
        <v>117385</v>
      </c>
      <c r="D1063" s="379" t="s">
        <v>1497</v>
      </c>
      <c r="E1063" s="379" t="s">
        <v>1498</v>
      </c>
    </row>
    <row r="1064" spans="1:5">
      <c r="A1064" s="379" t="s">
        <v>4956</v>
      </c>
      <c r="B1064" s="379"/>
      <c r="C1064" s="380">
        <v>124470</v>
      </c>
      <c r="D1064" s="379" t="s">
        <v>3329</v>
      </c>
      <c r="E1064" s="379" t="s">
        <v>3330</v>
      </c>
    </row>
    <row r="1065" spans="1:5">
      <c r="A1065" s="379" t="s">
        <v>4957</v>
      </c>
      <c r="B1065" s="379" t="s">
        <v>840</v>
      </c>
      <c r="C1065" s="380">
        <v>209373</v>
      </c>
      <c r="D1065" s="379" t="s">
        <v>841</v>
      </c>
      <c r="E1065" s="379" t="s">
        <v>842</v>
      </c>
    </row>
    <row r="1066" spans="1:5">
      <c r="A1066" s="379" t="s">
        <v>4958</v>
      </c>
      <c r="B1066" s="379"/>
      <c r="C1066" s="380">
        <v>126506</v>
      </c>
      <c r="D1066" s="379" t="s">
        <v>3864</v>
      </c>
      <c r="E1066" s="379" t="s">
        <v>3865</v>
      </c>
    </row>
    <row r="1067" spans="1:5">
      <c r="A1067" s="379" t="s">
        <v>4959</v>
      </c>
      <c r="B1067" s="379"/>
      <c r="C1067" s="380">
        <v>281896</v>
      </c>
      <c r="D1067" s="379" t="s">
        <v>3737</v>
      </c>
      <c r="E1067" s="379" t="s">
        <v>3738</v>
      </c>
    </row>
    <row r="1068" spans="1:5">
      <c r="A1068" s="379" t="s">
        <v>4960</v>
      </c>
      <c r="B1068" s="379" t="s">
        <v>3436</v>
      </c>
      <c r="C1068" s="380">
        <v>132390</v>
      </c>
      <c r="D1068" s="379" t="s">
        <v>3437</v>
      </c>
      <c r="E1068" s="379" t="s">
        <v>3438</v>
      </c>
    </row>
    <row r="1069" spans="1:5">
      <c r="A1069" s="379" t="s">
        <v>4961</v>
      </c>
      <c r="B1069" s="379" t="s">
        <v>3573</v>
      </c>
      <c r="C1069" s="380">
        <v>132890</v>
      </c>
      <c r="D1069" s="379" t="s">
        <v>3574</v>
      </c>
      <c r="E1069" s="379" t="s">
        <v>3575</v>
      </c>
    </row>
    <row r="1070" spans="1:5">
      <c r="A1070" s="379" t="s">
        <v>4962</v>
      </c>
      <c r="B1070" s="379" t="s">
        <v>3372</v>
      </c>
      <c r="C1070" s="380">
        <v>131426</v>
      </c>
      <c r="D1070" s="379" t="s">
        <v>3373</v>
      </c>
      <c r="E1070" s="379" t="s">
        <v>3374</v>
      </c>
    </row>
    <row r="1071" spans="1:5">
      <c r="A1071" s="379" t="s">
        <v>4963</v>
      </c>
      <c r="B1071" s="379" t="s">
        <v>3231</v>
      </c>
      <c r="C1071" s="380">
        <v>100777</v>
      </c>
      <c r="D1071" s="379" t="s">
        <v>3232</v>
      </c>
      <c r="E1071" s="379" t="s">
        <v>3233</v>
      </c>
    </row>
    <row r="1072" spans="1:5">
      <c r="A1072" s="379" t="s">
        <v>4964</v>
      </c>
      <c r="B1072" s="379" t="s">
        <v>3758</v>
      </c>
      <c r="C1072" s="380">
        <v>106854</v>
      </c>
      <c r="D1072" s="379" t="s">
        <v>3759</v>
      </c>
      <c r="E1072" s="379" t="s">
        <v>3760</v>
      </c>
    </row>
    <row r="1073" spans="1:5">
      <c r="A1073" s="379" t="s">
        <v>4965</v>
      </c>
      <c r="B1073" s="379" t="s">
        <v>834</v>
      </c>
      <c r="C1073" s="380">
        <v>132790</v>
      </c>
      <c r="D1073" s="379" t="s">
        <v>835</v>
      </c>
      <c r="E1073" s="379" t="s">
        <v>836</v>
      </c>
    </row>
    <row r="1074" spans="1:5">
      <c r="A1074" s="379" t="s">
        <v>4966</v>
      </c>
      <c r="B1074" s="379" t="s">
        <v>2801</v>
      </c>
      <c r="C1074" s="380">
        <v>300790</v>
      </c>
      <c r="D1074" s="379" t="s">
        <v>2802</v>
      </c>
      <c r="E1074" s="379" t="s">
        <v>2803</v>
      </c>
    </row>
    <row r="1075" spans="1:5">
      <c r="A1075" s="379" t="s">
        <v>4967</v>
      </c>
      <c r="B1075" s="379" t="s">
        <v>1983</v>
      </c>
      <c r="C1075" s="380">
        <v>217015</v>
      </c>
      <c r="D1075" s="379" t="s">
        <v>1984</v>
      </c>
      <c r="E1075" s="379" t="s">
        <v>1985</v>
      </c>
    </row>
    <row r="1076" spans="1:5">
      <c r="A1076" s="379" t="s">
        <v>4968</v>
      </c>
      <c r="B1076" s="379" t="s">
        <v>2018</v>
      </c>
      <c r="C1076" s="380">
        <v>119091</v>
      </c>
      <c r="D1076" s="379" t="s">
        <v>2019</v>
      </c>
      <c r="E1076" s="379" t="s">
        <v>2020</v>
      </c>
    </row>
    <row r="1077" spans="1:5">
      <c r="A1077" s="379" t="s">
        <v>4969</v>
      </c>
      <c r="B1077" s="379" t="s">
        <v>856</v>
      </c>
      <c r="C1077" s="380">
        <v>100770</v>
      </c>
      <c r="D1077" s="379" t="s">
        <v>857</v>
      </c>
      <c r="E1077" s="379" t="s">
        <v>858</v>
      </c>
    </row>
    <row r="1078" spans="1:5">
      <c r="A1078" s="379" t="s">
        <v>4970</v>
      </c>
      <c r="B1078" s="379" t="s">
        <v>1844</v>
      </c>
      <c r="C1078" s="380">
        <v>132301</v>
      </c>
      <c r="D1078" s="379" t="s">
        <v>1845</v>
      </c>
      <c r="E1078" s="379" t="s">
        <v>1846</v>
      </c>
    </row>
    <row r="1079" spans="1:5">
      <c r="A1079" s="379" t="s">
        <v>4971</v>
      </c>
      <c r="B1079" s="379" t="s">
        <v>634</v>
      </c>
      <c r="C1079" s="380">
        <v>100483</v>
      </c>
      <c r="D1079" s="379" t="s">
        <v>635</v>
      </c>
      <c r="E1079" s="379" t="s">
        <v>636</v>
      </c>
    </row>
    <row r="1080" spans="1:5">
      <c r="A1080" s="379" t="s">
        <v>4972</v>
      </c>
      <c r="B1080" s="379" t="s">
        <v>250</v>
      </c>
      <c r="C1080" s="380">
        <v>132540</v>
      </c>
      <c r="D1080" s="379" t="s">
        <v>251</v>
      </c>
      <c r="E1080" s="379" t="s">
        <v>252</v>
      </c>
    </row>
    <row r="1081" spans="1:5">
      <c r="A1081" s="379" t="s">
        <v>4973</v>
      </c>
      <c r="B1081" s="379" t="s">
        <v>476</v>
      </c>
      <c r="C1081" s="380">
        <v>100800</v>
      </c>
      <c r="D1081" s="379" t="s">
        <v>477</v>
      </c>
      <c r="E1081" s="379" t="s">
        <v>478</v>
      </c>
    </row>
    <row r="1082" spans="1:5">
      <c r="A1082" s="379" t="s">
        <v>4974</v>
      </c>
      <c r="B1082" s="379" t="s">
        <v>683</v>
      </c>
      <c r="C1082" s="380">
        <v>100408</v>
      </c>
      <c r="D1082" s="379" t="s">
        <v>684</v>
      </c>
      <c r="E1082" s="379" t="s">
        <v>685</v>
      </c>
    </row>
    <row r="1083" spans="1:5">
      <c r="A1083" s="379" t="s">
        <v>4975</v>
      </c>
      <c r="B1083" s="379" t="s">
        <v>1502</v>
      </c>
      <c r="C1083" s="380">
        <v>101301</v>
      </c>
      <c r="D1083" s="379" t="s">
        <v>1503</v>
      </c>
      <c r="E1083" s="379" t="s">
        <v>1504</v>
      </c>
    </row>
    <row r="1084" spans="1:5">
      <c r="A1084" s="379" t="s">
        <v>4976</v>
      </c>
      <c r="B1084" s="379" t="s">
        <v>2210</v>
      </c>
      <c r="C1084" s="380">
        <v>113434</v>
      </c>
      <c r="D1084" s="379" t="s">
        <v>2211</v>
      </c>
      <c r="E1084" s="379" t="s">
        <v>2212</v>
      </c>
    </row>
    <row r="1085" spans="1:5">
      <c r="A1085" s="379" t="s">
        <v>4977</v>
      </c>
      <c r="B1085" s="379" t="s">
        <v>338</v>
      </c>
      <c r="C1085" s="380">
        <v>100570</v>
      </c>
      <c r="D1085" s="379" t="s">
        <v>339</v>
      </c>
      <c r="E1085" s="379" t="s">
        <v>340</v>
      </c>
    </row>
    <row r="1086" spans="1:5">
      <c r="A1086" s="379" t="s">
        <v>4978</v>
      </c>
      <c r="B1086" s="379" t="s">
        <v>455</v>
      </c>
      <c r="C1086" s="380">
        <v>100400</v>
      </c>
      <c r="D1086" s="379" t="s">
        <v>456</v>
      </c>
      <c r="E1086" s="379" t="s">
        <v>457</v>
      </c>
    </row>
    <row r="1087" spans="1:5">
      <c r="A1087" s="379" t="s">
        <v>4979</v>
      </c>
      <c r="B1087" s="379" t="s">
        <v>2027</v>
      </c>
      <c r="C1087" s="380">
        <v>113010</v>
      </c>
      <c r="D1087" s="379" t="s">
        <v>2028</v>
      </c>
      <c r="E1087" s="379" t="s">
        <v>2029</v>
      </c>
    </row>
    <row r="1088" spans="1:5">
      <c r="A1088" s="379" t="s">
        <v>4980</v>
      </c>
      <c r="B1088" s="379" t="s">
        <v>350</v>
      </c>
      <c r="C1088" s="380">
        <v>100470</v>
      </c>
      <c r="D1088" s="379" t="s">
        <v>351</v>
      </c>
      <c r="E1088" s="379" t="s">
        <v>352</v>
      </c>
    </row>
    <row r="1089" spans="1:5">
      <c r="A1089" s="379" t="s">
        <v>4981</v>
      </c>
      <c r="B1089" s="379" t="s">
        <v>677</v>
      </c>
      <c r="C1089" s="380">
        <v>132371</v>
      </c>
      <c r="D1089" s="379" t="s">
        <v>678</v>
      </c>
      <c r="E1089" s="379" t="s">
        <v>679</v>
      </c>
    </row>
    <row r="1090" spans="1:5">
      <c r="A1090" s="379" t="s">
        <v>4982</v>
      </c>
      <c r="B1090" s="379" t="s">
        <v>1629</v>
      </c>
      <c r="C1090" s="380">
        <v>223112</v>
      </c>
      <c r="D1090" s="379" t="s">
        <v>1630</v>
      </c>
      <c r="E1090" s="379" t="s">
        <v>1631</v>
      </c>
    </row>
    <row r="1091" spans="1:5">
      <c r="A1091" s="379" t="s">
        <v>4983</v>
      </c>
      <c r="B1091" s="379" t="s">
        <v>1361</v>
      </c>
      <c r="C1091" s="380">
        <v>225998</v>
      </c>
      <c r="D1091" s="379" t="s">
        <v>1362</v>
      </c>
      <c r="E1091" s="379" t="s">
        <v>1363</v>
      </c>
    </row>
    <row r="1092" spans="1:5">
      <c r="A1092" s="379" t="s">
        <v>4984</v>
      </c>
      <c r="B1092" s="379" t="s">
        <v>1688</v>
      </c>
      <c r="C1092" s="380">
        <v>209425</v>
      </c>
      <c r="D1092" s="379" t="s">
        <v>1689</v>
      </c>
      <c r="E1092" s="379" t="s">
        <v>1690</v>
      </c>
    </row>
    <row r="1093" spans="1:5">
      <c r="A1093" s="379" t="s">
        <v>4985</v>
      </c>
      <c r="B1093" s="379" t="s">
        <v>2920</v>
      </c>
      <c r="C1093" s="380">
        <v>223658</v>
      </c>
      <c r="D1093" s="379" t="s">
        <v>2921</v>
      </c>
      <c r="E1093" s="379" t="s">
        <v>2922</v>
      </c>
    </row>
    <row r="1094" spans="1:5">
      <c r="A1094" s="379" t="s">
        <v>4986</v>
      </c>
      <c r="B1094" s="379" t="s">
        <v>1552</v>
      </c>
      <c r="C1094" s="380">
        <v>221194</v>
      </c>
      <c r="D1094" s="379" t="s">
        <v>1553</v>
      </c>
      <c r="E1094" s="379" t="s">
        <v>1554</v>
      </c>
    </row>
    <row r="1095" spans="1:5">
      <c r="A1095" s="379" t="s">
        <v>4987</v>
      </c>
      <c r="B1095" s="379" t="s">
        <v>335</v>
      </c>
      <c r="C1095" s="380">
        <v>132755</v>
      </c>
      <c r="D1095" s="379" t="s">
        <v>336</v>
      </c>
      <c r="E1095" s="379" t="s">
        <v>337</v>
      </c>
    </row>
    <row r="1096" spans="1:5">
      <c r="A1096" s="379" t="s">
        <v>4988</v>
      </c>
      <c r="B1096" s="379" t="s">
        <v>2219</v>
      </c>
      <c r="C1096" s="380">
        <v>220869</v>
      </c>
      <c r="D1096" s="379" t="s">
        <v>2220</v>
      </c>
      <c r="E1096" s="379" t="s">
        <v>2221</v>
      </c>
    </row>
    <row r="1097" spans="1:5">
      <c r="A1097" s="379" t="s">
        <v>4989</v>
      </c>
      <c r="B1097" s="379" t="s">
        <v>2481</v>
      </c>
      <c r="C1097" s="380">
        <v>132804</v>
      </c>
      <c r="D1097" s="379" t="s">
        <v>2482</v>
      </c>
      <c r="E1097" s="379" t="s">
        <v>2483</v>
      </c>
    </row>
    <row r="1098" spans="1:5">
      <c r="A1098" s="379" t="s">
        <v>4990</v>
      </c>
      <c r="B1098" s="379" t="s">
        <v>1754</v>
      </c>
      <c r="C1098" s="380">
        <v>255331</v>
      </c>
      <c r="D1098" s="379" t="s">
        <v>1755</v>
      </c>
      <c r="E1098" s="379" t="s">
        <v>1756</v>
      </c>
    </row>
    <row r="1099" spans="1:5">
      <c r="A1099" s="379" t="s">
        <v>4991</v>
      </c>
      <c r="B1099" s="379" t="s">
        <v>1706</v>
      </c>
      <c r="C1099" s="380">
        <v>210859</v>
      </c>
      <c r="D1099" s="379" t="s">
        <v>1707</v>
      </c>
      <c r="E1099" s="379" t="s">
        <v>1708</v>
      </c>
    </row>
    <row r="1100" spans="1:5">
      <c r="A1100" s="379" t="s">
        <v>4992</v>
      </c>
      <c r="B1100" s="379" t="s">
        <v>3288</v>
      </c>
      <c r="C1100" s="380">
        <v>105400</v>
      </c>
      <c r="D1100" s="379" t="s">
        <v>3289</v>
      </c>
      <c r="E1100" s="379" t="s">
        <v>3290</v>
      </c>
    </row>
    <row r="1101" spans="1:5">
      <c r="A1101" s="379" t="s">
        <v>4993</v>
      </c>
      <c r="B1101" s="379" t="s">
        <v>3175</v>
      </c>
      <c r="C1101" s="380">
        <v>222822</v>
      </c>
      <c r="D1101" s="379" t="s">
        <v>3176</v>
      </c>
      <c r="E1101" s="379" t="s">
        <v>3177</v>
      </c>
    </row>
    <row r="1102" spans="1:5">
      <c r="A1102" s="379" t="s">
        <v>4994</v>
      </c>
      <c r="B1102" s="379" t="s">
        <v>3886</v>
      </c>
      <c r="C1102" s="380">
        <v>107753</v>
      </c>
      <c r="D1102" s="379" t="s">
        <v>3887</v>
      </c>
      <c r="E1102" s="379" t="s">
        <v>3888</v>
      </c>
    </row>
    <row r="1103" spans="1:5">
      <c r="A1103" s="379" t="s">
        <v>4995</v>
      </c>
      <c r="B1103" s="379" t="s">
        <v>2550</v>
      </c>
      <c r="C1103" s="380">
        <v>219236</v>
      </c>
      <c r="D1103" s="379" t="s">
        <v>2551</v>
      </c>
      <c r="E1103" s="379" t="s">
        <v>2552</v>
      </c>
    </row>
    <row r="1104" spans="1:5">
      <c r="A1104" s="379" t="s">
        <v>4996</v>
      </c>
      <c r="B1104" s="379" t="s">
        <v>2530</v>
      </c>
      <c r="C1104" s="380">
        <v>190062</v>
      </c>
      <c r="D1104" s="379" t="s">
        <v>2531</v>
      </c>
      <c r="E1104" s="379" t="s">
        <v>2532</v>
      </c>
    </row>
    <row r="1105" spans="1:5">
      <c r="A1105" s="379" t="s">
        <v>4997</v>
      </c>
      <c r="B1105" s="379" t="s">
        <v>3157</v>
      </c>
      <c r="C1105" s="380">
        <v>293664</v>
      </c>
      <c r="D1105" s="379" t="s">
        <v>3158</v>
      </c>
      <c r="E1105" s="379" t="s">
        <v>3159</v>
      </c>
    </row>
    <row r="1106" spans="1:5">
      <c r="A1106" s="379" t="s">
        <v>4998</v>
      </c>
      <c r="B1106" s="379" t="s">
        <v>995</v>
      </c>
      <c r="C1106" s="380">
        <v>100469</v>
      </c>
      <c r="D1106" s="379" t="s">
        <v>996</v>
      </c>
      <c r="E1106" s="379" t="s">
        <v>997</v>
      </c>
    </row>
    <row r="1107" spans="1:5">
      <c r="A1107" s="379" t="s">
        <v>4999</v>
      </c>
      <c r="B1107" s="379" t="s">
        <v>1403</v>
      </c>
      <c r="C1107" s="380">
        <v>190024</v>
      </c>
      <c r="D1107" s="379" t="s">
        <v>1404</v>
      </c>
      <c r="E1107" s="379" t="s">
        <v>1405</v>
      </c>
    </row>
    <row r="1108" spans="1:5">
      <c r="A1108" s="379" t="s">
        <v>5000</v>
      </c>
      <c r="B1108" s="379" t="s">
        <v>1775</v>
      </c>
      <c r="C1108" s="380">
        <v>100620</v>
      </c>
      <c r="D1108" s="379" t="s">
        <v>1776</v>
      </c>
      <c r="E1108" s="379" t="s">
        <v>1777</v>
      </c>
    </row>
    <row r="1109" spans="1:5">
      <c r="A1109" s="379" t="s">
        <v>5001</v>
      </c>
      <c r="B1109" s="379" t="s">
        <v>1597</v>
      </c>
      <c r="C1109" s="380">
        <v>130005</v>
      </c>
      <c r="D1109" s="379" t="s">
        <v>1598</v>
      </c>
      <c r="E1109" s="379" t="s">
        <v>1599</v>
      </c>
    </row>
    <row r="1110" spans="1:5">
      <c r="A1110" s="379" t="s">
        <v>5002</v>
      </c>
      <c r="B1110" s="379" t="s">
        <v>837</v>
      </c>
      <c r="C1110" s="380">
        <v>100850</v>
      </c>
      <c r="D1110" s="379" t="s">
        <v>838</v>
      </c>
      <c r="E1110" s="379" t="s">
        <v>839</v>
      </c>
    </row>
    <row r="1111" spans="1:5">
      <c r="A1111" s="379" t="s">
        <v>5003</v>
      </c>
      <c r="B1111" s="379" t="s">
        <v>3869</v>
      </c>
      <c r="C1111" s="380">
        <v>130023</v>
      </c>
      <c r="D1111" s="379" t="s">
        <v>3870</v>
      </c>
      <c r="E1111" s="379" t="s">
        <v>3871</v>
      </c>
    </row>
    <row r="1112" spans="1:5">
      <c r="A1112" s="379" t="s">
        <v>5004</v>
      </c>
      <c r="B1112" s="379" t="s">
        <v>2003</v>
      </c>
      <c r="C1112" s="380">
        <v>132209</v>
      </c>
      <c r="D1112" s="379" t="s">
        <v>2004</v>
      </c>
      <c r="E1112" s="379" t="s">
        <v>2005</v>
      </c>
    </row>
    <row r="1113" spans="1:5">
      <c r="A1113" s="379" t="s">
        <v>5005</v>
      </c>
      <c r="B1113" s="379" t="s">
        <v>2518</v>
      </c>
      <c r="C1113" s="380">
        <v>132652</v>
      </c>
      <c r="D1113" s="379" t="s">
        <v>2519</v>
      </c>
      <c r="E1113" s="379" t="s">
        <v>2520</v>
      </c>
    </row>
    <row r="1114" spans="1:5">
      <c r="A1114" s="379" t="s">
        <v>5006</v>
      </c>
      <c r="B1114" s="379" t="s">
        <v>868</v>
      </c>
      <c r="C1114" s="380">
        <v>217385</v>
      </c>
      <c r="D1114" s="379" t="s">
        <v>869</v>
      </c>
      <c r="E1114" s="379" t="s">
        <v>870</v>
      </c>
    </row>
    <row r="1115" spans="1:5">
      <c r="A1115" s="379" t="s">
        <v>5007</v>
      </c>
      <c r="B1115" s="379" t="s">
        <v>2821</v>
      </c>
      <c r="C1115" s="380">
        <v>205704</v>
      </c>
      <c r="D1115" s="379" t="s">
        <v>2822</v>
      </c>
      <c r="E1115" s="379" t="s">
        <v>2823</v>
      </c>
    </row>
    <row r="1116" spans="1:5">
      <c r="A1116" s="379" t="s">
        <v>5008</v>
      </c>
      <c r="B1116" s="379" t="s">
        <v>979</v>
      </c>
      <c r="C1116" s="380">
        <v>103100</v>
      </c>
      <c r="D1116" s="379" t="s">
        <v>980</v>
      </c>
      <c r="E1116" s="379" t="s">
        <v>981</v>
      </c>
    </row>
    <row r="1117" spans="1:5">
      <c r="A1117" s="379" t="s">
        <v>5009</v>
      </c>
      <c r="B1117" s="379" t="s">
        <v>847</v>
      </c>
      <c r="C1117" s="380">
        <v>100260</v>
      </c>
      <c r="D1117" s="379" t="s">
        <v>848</v>
      </c>
      <c r="E1117" s="379" t="s">
        <v>849</v>
      </c>
    </row>
    <row r="1118" spans="1:5">
      <c r="A1118" s="379" t="s">
        <v>5010</v>
      </c>
      <c r="B1118" s="379" t="s">
        <v>3772</v>
      </c>
      <c r="C1118" s="380">
        <v>126725</v>
      </c>
      <c r="D1118" s="379" t="s">
        <v>3773</v>
      </c>
      <c r="E1118" s="379" t="s">
        <v>3774</v>
      </c>
    </row>
    <row r="1119" spans="1:5">
      <c r="A1119" s="379" t="s">
        <v>5011</v>
      </c>
      <c r="B1119" s="379" t="s">
        <v>2538</v>
      </c>
      <c r="C1119" s="380">
        <v>132218</v>
      </c>
      <c r="D1119" s="379" t="s">
        <v>2539</v>
      </c>
      <c r="E1119" s="379" t="s">
        <v>2540</v>
      </c>
    </row>
    <row r="1120" spans="1:5">
      <c r="A1120" s="379" t="s">
        <v>5012</v>
      </c>
      <c r="B1120" s="379" t="s">
        <v>3636</v>
      </c>
      <c r="C1120" s="380">
        <v>112531</v>
      </c>
      <c r="D1120" s="379" t="s">
        <v>3637</v>
      </c>
      <c r="E1120" s="379" t="s">
        <v>3638</v>
      </c>
    </row>
    <row r="1121" spans="1:5">
      <c r="A1121" s="379" t="s">
        <v>5013</v>
      </c>
      <c r="B1121" s="379" t="s">
        <v>2958</v>
      </c>
      <c r="C1121" s="380">
        <v>238007</v>
      </c>
      <c r="D1121" s="379" t="s">
        <v>2959</v>
      </c>
      <c r="E1121" s="379" t="s">
        <v>2960</v>
      </c>
    </row>
    <row r="1122" spans="1:5">
      <c r="A1122" s="379" t="s">
        <v>5014</v>
      </c>
      <c r="B1122" s="379" t="s">
        <v>3336</v>
      </c>
      <c r="C1122" s="380">
        <v>130199</v>
      </c>
      <c r="D1122" s="379" t="s">
        <v>3337</v>
      </c>
      <c r="E1122" s="379" t="s">
        <v>3338</v>
      </c>
    </row>
    <row r="1123" spans="1:5">
      <c r="A1123" s="379" t="s">
        <v>5015</v>
      </c>
      <c r="B1123" s="379" t="s">
        <v>901</v>
      </c>
      <c r="C1123" s="380">
        <v>100411</v>
      </c>
      <c r="D1123" s="379" t="s">
        <v>902</v>
      </c>
      <c r="E1123" s="379" t="s">
        <v>903</v>
      </c>
    </row>
    <row r="1124" spans="1:5">
      <c r="A1124" s="379" t="s">
        <v>5016</v>
      </c>
      <c r="B1124" s="379" t="s">
        <v>2311</v>
      </c>
      <c r="C1124" s="380">
        <v>100412</v>
      </c>
      <c r="D1124" s="379" t="s">
        <v>2312</v>
      </c>
      <c r="E1124" s="379" t="s">
        <v>2313</v>
      </c>
    </row>
    <row r="1125" spans="1:5">
      <c r="A1125" s="379" t="s">
        <v>5017</v>
      </c>
      <c r="B1125" s="379" t="s">
        <v>2346</v>
      </c>
      <c r="C1125" s="380">
        <v>100413</v>
      </c>
      <c r="D1125" s="379" t="s">
        <v>2347</v>
      </c>
      <c r="E1125" s="379" t="s">
        <v>2348</v>
      </c>
    </row>
    <row r="1126" spans="1:5">
      <c r="A1126" s="379" t="s">
        <v>5018</v>
      </c>
      <c r="B1126" s="379" t="s">
        <v>1649</v>
      </c>
      <c r="C1126" s="380">
        <v>218764</v>
      </c>
      <c r="D1126" s="379" t="s">
        <v>1650</v>
      </c>
      <c r="E1126" s="379" t="s">
        <v>1651</v>
      </c>
    </row>
    <row r="1127" spans="1:5">
      <c r="A1127" s="379" t="s">
        <v>5019</v>
      </c>
      <c r="B1127" s="379" t="s">
        <v>2234</v>
      </c>
      <c r="C1127" s="380">
        <v>190005</v>
      </c>
      <c r="D1127" s="379" t="s">
        <v>2235</v>
      </c>
      <c r="E1127" s="379" t="s">
        <v>2236</v>
      </c>
    </row>
    <row r="1128" spans="1:5">
      <c r="A1128" s="379" t="s">
        <v>5020</v>
      </c>
      <c r="B1128" s="379" t="s">
        <v>2848</v>
      </c>
      <c r="C1128" s="380">
        <v>107205</v>
      </c>
      <c r="D1128" s="379" t="s">
        <v>2849</v>
      </c>
      <c r="E1128" s="379" t="s">
        <v>2850</v>
      </c>
    </row>
    <row r="1129" spans="1:5">
      <c r="A1129" s="379" t="s">
        <v>5021</v>
      </c>
      <c r="B1129" s="379" t="s">
        <v>2638</v>
      </c>
      <c r="C1129" s="380">
        <v>132856</v>
      </c>
      <c r="D1129" s="379" t="s">
        <v>2639</v>
      </c>
      <c r="E1129" s="379" t="s">
        <v>2640</v>
      </c>
    </row>
    <row r="1130" spans="1:5">
      <c r="A1130" s="379" t="s">
        <v>5022</v>
      </c>
      <c r="B1130" s="379" t="s">
        <v>3318</v>
      </c>
      <c r="C1130" s="380">
        <v>100414</v>
      </c>
      <c r="D1130" s="379" t="s">
        <v>3319</v>
      </c>
      <c r="E1130" s="379" t="s">
        <v>3320</v>
      </c>
    </row>
    <row r="1131" spans="1:5">
      <c r="A1131" s="379" t="s">
        <v>5023</v>
      </c>
      <c r="B1131" s="379" t="s">
        <v>1044</v>
      </c>
      <c r="C1131" s="380">
        <v>122113</v>
      </c>
      <c r="D1131" s="379" t="s">
        <v>1045</v>
      </c>
      <c r="E1131" s="379" t="s">
        <v>1046</v>
      </c>
    </row>
    <row r="1132" spans="1:5">
      <c r="A1132" s="379" t="s">
        <v>5024</v>
      </c>
      <c r="B1132" s="379" t="s">
        <v>2148</v>
      </c>
      <c r="C1132" s="380">
        <v>104966</v>
      </c>
      <c r="D1132" s="379" t="s">
        <v>2149</v>
      </c>
      <c r="E1132" s="379" t="s">
        <v>2150</v>
      </c>
    </row>
    <row r="1133" spans="1:5">
      <c r="A1133" s="379" t="s">
        <v>5025</v>
      </c>
      <c r="B1133" s="379" t="s">
        <v>2341</v>
      </c>
      <c r="C1133" s="380">
        <v>132375</v>
      </c>
      <c r="D1133" s="379" t="s">
        <v>2342</v>
      </c>
      <c r="E1133" s="379" t="s">
        <v>2343</v>
      </c>
    </row>
    <row r="1134" spans="1:5">
      <c r="A1134" s="379" t="s">
        <v>5026</v>
      </c>
      <c r="B1134" s="379" t="s">
        <v>3081</v>
      </c>
      <c r="C1134" s="380">
        <v>200115</v>
      </c>
      <c r="D1134" s="379" t="s">
        <v>3082</v>
      </c>
      <c r="E1134" s="379" t="s">
        <v>3083</v>
      </c>
    </row>
    <row r="1135" spans="1:5">
      <c r="A1135" s="379" t="s">
        <v>5027</v>
      </c>
      <c r="B1135" s="379" t="s">
        <v>311</v>
      </c>
      <c r="C1135" s="380">
        <v>100114</v>
      </c>
      <c r="D1135" s="379" t="s">
        <v>312</v>
      </c>
      <c r="E1135" s="379" t="s">
        <v>313</v>
      </c>
    </row>
    <row r="1136" spans="1:5">
      <c r="A1136" s="379" t="s">
        <v>5028</v>
      </c>
      <c r="B1136" s="379" t="s">
        <v>518</v>
      </c>
      <c r="C1136" s="380">
        <v>100420</v>
      </c>
      <c r="D1136" s="379" t="s">
        <v>519</v>
      </c>
      <c r="E1136" s="379" t="s">
        <v>520</v>
      </c>
    </row>
    <row r="1137" spans="1:5">
      <c r="A1137" s="379" t="s">
        <v>5029</v>
      </c>
      <c r="B1137" s="379" t="s">
        <v>798</v>
      </c>
      <c r="C1137" s="380">
        <v>132779</v>
      </c>
      <c r="D1137" s="379" t="s">
        <v>799</v>
      </c>
      <c r="E1137" s="379" t="s">
        <v>800</v>
      </c>
    </row>
    <row r="1138" spans="1:5">
      <c r="A1138" s="379" t="s">
        <v>5030</v>
      </c>
      <c r="B1138" s="379" t="s">
        <v>3840</v>
      </c>
      <c r="C1138" s="380">
        <v>126650</v>
      </c>
      <c r="D1138" s="379" t="s">
        <v>3841</v>
      </c>
      <c r="E1138" s="379" t="s">
        <v>3842</v>
      </c>
    </row>
    <row r="1139" spans="1:5">
      <c r="A1139" s="379" t="s">
        <v>5031</v>
      </c>
      <c r="B1139" s="379" t="s">
        <v>2976</v>
      </c>
      <c r="C1139" s="380">
        <v>106687</v>
      </c>
      <c r="D1139" s="379" t="s">
        <v>2977</v>
      </c>
      <c r="E1139" s="379" t="s">
        <v>2978</v>
      </c>
    </row>
    <row r="1140" spans="1:5">
      <c r="A1140" s="379" t="s">
        <v>5032</v>
      </c>
      <c r="B1140" s="379" t="s">
        <v>1632</v>
      </c>
      <c r="C1140" s="380">
        <v>132349</v>
      </c>
      <c r="D1140" s="379" t="s">
        <v>1633</v>
      </c>
      <c r="E1140" s="379" t="s">
        <v>1634</v>
      </c>
    </row>
    <row r="1141" spans="1:5">
      <c r="A1141" s="379" t="s">
        <v>5033</v>
      </c>
      <c r="B1141" s="379" t="s">
        <v>656</v>
      </c>
      <c r="C1141" s="380">
        <v>100251</v>
      </c>
      <c r="D1141" s="379" t="s">
        <v>657</v>
      </c>
      <c r="E1141" s="379" t="s">
        <v>658</v>
      </c>
    </row>
    <row r="1142" spans="1:5">
      <c r="A1142" s="379" t="s">
        <v>5034</v>
      </c>
      <c r="B1142" s="379" t="s">
        <v>3872</v>
      </c>
      <c r="C1142" s="380">
        <v>223359</v>
      </c>
      <c r="D1142" s="379" t="s">
        <v>3873</v>
      </c>
      <c r="E1142" s="379" t="s">
        <v>3874</v>
      </c>
    </row>
    <row r="1143" spans="1:5">
      <c r="A1143" s="379" t="s">
        <v>5035</v>
      </c>
      <c r="B1143" s="379" t="s">
        <v>780</v>
      </c>
      <c r="C1143" s="380">
        <v>121064</v>
      </c>
      <c r="D1143" s="379" t="s">
        <v>781</v>
      </c>
      <c r="E1143" s="379" t="s">
        <v>782</v>
      </c>
    </row>
    <row r="1144" spans="1:5">
      <c r="A1144" s="379" t="s">
        <v>5036</v>
      </c>
      <c r="B1144" s="379" t="s">
        <v>1652</v>
      </c>
      <c r="C1144" s="380">
        <v>132356</v>
      </c>
      <c r="D1144" s="379" t="s">
        <v>1653</v>
      </c>
      <c r="E1144" s="379" t="s">
        <v>1654</v>
      </c>
    </row>
    <row r="1145" spans="1:5">
      <c r="A1145" s="379" t="s">
        <v>5037</v>
      </c>
      <c r="B1145" s="379" t="s">
        <v>1617</v>
      </c>
      <c r="C1145" s="380">
        <v>226076</v>
      </c>
      <c r="D1145" s="379" t="s">
        <v>1618</v>
      </c>
      <c r="E1145" s="379" t="s">
        <v>1619</v>
      </c>
    </row>
    <row r="1146" spans="1:5">
      <c r="A1146" s="379" t="s">
        <v>5038</v>
      </c>
      <c r="B1146" s="379" t="s">
        <v>3181</v>
      </c>
      <c r="C1146" s="380">
        <v>107747</v>
      </c>
      <c r="D1146" s="379" t="s">
        <v>3182</v>
      </c>
      <c r="E1146" s="379" t="s">
        <v>3183</v>
      </c>
    </row>
    <row r="1147" spans="1:5">
      <c r="A1147" s="379" t="s">
        <v>5039</v>
      </c>
      <c r="B1147" s="379" t="s">
        <v>1089</v>
      </c>
      <c r="C1147" s="380">
        <v>117506</v>
      </c>
      <c r="D1147" s="379" t="s">
        <v>1090</v>
      </c>
      <c r="E1147" s="379" t="s">
        <v>1091</v>
      </c>
    </row>
    <row r="1148" spans="1:5">
      <c r="A1148" s="379" t="s">
        <v>5040</v>
      </c>
      <c r="B1148" s="379" t="s">
        <v>695</v>
      </c>
      <c r="C1148" s="380">
        <v>269404</v>
      </c>
      <c r="D1148" s="379" t="s">
        <v>696</v>
      </c>
      <c r="E1148" s="379" t="s">
        <v>697</v>
      </c>
    </row>
    <row r="1149" spans="1:5">
      <c r="A1149" s="379" t="s">
        <v>5041</v>
      </c>
      <c r="B1149" s="379" t="s">
        <v>2240</v>
      </c>
      <c r="C1149" s="380">
        <v>132515</v>
      </c>
      <c r="D1149" s="379" t="s">
        <v>2241</v>
      </c>
      <c r="E1149" s="379" t="s">
        <v>2242</v>
      </c>
    </row>
    <row r="1150" spans="1:5">
      <c r="A1150" s="379" t="s">
        <v>5042</v>
      </c>
      <c r="B1150" s="379" t="s">
        <v>1418</v>
      </c>
      <c r="C1150" s="380">
        <v>132800</v>
      </c>
      <c r="D1150" s="379" t="s">
        <v>1419</v>
      </c>
      <c r="E1150" s="379" t="s">
        <v>1420</v>
      </c>
    </row>
    <row r="1151" spans="1:5">
      <c r="A1151" s="379" t="s">
        <v>5043</v>
      </c>
      <c r="B1151" s="379" t="s">
        <v>759</v>
      </c>
      <c r="C1151" s="380">
        <v>132343</v>
      </c>
      <c r="D1151" s="379" t="s">
        <v>760</v>
      </c>
      <c r="E1151" s="379" t="s">
        <v>761</v>
      </c>
    </row>
    <row r="1152" spans="1:5">
      <c r="A1152" s="379" t="s">
        <v>5044</v>
      </c>
      <c r="B1152" s="379" t="s">
        <v>2679</v>
      </c>
      <c r="C1152" s="380">
        <v>109243</v>
      </c>
      <c r="D1152" s="379" t="s">
        <v>2680</v>
      </c>
      <c r="E1152" s="379" t="s">
        <v>2681</v>
      </c>
    </row>
    <row r="1153" spans="1:5">
      <c r="A1153" s="379" t="s">
        <v>1040</v>
      </c>
      <c r="B1153" s="379" t="s">
        <v>1041</v>
      </c>
      <c r="C1153" s="380">
        <v>132505</v>
      </c>
      <c r="D1153" s="379" t="s">
        <v>1042</v>
      </c>
      <c r="E1153" s="379" t="s">
        <v>1043</v>
      </c>
    </row>
    <row r="1154" spans="1:5">
      <c r="A1154" s="379" t="s">
        <v>5045</v>
      </c>
      <c r="B1154" s="379" t="s">
        <v>3025</v>
      </c>
      <c r="C1154" s="380">
        <v>130131</v>
      </c>
      <c r="D1154" s="379" t="s">
        <v>3026</v>
      </c>
      <c r="E1154" s="379" t="s">
        <v>3027</v>
      </c>
    </row>
    <row r="1155" spans="1:5">
      <c r="A1155" s="379" t="s">
        <v>5046</v>
      </c>
      <c r="B1155" s="379" t="s">
        <v>1901</v>
      </c>
      <c r="C1155" s="380">
        <v>100148</v>
      </c>
      <c r="D1155" s="379" t="s">
        <v>1902</v>
      </c>
      <c r="E1155" s="379" t="s">
        <v>1903</v>
      </c>
    </row>
    <row r="1156" spans="1:5">
      <c r="A1156" s="379" t="s">
        <v>5047</v>
      </c>
      <c r="B1156" s="379" t="s">
        <v>2833</v>
      </c>
      <c r="C1156" s="380">
        <v>111742</v>
      </c>
      <c r="D1156" s="379" t="s">
        <v>2834</v>
      </c>
      <c r="E1156" s="379" t="s">
        <v>2835</v>
      </c>
    </row>
    <row r="1157" spans="1:5">
      <c r="A1157" s="379" t="s">
        <v>5048</v>
      </c>
      <c r="B1157" s="379" t="s">
        <v>2661</v>
      </c>
      <c r="C1157" s="380">
        <v>222671</v>
      </c>
      <c r="D1157" s="379" t="s">
        <v>2662</v>
      </c>
      <c r="E1157" s="379" t="s">
        <v>2663</v>
      </c>
    </row>
    <row r="1158" spans="1:5">
      <c r="A1158" s="379" t="s">
        <v>5049</v>
      </c>
      <c r="B1158" s="379" t="s">
        <v>2058</v>
      </c>
      <c r="C1158" s="380">
        <v>287237</v>
      </c>
      <c r="D1158" s="379" t="s">
        <v>2059</v>
      </c>
      <c r="E1158" s="379" t="s">
        <v>2060</v>
      </c>
    </row>
    <row r="1159" spans="1:5">
      <c r="A1159" s="379" t="s">
        <v>5050</v>
      </c>
      <c r="B1159" s="379" t="s">
        <v>3122</v>
      </c>
      <c r="C1159" s="380">
        <v>106685</v>
      </c>
      <c r="D1159" s="379" t="s">
        <v>3123</v>
      </c>
      <c r="E1159" s="379" t="s">
        <v>3124</v>
      </c>
    </row>
    <row r="1160" spans="1:5">
      <c r="A1160" s="379" t="s">
        <v>5051</v>
      </c>
      <c r="B1160" s="379" t="s">
        <v>308</v>
      </c>
      <c r="C1160" s="380">
        <v>132538</v>
      </c>
      <c r="D1160" s="379" t="s">
        <v>309</v>
      </c>
      <c r="E1160" s="379" t="s">
        <v>310</v>
      </c>
    </row>
    <row r="1161" spans="1:5">
      <c r="A1161" s="379" t="s">
        <v>5052</v>
      </c>
      <c r="B1161" s="379" t="s">
        <v>2610</v>
      </c>
      <c r="C1161" s="380">
        <v>106690</v>
      </c>
      <c r="D1161" s="379" t="s">
        <v>2611</v>
      </c>
      <c r="E1161" s="379" t="s">
        <v>2612</v>
      </c>
    </row>
    <row r="1162" spans="1:5">
      <c r="A1162" s="379" t="s">
        <v>743</v>
      </c>
      <c r="B1162" s="379" t="s">
        <v>744</v>
      </c>
      <c r="C1162" s="380">
        <v>132477</v>
      </c>
      <c r="D1162" s="379" t="s">
        <v>745</v>
      </c>
      <c r="E1162" s="379" t="s">
        <v>746</v>
      </c>
    </row>
    <row r="1163" spans="1:5">
      <c r="A1163" s="379" t="s">
        <v>5053</v>
      </c>
      <c r="B1163" s="379" t="s">
        <v>3178</v>
      </c>
      <c r="C1163" s="380">
        <v>100429</v>
      </c>
      <c r="D1163" s="379" t="s">
        <v>3179</v>
      </c>
      <c r="E1163" s="379" t="s">
        <v>3180</v>
      </c>
    </row>
    <row r="1164" spans="1:5">
      <c r="A1164" s="379" t="s">
        <v>5054</v>
      </c>
      <c r="B1164" s="379" t="s">
        <v>3383</v>
      </c>
      <c r="C1164" s="380">
        <v>107878</v>
      </c>
      <c r="D1164" s="379" t="s">
        <v>3384</v>
      </c>
      <c r="E1164" s="379" t="s">
        <v>3385</v>
      </c>
    </row>
    <row r="1165" spans="1:5">
      <c r="A1165" s="379" t="s">
        <v>5055</v>
      </c>
      <c r="B1165" s="379" t="s">
        <v>610</v>
      </c>
      <c r="C1165" s="380">
        <v>132478</v>
      </c>
      <c r="D1165" s="379" t="s">
        <v>611</v>
      </c>
      <c r="E1165" s="379" t="s">
        <v>612</v>
      </c>
    </row>
    <row r="1166" spans="1:5">
      <c r="A1166" s="379" t="s">
        <v>5056</v>
      </c>
      <c r="B1166" s="379" t="s">
        <v>3345</v>
      </c>
      <c r="C1166" s="380">
        <v>122014</v>
      </c>
      <c r="D1166" s="379" t="s">
        <v>3346</v>
      </c>
      <c r="E1166" s="379" t="s">
        <v>3347</v>
      </c>
    </row>
    <row r="1167" spans="1:5">
      <c r="A1167" s="379" t="s">
        <v>5057</v>
      </c>
      <c r="B1167" s="379" t="s">
        <v>485</v>
      </c>
      <c r="C1167" s="380">
        <v>132432</v>
      </c>
      <c r="D1167" s="379" t="s">
        <v>486</v>
      </c>
      <c r="E1167" s="379" t="s">
        <v>487</v>
      </c>
    </row>
    <row r="1168" spans="1:5">
      <c r="A1168" s="379" t="s">
        <v>5058</v>
      </c>
      <c r="B1168" s="379" t="s">
        <v>3806</v>
      </c>
      <c r="C1168" s="380">
        <v>104212</v>
      </c>
      <c r="D1168" s="379" t="s">
        <v>3807</v>
      </c>
      <c r="E1168" s="379" t="s">
        <v>3808</v>
      </c>
    </row>
    <row r="1169" spans="1:5">
      <c r="A1169" s="379" t="s">
        <v>5059</v>
      </c>
      <c r="B1169" s="379" t="s">
        <v>3460</v>
      </c>
      <c r="C1169" s="380">
        <v>268509</v>
      </c>
      <c r="D1169" s="379" t="s">
        <v>3461</v>
      </c>
      <c r="E1169" s="379" t="s">
        <v>3462</v>
      </c>
    </row>
    <row r="1170" spans="1:5">
      <c r="A1170" s="379" t="s">
        <v>5060</v>
      </c>
      <c r="B1170" s="379" t="s">
        <v>509</v>
      </c>
      <c r="C1170" s="380">
        <v>112070</v>
      </c>
      <c r="D1170" s="379" t="s">
        <v>510</v>
      </c>
      <c r="E1170" s="379" t="s">
        <v>511</v>
      </c>
    </row>
    <row r="1171" spans="1:5">
      <c r="A1171" s="379" t="s">
        <v>5061</v>
      </c>
      <c r="B1171" s="379" t="s">
        <v>3119</v>
      </c>
      <c r="C1171" s="380">
        <v>126987</v>
      </c>
      <c r="D1171" s="379" t="s">
        <v>3120</v>
      </c>
      <c r="E1171" s="379" t="s">
        <v>3121</v>
      </c>
    </row>
    <row r="1172" spans="1:5">
      <c r="A1172" s="379" t="s">
        <v>5062</v>
      </c>
      <c r="B1172" s="379" t="s">
        <v>2186</v>
      </c>
      <c r="C1172" s="380">
        <v>117146</v>
      </c>
      <c r="D1172" s="379" t="s">
        <v>2187</v>
      </c>
      <c r="E1172" s="379" t="s">
        <v>2188</v>
      </c>
    </row>
    <row r="1173" spans="1:5">
      <c r="A1173" s="379" t="s">
        <v>5063</v>
      </c>
      <c r="B1173" s="379" t="s">
        <v>1102</v>
      </c>
      <c r="C1173" s="380">
        <v>209492</v>
      </c>
      <c r="D1173" s="379" t="s">
        <v>1103</v>
      </c>
      <c r="E1173" s="379" t="s">
        <v>1104</v>
      </c>
    </row>
    <row r="1174" spans="1:5">
      <c r="A1174" s="379" t="s">
        <v>5064</v>
      </c>
      <c r="B1174" s="379" t="s">
        <v>3511</v>
      </c>
      <c r="C1174" s="380">
        <v>132729</v>
      </c>
      <c r="D1174" s="379" t="s">
        <v>3512</v>
      </c>
      <c r="E1174" s="379" t="s">
        <v>3513</v>
      </c>
    </row>
    <row r="1175" spans="1:5">
      <c r="A1175" s="379" t="s">
        <v>5065</v>
      </c>
      <c r="B1175" s="379" t="s">
        <v>2320</v>
      </c>
      <c r="C1175" s="380">
        <v>131266</v>
      </c>
      <c r="D1175" s="379" t="s">
        <v>2321</v>
      </c>
      <c r="E1175" s="379" t="s">
        <v>2322</v>
      </c>
    </row>
    <row r="1176" spans="1:5">
      <c r="A1176" s="379" t="s">
        <v>5066</v>
      </c>
      <c r="B1176" s="379" t="s">
        <v>3769</v>
      </c>
      <c r="C1176" s="380">
        <v>132867</v>
      </c>
      <c r="D1176" s="379" t="s">
        <v>3770</v>
      </c>
      <c r="E1176" s="379" t="s">
        <v>3771</v>
      </c>
    </row>
    <row r="1177" spans="1:5">
      <c r="A1177" s="379" t="s">
        <v>5067</v>
      </c>
      <c r="B1177" s="379" t="s">
        <v>2502</v>
      </c>
      <c r="C1177" s="380">
        <v>209532</v>
      </c>
      <c r="D1177" s="379" t="s">
        <v>2503</v>
      </c>
      <c r="E1177" s="379" t="s">
        <v>2504</v>
      </c>
    </row>
    <row r="1178" spans="1:5">
      <c r="A1178" s="379" t="s">
        <v>5068</v>
      </c>
      <c r="B1178" s="379" t="s">
        <v>3600</v>
      </c>
      <c r="C1178" s="380">
        <v>119156</v>
      </c>
      <c r="D1178" s="379" t="s">
        <v>3601</v>
      </c>
      <c r="E1178" s="379" t="s">
        <v>3602</v>
      </c>
    </row>
    <row r="1179" spans="1:5">
      <c r="A1179" s="379" t="s">
        <v>5069</v>
      </c>
      <c r="B1179" s="379" t="s">
        <v>1268</v>
      </c>
      <c r="C1179" s="380">
        <v>132156</v>
      </c>
      <c r="D1179" s="379" t="s">
        <v>1269</v>
      </c>
      <c r="E1179" s="379" t="s">
        <v>1270</v>
      </c>
    </row>
    <row r="1180" spans="1:5">
      <c r="A1180" s="379" t="s">
        <v>5070</v>
      </c>
      <c r="B1180" s="379" t="s">
        <v>1739</v>
      </c>
      <c r="C1180" s="380">
        <v>111431</v>
      </c>
      <c r="D1180" s="379" t="s">
        <v>1740</v>
      </c>
      <c r="E1180" s="379" t="s">
        <v>1741</v>
      </c>
    </row>
    <row r="1181" spans="1:5">
      <c r="A1181" s="379" t="s">
        <v>5071</v>
      </c>
      <c r="B1181" s="379" t="s">
        <v>2162</v>
      </c>
      <c r="C1181" s="380">
        <v>224818</v>
      </c>
      <c r="D1181" s="379" t="s">
        <v>2163</v>
      </c>
      <c r="E1181" s="379" t="s">
        <v>2164</v>
      </c>
    </row>
    <row r="1182" spans="1:5">
      <c r="A1182" s="379" t="s">
        <v>5072</v>
      </c>
      <c r="B1182" s="379" t="s">
        <v>3210</v>
      </c>
      <c r="C1182" s="380">
        <v>100439</v>
      </c>
      <c r="D1182" s="379" t="s">
        <v>3211</v>
      </c>
      <c r="E1182" s="379" t="s">
        <v>3212</v>
      </c>
    </row>
    <row r="1183" spans="1:5">
      <c r="A1183" s="379" t="s">
        <v>5073</v>
      </c>
      <c r="B1183" s="379" t="s">
        <v>3154</v>
      </c>
      <c r="C1183" s="380">
        <v>224243</v>
      </c>
      <c r="D1183" s="379" t="s">
        <v>3155</v>
      </c>
      <c r="E1183" s="379" t="s">
        <v>3156</v>
      </c>
    </row>
    <row r="1184" spans="1:5">
      <c r="A1184" s="379" t="s">
        <v>5074</v>
      </c>
      <c r="B1184" s="379" t="s">
        <v>1095</v>
      </c>
      <c r="C1184" s="380">
        <v>102986</v>
      </c>
      <c r="D1184" s="379" t="s">
        <v>1096</v>
      </c>
      <c r="E1184" s="379" t="s">
        <v>1097</v>
      </c>
    </row>
    <row r="1185" spans="1:5">
      <c r="A1185" s="379" t="s">
        <v>5075</v>
      </c>
      <c r="B1185" s="379" t="s">
        <v>1676</v>
      </c>
      <c r="C1185" s="380">
        <v>214437</v>
      </c>
      <c r="D1185" s="379" t="s">
        <v>1677</v>
      </c>
      <c r="E1185" s="379" t="s">
        <v>1678</v>
      </c>
    </row>
    <row r="1186" spans="1:5">
      <c r="A1186" s="379" t="s">
        <v>5076</v>
      </c>
      <c r="B1186" s="379" t="s">
        <v>650</v>
      </c>
      <c r="C1186" s="380">
        <v>209550</v>
      </c>
      <c r="D1186" s="379" t="s">
        <v>651</v>
      </c>
      <c r="E1186" s="379" t="s">
        <v>652</v>
      </c>
    </row>
    <row r="1187" spans="1:5">
      <c r="A1187" s="379" t="s">
        <v>5077</v>
      </c>
      <c r="B1187" s="379" t="s">
        <v>3866</v>
      </c>
      <c r="C1187" s="380">
        <v>212035</v>
      </c>
      <c r="D1187" s="379" t="s">
        <v>3867</v>
      </c>
      <c r="E1187" s="379" t="s">
        <v>3868</v>
      </c>
    </row>
    <row r="1188" spans="1:5">
      <c r="A1188" s="379" t="s">
        <v>5078</v>
      </c>
      <c r="B1188" s="379" t="s">
        <v>359</v>
      </c>
      <c r="C1188" s="380">
        <v>100295</v>
      </c>
      <c r="D1188" s="379" t="s">
        <v>360</v>
      </c>
      <c r="E1188" s="379" t="s">
        <v>361</v>
      </c>
    </row>
    <row r="1189" spans="1:5">
      <c r="A1189" s="379" t="s">
        <v>5079</v>
      </c>
      <c r="B1189" s="379" t="s">
        <v>1895</v>
      </c>
      <c r="C1189" s="380">
        <v>123261</v>
      </c>
      <c r="D1189" s="379" t="s">
        <v>1896</v>
      </c>
      <c r="E1189" s="379" t="s">
        <v>1897</v>
      </c>
    </row>
    <row r="1190" spans="1:5">
      <c r="A1190" s="379" t="s">
        <v>5080</v>
      </c>
      <c r="B1190" s="379" t="s">
        <v>3843</v>
      </c>
      <c r="C1190" s="380">
        <v>126953</v>
      </c>
      <c r="D1190" s="379" t="s">
        <v>3844</v>
      </c>
      <c r="E1190" s="379" t="s">
        <v>3845</v>
      </c>
    </row>
    <row r="1191" spans="1:5">
      <c r="A1191" s="379" t="s">
        <v>5081</v>
      </c>
      <c r="B1191" s="379" t="s">
        <v>2391</v>
      </c>
      <c r="C1191" s="380">
        <v>120113</v>
      </c>
      <c r="D1191" s="379" t="s">
        <v>2392</v>
      </c>
      <c r="E1191" s="379" t="s">
        <v>2393</v>
      </c>
    </row>
    <row r="1192" spans="1:5">
      <c r="A1192" s="379" t="s">
        <v>5082</v>
      </c>
      <c r="B1192" s="379" t="s">
        <v>1253</v>
      </c>
      <c r="C1192" s="380">
        <v>200054</v>
      </c>
      <c r="D1192" s="379" t="s">
        <v>1254</v>
      </c>
      <c r="E1192" s="379" t="s">
        <v>1255</v>
      </c>
    </row>
    <row r="1193" spans="1:5">
      <c r="A1193" s="379" t="s">
        <v>5083</v>
      </c>
      <c r="B1193" s="379" t="s">
        <v>2524</v>
      </c>
      <c r="C1193" s="380">
        <v>131717</v>
      </c>
      <c r="D1193" s="379" t="s">
        <v>2525</v>
      </c>
      <c r="E1193" s="379" t="s">
        <v>2526</v>
      </c>
    </row>
    <row r="1194" spans="1:5">
      <c r="A1194" s="379" t="s">
        <v>5084</v>
      </c>
      <c r="B1194" s="379"/>
      <c r="C1194" s="380">
        <v>131069</v>
      </c>
      <c r="D1194" s="379" t="s">
        <v>3525</v>
      </c>
      <c r="E1194" s="379" t="s">
        <v>3526</v>
      </c>
    </row>
    <row r="1195" spans="1:5">
      <c r="A1195" s="379" t="s">
        <v>5085</v>
      </c>
      <c r="B1195" s="379" t="s">
        <v>1626</v>
      </c>
      <c r="C1195" s="380">
        <v>302427</v>
      </c>
      <c r="D1195" s="379" t="s">
        <v>1627</v>
      </c>
      <c r="E1195" s="379" t="s">
        <v>1628</v>
      </c>
    </row>
    <row r="1196" spans="1:5">
      <c r="A1196" s="379" t="s">
        <v>5086</v>
      </c>
      <c r="B1196" s="379" t="s">
        <v>3300</v>
      </c>
      <c r="C1196" s="380">
        <v>124394</v>
      </c>
      <c r="D1196" s="379" t="s">
        <v>3301</v>
      </c>
      <c r="E1196" s="379" t="s">
        <v>3302</v>
      </c>
    </row>
    <row r="1197" spans="1:5">
      <c r="A1197" s="379" t="s">
        <v>5087</v>
      </c>
      <c r="B1197" s="379" t="s">
        <v>927</v>
      </c>
      <c r="C1197" s="380">
        <v>124200</v>
      </c>
      <c r="D1197" s="379" t="s">
        <v>928</v>
      </c>
      <c r="E1197" s="379" t="s">
        <v>929</v>
      </c>
    </row>
    <row r="1198" spans="1:5">
      <c r="A1198" s="379" t="s">
        <v>5088</v>
      </c>
      <c r="B1198" s="379" t="s">
        <v>2911</v>
      </c>
      <c r="C1198" s="380">
        <v>117015</v>
      </c>
      <c r="D1198" s="379" t="s">
        <v>2912</v>
      </c>
      <c r="E1198" s="379" t="s">
        <v>2913</v>
      </c>
    </row>
    <row r="1199" spans="1:5">
      <c r="A1199" s="379" t="s">
        <v>5089</v>
      </c>
      <c r="B1199" s="379"/>
      <c r="C1199" s="380">
        <v>247454</v>
      </c>
      <c r="D1199" s="379" t="s">
        <v>3651</v>
      </c>
      <c r="E1199" s="379" t="s">
        <v>3652</v>
      </c>
    </row>
    <row r="1200" spans="1:5">
      <c r="A1200" s="379" t="s">
        <v>5090</v>
      </c>
      <c r="B1200" s="379" t="s">
        <v>1421</v>
      </c>
      <c r="C1200" s="380">
        <v>107880</v>
      </c>
      <c r="D1200" s="379" t="s">
        <v>1422</v>
      </c>
      <c r="E1200" s="379" t="s">
        <v>1423</v>
      </c>
    </row>
    <row r="1201" spans="1:5">
      <c r="A1201" s="379" t="s">
        <v>5091</v>
      </c>
      <c r="B1201" s="379" t="s">
        <v>3133</v>
      </c>
      <c r="C1201" s="380">
        <v>109055</v>
      </c>
      <c r="D1201" s="379" t="s">
        <v>3134</v>
      </c>
      <c r="E1201" s="379" t="s">
        <v>3135</v>
      </c>
    </row>
    <row r="1202" spans="1:5">
      <c r="A1202" s="379" t="s">
        <v>5092</v>
      </c>
      <c r="B1202" s="379" t="s">
        <v>3715</v>
      </c>
      <c r="C1202" s="380">
        <v>267541</v>
      </c>
      <c r="D1202" s="379" t="s">
        <v>3716</v>
      </c>
      <c r="E1202" s="379" t="s">
        <v>3717</v>
      </c>
    </row>
    <row r="1203" spans="1:5">
      <c r="A1203" s="379" t="s">
        <v>5093</v>
      </c>
      <c r="B1203" s="379" t="s">
        <v>3160</v>
      </c>
      <c r="C1203" s="380">
        <v>116072</v>
      </c>
      <c r="D1203" s="379" t="s">
        <v>3161</v>
      </c>
      <c r="E1203" s="379" t="s">
        <v>3162</v>
      </c>
    </row>
    <row r="1204" spans="1:5">
      <c r="A1204" s="379" t="s">
        <v>5094</v>
      </c>
      <c r="B1204" s="379" t="s">
        <v>3849</v>
      </c>
      <c r="C1204" s="380">
        <v>229819</v>
      </c>
      <c r="D1204" s="379" t="s">
        <v>3850</v>
      </c>
      <c r="E1204" s="379" t="s">
        <v>3851</v>
      </c>
    </row>
    <row r="1205" spans="1:5">
      <c r="A1205" s="379" t="s">
        <v>5095</v>
      </c>
      <c r="B1205" s="379" t="s">
        <v>3505</v>
      </c>
      <c r="C1205" s="380">
        <v>111333</v>
      </c>
      <c r="D1205" s="379" t="s">
        <v>3506</v>
      </c>
      <c r="E1205" s="379" t="s">
        <v>3507</v>
      </c>
    </row>
    <row r="1206" spans="1:5">
      <c r="A1206" s="379" t="s">
        <v>5096</v>
      </c>
      <c r="B1206" s="379" t="s">
        <v>1463</v>
      </c>
      <c r="C1206" s="380">
        <v>237191</v>
      </c>
      <c r="D1206" s="379" t="s">
        <v>1464</v>
      </c>
      <c r="E1206" s="379" t="s">
        <v>1465</v>
      </c>
    </row>
    <row r="1207" spans="1:5">
      <c r="A1207" s="379" t="s">
        <v>5097</v>
      </c>
      <c r="B1207" s="379" t="s">
        <v>631</v>
      </c>
      <c r="C1207" s="380">
        <v>132822</v>
      </c>
      <c r="D1207" s="379" t="s">
        <v>632</v>
      </c>
      <c r="E1207" s="379" t="s">
        <v>633</v>
      </c>
    </row>
    <row r="1208" spans="1:5">
      <c r="A1208" s="379" t="s">
        <v>5098</v>
      </c>
      <c r="B1208" s="379" t="s">
        <v>2451</v>
      </c>
      <c r="C1208" s="380">
        <v>132757</v>
      </c>
      <c r="D1208" s="379" t="s">
        <v>2452</v>
      </c>
      <c r="E1208" s="379" t="s">
        <v>2453</v>
      </c>
    </row>
    <row r="1209" spans="1:5">
      <c r="A1209" s="379" t="s">
        <v>5099</v>
      </c>
      <c r="B1209" s="379" t="s">
        <v>625</v>
      </c>
      <c r="C1209" s="380">
        <v>100575</v>
      </c>
      <c r="D1209" s="379" t="s">
        <v>626</v>
      </c>
      <c r="E1209" s="379" t="s">
        <v>627</v>
      </c>
    </row>
    <row r="1210" spans="1:5">
      <c r="A1210" s="379" t="s">
        <v>5100</v>
      </c>
      <c r="B1210" s="379" t="s">
        <v>1853</v>
      </c>
      <c r="C1210" s="380">
        <v>209587</v>
      </c>
      <c r="D1210" s="379" t="s">
        <v>1854</v>
      </c>
      <c r="E1210" s="379" t="s">
        <v>1855</v>
      </c>
    </row>
    <row r="1211" spans="1:5">
      <c r="A1211" s="379" t="s">
        <v>5101</v>
      </c>
      <c r="B1211" s="379" t="s">
        <v>1694</v>
      </c>
      <c r="C1211" s="380">
        <v>109966</v>
      </c>
      <c r="D1211" s="379" t="s">
        <v>1695</v>
      </c>
      <c r="E1211" s="379" t="s">
        <v>1696</v>
      </c>
    </row>
    <row r="1212" spans="1:5">
      <c r="A1212" s="379" t="s">
        <v>5102</v>
      </c>
      <c r="B1212" s="379"/>
      <c r="C1212" s="380">
        <v>237056</v>
      </c>
      <c r="D1212" s="379" t="s">
        <v>3658</v>
      </c>
      <c r="E1212" s="379" t="s">
        <v>3659</v>
      </c>
    </row>
    <row r="1213" spans="1:5">
      <c r="A1213" s="379" t="s">
        <v>5103</v>
      </c>
      <c r="B1213" s="379" t="s">
        <v>1028</v>
      </c>
      <c r="C1213" s="380">
        <v>200515</v>
      </c>
      <c r="D1213" s="379" t="s">
        <v>1029</v>
      </c>
      <c r="E1213" s="379" t="s">
        <v>1030</v>
      </c>
    </row>
    <row r="1214" spans="1:5">
      <c r="A1214" s="379" t="s">
        <v>5104</v>
      </c>
      <c r="B1214" s="379"/>
      <c r="C1214" s="380">
        <v>255008</v>
      </c>
      <c r="D1214" s="379" t="s">
        <v>2412</v>
      </c>
      <c r="E1214" s="379" t="s">
        <v>2413</v>
      </c>
    </row>
    <row r="1215" spans="1:5">
      <c r="A1215" s="379" t="s">
        <v>5105</v>
      </c>
      <c r="B1215" s="379" t="s">
        <v>1724</v>
      </c>
      <c r="C1215" s="380">
        <v>132144</v>
      </c>
      <c r="D1215" s="379" t="s">
        <v>1725</v>
      </c>
      <c r="E1215" s="379" t="s">
        <v>1726</v>
      </c>
    </row>
    <row r="1216" spans="1:5">
      <c r="A1216" s="379" t="s">
        <v>5106</v>
      </c>
      <c r="B1216" s="379" t="s">
        <v>2830</v>
      </c>
      <c r="C1216" s="380">
        <v>132553</v>
      </c>
      <c r="D1216" s="379" t="s">
        <v>2831</v>
      </c>
      <c r="E1216" s="379" t="s">
        <v>2832</v>
      </c>
    </row>
    <row r="1217" spans="1:5">
      <c r="A1217" s="379" t="s">
        <v>5107</v>
      </c>
      <c r="B1217" s="379" t="s">
        <v>1068</v>
      </c>
      <c r="C1217" s="380">
        <v>114162</v>
      </c>
      <c r="D1217" s="379" t="s">
        <v>1069</v>
      </c>
      <c r="E1217" s="379" t="s">
        <v>1070</v>
      </c>
    </row>
    <row r="1218" spans="1:5">
      <c r="A1218" s="379" t="s">
        <v>5108</v>
      </c>
      <c r="B1218" s="379" t="s">
        <v>3220</v>
      </c>
      <c r="C1218" s="380">
        <v>100365</v>
      </c>
      <c r="D1218" s="379" t="s">
        <v>3221</v>
      </c>
      <c r="E1218" s="379" t="s">
        <v>3222</v>
      </c>
    </row>
    <row r="1219" spans="1:5">
      <c r="A1219" s="379" t="s">
        <v>5109</v>
      </c>
      <c r="B1219" s="379" t="s">
        <v>3169</v>
      </c>
      <c r="C1219" s="380">
        <v>105412</v>
      </c>
      <c r="D1219" s="379" t="s">
        <v>3170</v>
      </c>
      <c r="E1219" s="379" t="s">
        <v>3171</v>
      </c>
    </row>
    <row r="1220" spans="1:5">
      <c r="A1220" s="379" t="s">
        <v>5110</v>
      </c>
      <c r="B1220" s="379" t="s">
        <v>2697</v>
      </c>
      <c r="C1220" s="380">
        <v>100444</v>
      </c>
      <c r="D1220" s="379" t="s">
        <v>2698</v>
      </c>
      <c r="E1220" s="379" t="s">
        <v>2699</v>
      </c>
    </row>
    <row r="1221" spans="1:5">
      <c r="A1221" s="379" t="s">
        <v>5111</v>
      </c>
      <c r="B1221" s="379" t="s">
        <v>1304</v>
      </c>
      <c r="C1221" s="380">
        <v>105533</v>
      </c>
      <c r="D1221" s="379" t="s">
        <v>1305</v>
      </c>
      <c r="E1221" s="379" t="s">
        <v>1306</v>
      </c>
    </row>
    <row r="1222" spans="1:5">
      <c r="A1222" s="379" t="s">
        <v>5112</v>
      </c>
      <c r="B1222" s="379" t="s">
        <v>2765</v>
      </c>
      <c r="C1222" s="380">
        <v>190073</v>
      </c>
      <c r="D1222" s="379" t="s">
        <v>2766</v>
      </c>
      <c r="E1222" s="379" t="s">
        <v>2767</v>
      </c>
    </row>
    <row r="1223" spans="1:5">
      <c r="A1223" s="379" t="s">
        <v>5113</v>
      </c>
      <c r="B1223" s="379" t="s">
        <v>874</v>
      </c>
      <c r="C1223" s="380">
        <v>100238</v>
      </c>
      <c r="D1223" s="379" t="s">
        <v>875</v>
      </c>
      <c r="E1223" s="379" t="s">
        <v>876</v>
      </c>
    </row>
    <row r="1224" spans="1:5">
      <c r="A1224" s="379" t="s">
        <v>5114</v>
      </c>
      <c r="B1224" s="379" t="s">
        <v>3720</v>
      </c>
      <c r="C1224" s="380">
        <v>126586</v>
      </c>
      <c r="D1224" s="379" t="s">
        <v>3721</v>
      </c>
      <c r="E1224" s="379" t="s">
        <v>3722</v>
      </c>
    </row>
    <row r="1225" spans="1:5">
      <c r="A1225" s="379" t="s">
        <v>5115</v>
      </c>
      <c r="B1225" s="379" t="s">
        <v>3749</v>
      </c>
      <c r="C1225" s="380">
        <v>255003</v>
      </c>
      <c r="D1225" s="379" t="s">
        <v>3750</v>
      </c>
      <c r="E1225" s="379" t="s">
        <v>3751</v>
      </c>
    </row>
    <row r="1226" spans="1:5">
      <c r="A1226" s="379" t="s">
        <v>5116</v>
      </c>
      <c r="B1226" s="379" t="s">
        <v>278</v>
      </c>
      <c r="C1226" s="380">
        <v>107685</v>
      </c>
      <c r="D1226" s="379" t="s">
        <v>279</v>
      </c>
      <c r="E1226" s="379" t="s">
        <v>280</v>
      </c>
    </row>
    <row r="1227" spans="1:5">
      <c r="A1227" s="379" t="s">
        <v>5117</v>
      </c>
      <c r="B1227" s="379" t="s">
        <v>1772</v>
      </c>
      <c r="C1227" s="380">
        <v>132300</v>
      </c>
      <c r="D1227" s="379" t="s">
        <v>1773</v>
      </c>
      <c r="E1227" s="379" t="s">
        <v>1774</v>
      </c>
    </row>
    <row r="1228" spans="1:5">
      <c r="A1228" s="379" t="s">
        <v>5118</v>
      </c>
      <c r="B1228" s="379" t="s">
        <v>2973</v>
      </c>
      <c r="C1228" s="380">
        <v>221217</v>
      </c>
      <c r="D1228" s="379" t="s">
        <v>2974</v>
      </c>
      <c r="E1228" s="379" t="s">
        <v>2975</v>
      </c>
    </row>
    <row r="1229" spans="1:5">
      <c r="A1229" s="379" t="s">
        <v>5119</v>
      </c>
      <c r="B1229" s="379"/>
      <c r="C1229" s="380">
        <v>105872</v>
      </c>
      <c r="D1229" s="379" t="s">
        <v>3229</v>
      </c>
      <c r="E1229" s="379" t="s">
        <v>3230</v>
      </c>
    </row>
    <row r="1230" spans="1:5">
      <c r="A1230" s="379" t="s">
        <v>5120</v>
      </c>
      <c r="B1230" s="379" t="s">
        <v>2994</v>
      </c>
      <c r="C1230" s="380">
        <v>132616</v>
      </c>
      <c r="D1230" s="379" t="s">
        <v>2995</v>
      </c>
      <c r="E1230" s="379" t="s">
        <v>2996</v>
      </c>
    </row>
    <row r="1231" spans="1:5">
      <c r="A1231" s="379" t="s">
        <v>5121</v>
      </c>
      <c r="B1231" s="379" t="s">
        <v>3814</v>
      </c>
      <c r="C1231" s="380">
        <v>291852</v>
      </c>
      <c r="D1231" s="379" t="s">
        <v>3815</v>
      </c>
      <c r="E1231" s="379" t="s">
        <v>3816</v>
      </c>
    </row>
    <row r="1232" spans="1:5">
      <c r="A1232" s="379" t="s">
        <v>5122</v>
      </c>
      <c r="B1232" s="379" t="s">
        <v>3022</v>
      </c>
      <c r="C1232" s="380">
        <v>190013</v>
      </c>
      <c r="D1232" s="379" t="s">
        <v>3023</v>
      </c>
      <c r="E1232" s="379" t="s">
        <v>3024</v>
      </c>
    </row>
    <row r="1233" spans="1:5">
      <c r="A1233" s="379" t="s">
        <v>5123</v>
      </c>
      <c r="B1233" s="379"/>
      <c r="C1233" s="380">
        <v>131225</v>
      </c>
      <c r="D1233" s="379" t="s">
        <v>3742</v>
      </c>
      <c r="E1233" s="379" t="s">
        <v>3743</v>
      </c>
    </row>
    <row r="1234" spans="1:5">
      <c r="A1234" s="379" t="s">
        <v>5124</v>
      </c>
      <c r="B1234" s="379" t="s">
        <v>3405</v>
      </c>
      <c r="C1234" s="380">
        <v>210289</v>
      </c>
      <c r="D1234" s="379" t="s">
        <v>3406</v>
      </c>
      <c r="E1234" s="379" t="s">
        <v>3407</v>
      </c>
    </row>
    <row r="1235" spans="1:5">
      <c r="A1235" s="379" t="s">
        <v>5125</v>
      </c>
      <c r="B1235" s="379"/>
      <c r="C1235" s="380">
        <v>275557</v>
      </c>
      <c r="D1235" s="379" t="s">
        <v>2941</v>
      </c>
      <c r="E1235" s="379" t="s">
        <v>2942</v>
      </c>
    </row>
    <row r="1236" spans="1:5">
      <c r="A1236" s="379" t="s">
        <v>5126</v>
      </c>
      <c r="B1236" s="379" t="s">
        <v>692</v>
      </c>
      <c r="C1236" s="380">
        <v>132648</v>
      </c>
      <c r="D1236" s="379" t="s">
        <v>693</v>
      </c>
      <c r="E1236" s="379" t="s">
        <v>694</v>
      </c>
    </row>
    <row r="1237" spans="1:5">
      <c r="A1237" s="379" t="s">
        <v>5127</v>
      </c>
      <c r="B1237" s="379" t="s">
        <v>3527</v>
      </c>
      <c r="C1237" s="380">
        <v>122108</v>
      </c>
      <c r="D1237" s="379" t="s">
        <v>3528</v>
      </c>
      <c r="E1237" s="379" t="s">
        <v>3529</v>
      </c>
    </row>
    <row r="1238" spans="1:5">
      <c r="A1238" s="379" t="s">
        <v>5128</v>
      </c>
      <c r="B1238" s="379" t="s">
        <v>734</v>
      </c>
      <c r="C1238" s="380">
        <v>105537</v>
      </c>
      <c r="D1238" s="379" t="s">
        <v>735</v>
      </c>
      <c r="E1238" s="379" t="s">
        <v>736</v>
      </c>
    </row>
    <row r="1239" spans="1:5">
      <c r="A1239" s="379" t="s">
        <v>5129</v>
      </c>
      <c r="B1239" s="379" t="s">
        <v>3397</v>
      </c>
      <c r="C1239" s="380">
        <v>132794</v>
      </c>
      <c r="D1239" s="379" t="s">
        <v>3398</v>
      </c>
      <c r="E1239" s="379" t="s">
        <v>3399</v>
      </c>
    </row>
    <row r="1240" spans="1:5">
      <c r="A1240" s="379" t="s">
        <v>5130</v>
      </c>
      <c r="B1240" s="379" t="s">
        <v>2601</v>
      </c>
      <c r="C1240" s="380">
        <v>190032</v>
      </c>
      <c r="D1240" s="379" t="s">
        <v>2602</v>
      </c>
      <c r="E1240" s="379" t="s">
        <v>2603</v>
      </c>
    </row>
    <row r="1241" spans="1:5">
      <c r="A1241" s="379" t="s">
        <v>5131</v>
      </c>
      <c r="B1241" s="379" t="s">
        <v>1186</v>
      </c>
      <c r="C1241" s="380">
        <v>104067</v>
      </c>
      <c r="D1241" s="379" t="s">
        <v>1187</v>
      </c>
      <c r="E1241" s="379" t="s">
        <v>1188</v>
      </c>
    </row>
    <row r="1242" spans="1:5">
      <c r="A1242" s="379" t="s">
        <v>5132</v>
      </c>
      <c r="B1242" s="379" t="s">
        <v>383</v>
      </c>
      <c r="C1242" s="380">
        <v>252306</v>
      </c>
      <c r="D1242" s="379" t="s">
        <v>384</v>
      </c>
      <c r="E1242" s="379" t="s">
        <v>385</v>
      </c>
    </row>
    <row r="1243" spans="1:5">
      <c r="A1243" s="379" t="s">
        <v>5133</v>
      </c>
      <c r="B1243" s="379" t="s">
        <v>3166</v>
      </c>
      <c r="C1243" s="380">
        <v>285652</v>
      </c>
      <c r="D1243" s="379" t="s">
        <v>3167</v>
      </c>
      <c r="E1243" s="379" t="s">
        <v>3168</v>
      </c>
    </row>
  </sheetData>
  <sortState xmlns:xlrd2="http://schemas.microsoft.com/office/spreadsheetml/2017/richdata2" ref="A2:E1243">
    <sortCondition ref="A2:A1243"/>
  </sortState>
  <conditionalFormatting sqref="A300:A545 A555:A793">
    <cfRule type="duplicateValues" dxfId="1" priority="1"/>
  </conditionalFormatting>
  <conditionalFormatting sqref="A300:A536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133AD1-E25B-4A4A-AE89-83D19CE013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Summary</vt:lpstr>
      <vt:lpstr>Valuation</vt:lpstr>
      <vt:lpstr>Financial</vt:lpstr>
      <vt:lpstr>Charts</vt:lpstr>
      <vt:lpstr>Segments</vt:lpstr>
      <vt:lpstr>Estimates</vt:lpstr>
      <vt:lpstr>Customization</vt:lpstr>
      <vt:lpstr>Data Sheet</vt:lpstr>
      <vt:lpstr>Lookup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Intel</cp:lastModifiedBy>
  <cp:lastPrinted>2023-05-17T11:40:04Z</cp:lastPrinted>
  <dcterms:created xsi:type="dcterms:W3CDTF">2012-08-17T09:55:37Z</dcterms:created>
  <dcterms:modified xsi:type="dcterms:W3CDTF">2026-02-20T04:18:24Z</dcterms:modified>
</cp:coreProperties>
</file>